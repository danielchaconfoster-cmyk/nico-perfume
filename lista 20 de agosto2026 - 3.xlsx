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25943efad085c4d/Escritorio/Nueva carpeta/"/>
    </mc:Choice>
  </mc:AlternateContent>
  <xr:revisionPtr revIDLastSave="39" documentId="13_ncr:1_{61CE5392-D34A-4164-B7CA-BC2F2040CFB6}" xr6:coauthVersionLast="47" xr6:coauthVersionMax="47" xr10:uidLastSave="{8C274894-6F54-41DD-B3F9-5DB63A41468B}"/>
  <bookViews>
    <workbookView xWindow="-120" yWindow="-120" windowWidth="20730" windowHeight="11040" xr2:uid="{00000000-000D-0000-FFFF-FFFF00000000}"/>
  </bookViews>
  <sheets>
    <sheet name="LISTA DE PRECIOS" sheetId="1" r:id="rId1"/>
    <sheet name="PEDIDO" sheetId="2" r:id="rId2"/>
  </sheets>
  <calcPr calcId="191028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7" i="1"/>
  <c r="I41" i="1"/>
  <c r="I42" i="1"/>
  <c r="I46" i="1"/>
  <c r="I47" i="1"/>
  <c r="I57" i="1"/>
  <c r="I87" i="1"/>
  <c r="I88" i="1"/>
  <c r="I89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G401" i="2"/>
  <c r="H401" i="2"/>
  <c r="G402" i="2"/>
  <c r="H402" i="2"/>
  <c r="G403" i="2"/>
  <c r="H403" i="2"/>
  <c r="G404" i="2"/>
  <c r="H404" i="2"/>
  <c r="G405" i="2"/>
  <c r="H405" i="2"/>
  <c r="G406" i="2"/>
  <c r="H406" i="2"/>
  <c r="G407" i="2"/>
  <c r="H407" i="2"/>
  <c r="G408" i="2"/>
  <c r="H408" i="2"/>
  <c r="G409" i="2"/>
  <c r="H409" i="2"/>
  <c r="G410" i="2"/>
  <c r="H410" i="2"/>
  <c r="G411" i="2"/>
  <c r="H411" i="2"/>
  <c r="G412" i="2"/>
  <c r="H412" i="2"/>
  <c r="G413" i="2"/>
  <c r="H413" i="2"/>
  <c r="G414" i="2"/>
  <c r="H414" i="2"/>
  <c r="G415" i="2"/>
  <c r="H415" i="2"/>
  <c r="G416" i="2"/>
  <c r="H416" i="2"/>
  <c r="G417" i="2"/>
  <c r="H417" i="2"/>
  <c r="G418" i="2"/>
  <c r="H418" i="2"/>
  <c r="G419" i="2"/>
  <c r="H419" i="2"/>
  <c r="G420" i="2"/>
  <c r="H420" i="2"/>
  <c r="G421" i="2"/>
  <c r="H421" i="2"/>
  <c r="G422" i="2"/>
  <c r="H422" i="2"/>
  <c r="G423" i="2"/>
  <c r="H423" i="2"/>
  <c r="G424" i="2"/>
  <c r="H424" i="2"/>
  <c r="G425" i="2"/>
  <c r="H425" i="2"/>
  <c r="G426" i="2"/>
  <c r="H426" i="2"/>
  <c r="G427" i="2"/>
  <c r="H427" i="2"/>
  <c r="G428" i="2"/>
  <c r="H428" i="2"/>
  <c r="G429" i="2"/>
  <c r="H429" i="2"/>
  <c r="G430" i="2"/>
  <c r="H430" i="2"/>
  <c r="G431" i="2"/>
  <c r="H431" i="2"/>
  <c r="G432" i="2"/>
  <c r="H432" i="2"/>
  <c r="G433" i="2"/>
  <c r="H433" i="2"/>
  <c r="G434" i="2"/>
  <c r="H434" i="2"/>
  <c r="G435" i="2"/>
  <c r="H435" i="2"/>
  <c r="G436" i="2"/>
  <c r="H436" i="2"/>
  <c r="G437" i="2"/>
  <c r="H437" i="2"/>
  <c r="G438" i="2"/>
  <c r="H438" i="2"/>
  <c r="G439" i="2"/>
  <c r="H439" i="2"/>
  <c r="G440" i="2"/>
  <c r="H440" i="2"/>
  <c r="G441" i="2"/>
  <c r="H441" i="2"/>
  <c r="G442" i="2"/>
  <c r="H442" i="2"/>
  <c r="G443" i="2"/>
  <c r="H443" i="2"/>
  <c r="G444" i="2"/>
  <c r="H444" i="2"/>
  <c r="G445" i="2"/>
  <c r="H445" i="2"/>
  <c r="G446" i="2"/>
  <c r="H446" i="2"/>
  <c r="G447" i="2"/>
  <c r="H447" i="2"/>
  <c r="G448" i="2"/>
  <c r="H448" i="2"/>
  <c r="G449" i="2"/>
  <c r="H449" i="2"/>
  <c r="G450" i="2"/>
  <c r="H450" i="2"/>
  <c r="G451" i="2"/>
  <c r="H451" i="2"/>
  <c r="G452" i="2"/>
  <c r="H452" i="2"/>
  <c r="G453" i="2"/>
  <c r="H453" i="2"/>
  <c r="G454" i="2"/>
  <c r="H454" i="2"/>
  <c r="G455" i="2"/>
  <c r="H455" i="2"/>
  <c r="G456" i="2"/>
  <c r="H456" i="2"/>
  <c r="G457" i="2"/>
  <c r="H457" i="2"/>
  <c r="G458" i="2"/>
  <c r="H458" i="2"/>
  <c r="G459" i="2"/>
  <c r="H459" i="2"/>
  <c r="G460" i="2"/>
  <c r="H460" i="2"/>
  <c r="G461" i="2"/>
  <c r="H461" i="2"/>
  <c r="G462" i="2"/>
  <c r="H462" i="2"/>
  <c r="G463" i="2"/>
  <c r="H463" i="2"/>
  <c r="G464" i="2"/>
  <c r="H464" i="2"/>
  <c r="G465" i="2"/>
  <c r="H465" i="2"/>
  <c r="G466" i="2"/>
  <c r="H466" i="2"/>
  <c r="G467" i="2"/>
  <c r="H467" i="2"/>
  <c r="G468" i="2"/>
  <c r="H468" i="2"/>
  <c r="G469" i="2"/>
  <c r="H469" i="2"/>
  <c r="G470" i="2"/>
  <c r="H470" i="2"/>
  <c r="G471" i="2"/>
  <c r="H471" i="2"/>
  <c r="G472" i="2"/>
  <c r="H472" i="2"/>
  <c r="G473" i="2"/>
  <c r="H473" i="2"/>
  <c r="G474" i="2"/>
  <c r="H474" i="2"/>
  <c r="G475" i="2"/>
  <c r="H475" i="2"/>
  <c r="G476" i="2"/>
  <c r="H476" i="2"/>
  <c r="G477" i="2"/>
  <c r="H477" i="2"/>
  <c r="G478" i="2"/>
  <c r="H478" i="2"/>
  <c r="G479" i="2"/>
  <c r="H479" i="2"/>
  <c r="G480" i="2"/>
  <c r="H480" i="2"/>
  <c r="G481" i="2"/>
  <c r="H481" i="2"/>
  <c r="G482" i="2"/>
  <c r="H482" i="2"/>
  <c r="G483" i="2"/>
  <c r="H483" i="2"/>
  <c r="G484" i="2"/>
  <c r="H484" i="2"/>
  <c r="G485" i="2"/>
  <c r="H485" i="2"/>
  <c r="G486" i="2"/>
  <c r="H486" i="2"/>
  <c r="G487" i="2"/>
  <c r="H487" i="2"/>
  <c r="G488" i="2"/>
  <c r="H488" i="2"/>
  <c r="G489" i="2"/>
  <c r="H489" i="2"/>
  <c r="G490" i="2"/>
  <c r="H490" i="2"/>
  <c r="G491" i="2"/>
  <c r="H491" i="2"/>
  <c r="G492" i="2"/>
  <c r="H492" i="2"/>
  <c r="G493" i="2"/>
  <c r="H493" i="2"/>
  <c r="G494" i="2"/>
  <c r="H494" i="2"/>
  <c r="G495" i="2"/>
  <c r="H495" i="2"/>
  <c r="G496" i="2"/>
  <c r="H496" i="2"/>
  <c r="G497" i="2"/>
  <c r="H497" i="2"/>
  <c r="G498" i="2"/>
  <c r="H498" i="2"/>
  <c r="G499" i="2"/>
  <c r="H499" i="2"/>
  <c r="G500" i="2"/>
  <c r="H500" i="2"/>
  <c r="G501" i="2"/>
  <c r="H501" i="2"/>
  <c r="G502" i="2"/>
  <c r="H502" i="2"/>
  <c r="G503" i="2"/>
  <c r="H503" i="2"/>
  <c r="G504" i="2"/>
  <c r="H504" i="2"/>
  <c r="G505" i="2"/>
  <c r="H505" i="2"/>
  <c r="G506" i="2"/>
  <c r="H506" i="2"/>
  <c r="G507" i="2"/>
  <c r="H507" i="2"/>
  <c r="G508" i="2"/>
  <c r="H508" i="2"/>
  <c r="G509" i="2"/>
  <c r="H509" i="2"/>
  <c r="G510" i="2"/>
  <c r="H510" i="2"/>
  <c r="G511" i="2"/>
  <c r="H511" i="2"/>
  <c r="G512" i="2"/>
  <c r="H512" i="2"/>
  <c r="G513" i="2"/>
  <c r="H513" i="2"/>
  <c r="G514" i="2"/>
  <c r="H514" i="2"/>
  <c r="G515" i="2"/>
  <c r="H515" i="2"/>
  <c r="G516" i="2"/>
  <c r="H516" i="2"/>
  <c r="G517" i="2"/>
  <c r="H517" i="2"/>
  <c r="G518" i="2"/>
  <c r="H518" i="2"/>
  <c r="G519" i="2"/>
  <c r="H519" i="2"/>
  <c r="G520" i="2"/>
  <c r="H520" i="2"/>
  <c r="G521" i="2"/>
  <c r="H521" i="2"/>
  <c r="G522" i="2"/>
  <c r="H522" i="2"/>
  <c r="G523" i="2"/>
  <c r="H523" i="2"/>
  <c r="G524" i="2"/>
  <c r="H524" i="2"/>
  <c r="G525" i="2"/>
  <c r="H525" i="2"/>
  <c r="G526" i="2"/>
  <c r="H526" i="2"/>
  <c r="G527" i="2"/>
  <c r="H527" i="2"/>
  <c r="G528" i="2"/>
  <c r="H528" i="2"/>
  <c r="G529" i="2"/>
  <c r="H529" i="2"/>
  <c r="G530" i="2"/>
  <c r="H530" i="2"/>
  <c r="G531" i="2"/>
  <c r="H531" i="2"/>
  <c r="G532" i="2"/>
  <c r="H532" i="2"/>
  <c r="G533" i="2"/>
  <c r="H533" i="2"/>
  <c r="G534" i="2"/>
  <c r="H534" i="2"/>
  <c r="G535" i="2"/>
  <c r="H535" i="2"/>
  <c r="G536" i="2"/>
  <c r="H536" i="2"/>
  <c r="G537" i="2"/>
  <c r="H537" i="2"/>
  <c r="G538" i="2"/>
  <c r="H538" i="2"/>
  <c r="G539" i="2"/>
  <c r="H539" i="2"/>
  <c r="G540" i="2"/>
  <c r="H540" i="2"/>
  <c r="G541" i="2"/>
  <c r="H541" i="2"/>
  <c r="G542" i="2"/>
  <c r="H542" i="2"/>
  <c r="G543" i="2"/>
  <c r="H543" i="2"/>
  <c r="G544" i="2"/>
  <c r="H544" i="2"/>
  <c r="G545" i="2"/>
  <c r="H545" i="2"/>
  <c r="G546" i="2"/>
  <c r="H546" i="2"/>
  <c r="G547" i="2"/>
  <c r="H547" i="2"/>
  <c r="G548" i="2"/>
  <c r="H548" i="2"/>
  <c r="G549" i="2"/>
  <c r="H549" i="2"/>
  <c r="G550" i="2"/>
  <c r="H550" i="2"/>
  <c r="G551" i="2"/>
  <c r="H551" i="2"/>
  <c r="G552" i="2"/>
  <c r="H552" i="2"/>
  <c r="G553" i="2"/>
  <c r="H553" i="2"/>
  <c r="G554" i="2"/>
  <c r="H554" i="2"/>
  <c r="G555" i="2"/>
  <c r="H555" i="2"/>
  <c r="G556" i="2"/>
  <c r="H556" i="2"/>
  <c r="G557" i="2"/>
  <c r="H557" i="2"/>
  <c r="G558" i="2"/>
  <c r="H558" i="2"/>
  <c r="G559" i="2"/>
  <c r="H559" i="2"/>
  <c r="G560" i="2"/>
  <c r="H560" i="2"/>
  <c r="G561" i="2"/>
  <c r="H561" i="2"/>
  <c r="G562" i="2"/>
  <c r="H562" i="2"/>
  <c r="G563" i="2"/>
  <c r="H563" i="2"/>
  <c r="G564" i="2"/>
  <c r="H564" i="2"/>
  <c r="G565" i="2"/>
  <c r="H565" i="2"/>
  <c r="G566" i="2"/>
  <c r="H566" i="2"/>
  <c r="G567" i="2"/>
  <c r="H567" i="2"/>
  <c r="G568" i="2"/>
  <c r="H568" i="2"/>
  <c r="G569" i="2"/>
  <c r="H569" i="2"/>
  <c r="G570" i="2"/>
  <c r="H570" i="2"/>
  <c r="G571" i="2"/>
  <c r="H571" i="2"/>
  <c r="G572" i="2"/>
  <c r="H572" i="2"/>
  <c r="G573" i="2"/>
  <c r="H573" i="2"/>
  <c r="G574" i="2"/>
  <c r="H574" i="2"/>
  <c r="G575" i="2"/>
  <c r="H575" i="2"/>
  <c r="G576" i="2"/>
  <c r="H576" i="2"/>
  <c r="G577" i="2"/>
  <c r="H577" i="2"/>
  <c r="G578" i="2"/>
  <c r="H578" i="2"/>
  <c r="G579" i="2"/>
  <c r="H579" i="2"/>
  <c r="G580" i="2"/>
  <c r="H580" i="2"/>
  <c r="G581" i="2"/>
  <c r="H581" i="2"/>
  <c r="G582" i="2"/>
  <c r="H582" i="2"/>
  <c r="G583" i="2"/>
  <c r="H583" i="2"/>
  <c r="G584" i="2"/>
  <c r="H584" i="2"/>
  <c r="G585" i="2"/>
  <c r="H585" i="2"/>
  <c r="G586" i="2"/>
  <c r="H586" i="2"/>
  <c r="G587" i="2"/>
  <c r="H587" i="2"/>
  <c r="G588" i="2"/>
  <c r="H588" i="2"/>
  <c r="G589" i="2"/>
  <c r="H589" i="2"/>
  <c r="G590" i="2"/>
  <c r="H590" i="2"/>
  <c r="G591" i="2"/>
  <c r="H591" i="2"/>
  <c r="G592" i="2"/>
  <c r="H592" i="2"/>
  <c r="G593" i="2"/>
  <c r="H593" i="2"/>
  <c r="G594" i="2"/>
  <c r="H594" i="2"/>
  <c r="G595" i="2"/>
  <c r="H595" i="2"/>
  <c r="G596" i="2"/>
  <c r="H596" i="2"/>
  <c r="G597" i="2"/>
  <c r="H597" i="2"/>
  <c r="G598" i="2"/>
  <c r="H598" i="2"/>
  <c r="G599" i="2"/>
  <c r="H599" i="2"/>
  <c r="G600" i="2"/>
  <c r="H600" i="2"/>
  <c r="G601" i="2"/>
  <c r="H601" i="2"/>
  <c r="G602" i="2"/>
  <c r="H602" i="2"/>
  <c r="G603" i="2"/>
  <c r="H603" i="2"/>
  <c r="G604" i="2"/>
  <c r="H604" i="2"/>
  <c r="G605" i="2"/>
  <c r="H605" i="2"/>
  <c r="G606" i="2"/>
  <c r="H606" i="2"/>
  <c r="G607" i="2"/>
  <c r="H607" i="2"/>
  <c r="G608" i="2"/>
  <c r="H608" i="2"/>
  <c r="G609" i="2"/>
  <c r="H609" i="2"/>
  <c r="G610" i="2"/>
  <c r="H610" i="2"/>
  <c r="G611" i="2"/>
  <c r="H611" i="2"/>
  <c r="G612" i="2"/>
  <c r="H612" i="2"/>
  <c r="G613" i="2"/>
  <c r="H613" i="2"/>
  <c r="G614" i="2"/>
  <c r="H614" i="2"/>
  <c r="G615" i="2"/>
  <c r="H615" i="2"/>
  <c r="G616" i="2"/>
  <c r="H616" i="2"/>
  <c r="G617" i="2"/>
  <c r="H617" i="2"/>
  <c r="G618" i="2"/>
  <c r="H618" i="2"/>
  <c r="G619" i="2"/>
  <c r="H619" i="2"/>
  <c r="G620" i="2"/>
  <c r="H620" i="2"/>
  <c r="G621" i="2"/>
  <c r="H621" i="2"/>
  <c r="G622" i="2"/>
  <c r="H622" i="2"/>
  <c r="G623" i="2"/>
  <c r="H623" i="2"/>
  <c r="G624" i="2"/>
  <c r="H624" i="2"/>
  <c r="G625" i="2"/>
  <c r="H625" i="2"/>
  <c r="G626" i="2"/>
  <c r="H626" i="2"/>
  <c r="G627" i="2"/>
  <c r="H627" i="2"/>
  <c r="G628" i="2"/>
  <c r="H628" i="2"/>
  <c r="G629" i="2"/>
  <c r="H629" i="2"/>
  <c r="G630" i="2"/>
  <c r="H630" i="2"/>
  <c r="G631" i="2"/>
  <c r="H631" i="2"/>
  <c r="G632" i="2"/>
  <c r="H632" i="2"/>
  <c r="G633" i="2"/>
  <c r="H633" i="2"/>
  <c r="G634" i="2"/>
  <c r="H634" i="2"/>
  <c r="G635" i="2"/>
  <c r="H635" i="2"/>
  <c r="G636" i="2"/>
  <c r="H636" i="2"/>
  <c r="G637" i="2"/>
  <c r="H637" i="2"/>
  <c r="G638" i="2"/>
  <c r="H638" i="2"/>
  <c r="G639" i="2"/>
  <c r="H639" i="2"/>
  <c r="G640" i="2"/>
  <c r="H640" i="2"/>
  <c r="G641" i="2"/>
  <c r="H641" i="2"/>
  <c r="G642" i="2"/>
  <c r="H642" i="2"/>
  <c r="G643" i="2"/>
  <c r="H643" i="2"/>
  <c r="G644" i="2"/>
  <c r="H644" i="2"/>
  <c r="G645" i="2"/>
  <c r="H645" i="2"/>
  <c r="G646" i="2"/>
  <c r="H646" i="2"/>
  <c r="G647" i="2"/>
  <c r="H647" i="2"/>
  <c r="G648" i="2"/>
  <c r="H648" i="2"/>
  <c r="G649" i="2"/>
  <c r="H649" i="2"/>
  <c r="G650" i="2"/>
  <c r="H650" i="2"/>
  <c r="G651" i="2"/>
  <c r="H651" i="2"/>
  <c r="G652" i="2"/>
  <c r="H652" i="2"/>
  <c r="G653" i="2"/>
  <c r="H653" i="2"/>
  <c r="G654" i="2"/>
  <c r="H654" i="2"/>
  <c r="G655" i="2"/>
  <c r="H655" i="2"/>
  <c r="G656" i="2"/>
  <c r="H656" i="2"/>
  <c r="G657" i="2"/>
  <c r="H657" i="2"/>
  <c r="G658" i="2"/>
  <c r="H658" i="2"/>
  <c r="G659" i="2"/>
  <c r="H659" i="2"/>
  <c r="G660" i="2"/>
  <c r="H660" i="2"/>
  <c r="G661" i="2"/>
  <c r="H661" i="2"/>
  <c r="G662" i="2"/>
  <c r="H662" i="2"/>
  <c r="G663" i="2"/>
  <c r="H663" i="2"/>
  <c r="G664" i="2"/>
  <c r="H664" i="2"/>
  <c r="G665" i="2"/>
  <c r="H665" i="2"/>
  <c r="G666" i="2"/>
  <c r="H666" i="2"/>
  <c r="G667" i="2"/>
  <c r="H667" i="2"/>
  <c r="G668" i="2"/>
  <c r="H668" i="2"/>
  <c r="G669" i="2"/>
  <c r="H669" i="2"/>
  <c r="G670" i="2"/>
  <c r="H670" i="2"/>
  <c r="G671" i="2"/>
  <c r="H671" i="2"/>
  <c r="G672" i="2"/>
  <c r="H672" i="2"/>
  <c r="G673" i="2"/>
  <c r="H673" i="2"/>
  <c r="G674" i="2"/>
  <c r="H674" i="2"/>
  <c r="G675" i="2"/>
  <c r="H675" i="2"/>
  <c r="G676" i="2"/>
  <c r="H676" i="2"/>
  <c r="G677" i="2"/>
  <c r="H677" i="2"/>
  <c r="G678" i="2"/>
  <c r="H678" i="2"/>
  <c r="G679" i="2"/>
  <c r="H679" i="2"/>
  <c r="G680" i="2"/>
  <c r="H680" i="2"/>
  <c r="G681" i="2"/>
  <c r="H681" i="2"/>
  <c r="G682" i="2"/>
  <c r="H682" i="2"/>
  <c r="G683" i="2"/>
  <c r="H683" i="2"/>
  <c r="G684" i="2"/>
  <c r="H684" i="2"/>
  <c r="G685" i="2"/>
  <c r="H685" i="2"/>
  <c r="G686" i="2"/>
  <c r="H686" i="2"/>
  <c r="G687" i="2"/>
  <c r="H687" i="2"/>
  <c r="G688" i="2"/>
  <c r="H688" i="2"/>
  <c r="G689" i="2"/>
  <c r="H689" i="2"/>
  <c r="G690" i="2"/>
  <c r="H690" i="2"/>
  <c r="G691" i="2"/>
  <c r="H691" i="2"/>
  <c r="G692" i="2"/>
  <c r="H692" i="2"/>
  <c r="G693" i="2"/>
  <c r="H693" i="2"/>
  <c r="G694" i="2"/>
  <c r="H694" i="2"/>
  <c r="G695" i="2"/>
  <c r="H695" i="2"/>
  <c r="G696" i="2"/>
  <c r="H696" i="2"/>
  <c r="G697" i="2"/>
  <c r="H697" i="2"/>
  <c r="G698" i="2"/>
  <c r="H698" i="2"/>
  <c r="G699" i="2"/>
  <c r="H699" i="2"/>
  <c r="G700" i="2"/>
  <c r="H700" i="2"/>
  <c r="G701" i="2"/>
  <c r="H701" i="2"/>
  <c r="G702" i="2"/>
  <c r="H702" i="2"/>
  <c r="G703" i="2"/>
  <c r="H703" i="2"/>
  <c r="G704" i="2"/>
  <c r="H704" i="2"/>
  <c r="G705" i="2"/>
  <c r="H705" i="2"/>
  <c r="G706" i="2"/>
  <c r="H706" i="2"/>
  <c r="G707" i="2"/>
  <c r="H707" i="2"/>
  <c r="G708" i="2"/>
  <c r="H708" i="2"/>
  <c r="G709" i="2"/>
  <c r="H709" i="2"/>
  <c r="G710" i="2"/>
  <c r="H710" i="2"/>
  <c r="G711" i="2"/>
  <c r="H711" i="2"/>
  <c r="G712" i="2"/>
  <c r="H712" i="2"/>
  <c r="G713" i="2"/>
  <c r="H713" i="2"/>
  <c r="G714" i="2"/>
  <c r="H714" i="2"/>
  <c r="G715" i="2"/>
  <c r="H715" i="2"/>
  <c r="G716" i="2"/>
  <c r="H716" i="2"/>
  <c r="G717" i="2"/>
  <c r="H717" i="2"/>
  <c r="G718" i="2"/>
  <c r="H718" i="2"/>
  <c r="G719" i="2"/>
  <c r="H719" i="2"/>
  <c r="G720" i="2"/>
  <c r="H720" i="2"/>
  <c r="G721" i="2"/>
  <c r="H721" i="2"/>
  <c r="G722" i="2"/>
  <c r="H722" i="2"/>
  <c r="G723" i="2"/>
  <c r="H723" i="2"/>
  <c r="G724" i="2"/>
  <c r="H724" i="2"/>
  <c r="G725" i="2"/>
  <c r="H725" i="2"/>
  <c r="G726" i="2"/>
  <c r="H726" i="2"/>
  <c r="G727" i="2"/>
  <c r="H727" i="2"/>
  <c r="G728" i="2"/>
  <c r="H728" i="2"/>
  <c r="G729" i="2"/>
  <c r="H729" i="2"/>
  <c r="G730" i="2"/>
  <c r="H730" i="2"/>
  <c r="G731" i="2"/>
  <c r="H731" i="2"/>
  <c r="G732" i="2"/>
  <c r="H732" i="2"/>
  <c r="G733" i="2"/>
  <c r="H733" i="2"/>
  <c r="G734" i="2"/>
  <c r="H734" i="2"/>
  <c r="G735" i="2"/>
  <c r="H735" i="2"/>
  <c r="G736" i="2"/>
  <c r="H736" i="2"/>
  <c r="G737" i="2"/>
  <c r="H737" i="2"/>
  <c r="G738" i="2"/>
  <c r="H738" i="2"/>
  <c r="G739" i="2"/>
  <c r="H739" i="2"/>
  <c r="G740" i="2"/>
  <c r="H740" i="2"/>
  <c r="G741" i="2"/>
  <c r="H741" i="2"/>
  <c r="G742" i="2"/>
  <c r="H742" i="2"/>
  <c r="G743" i="2"/>
  <c r="H743" i="2"/>
  <c r="G744" i="2"/>
  <c r="H744" i="2"/>
  <c r="G745" i="2"/>
  <c r="H745" i="2"/>
  <c r="G746" i="2"/>
  <c r="H746" i="2"/>
  <c r="G747" i="2"/>
  <c r="H747" i="2"/>
  <c r="G748" i="2"/>
  <c r="H748" i="2"/>
  <c r="G749" i="2"/>
  <c r="H749" i="2"/>
  <c r="G750" i="2"/>
  <c r="H750" i="2"/>
  <c r="G751" i="2"/>
  <c r="H751" i="2"/>
  <c r="G752" i="2"/>
  <c r="H752" i="2"/>
  <c r="G753" i="2"/>
  <c r="H753" i="2"/>
  <c r="G754" i="2"/>
  <c r="H754" i="2"/>
  <c r="G755" i="2"/>
  <c r="H755" i="2"/>
  <c r="G756" i="2"/>
  <c r="H756" i="2"/>
  <c r="G757" i="2"/>
  <c r="H757" i="2"/>
  <c r="G758" i="2"/>
  <c r="H758" i="2"/>
  <c r="G759" i="2"/>
  <c r="H759" i="2"/>
  <c r="G760" i="2"/>
  <c r="H760" i="2"/>
  <c r="G761" i="2"/>
  <c r="H761" i="2"/>
  <c r="G762" i="2"/>
  <c r="H762" i="2"/>
  <c r="G763" i="2"/>
  <c r="H763" i="2"/>
  <c r="G764" i="2"/>
  <c r="H764" i="2"/>
  <c r="G765" i="2"/>
  <c r="H765" i="2"/>
  <c r="G766" i="2"/>
  <c r="H766" i="2"/>
  <c r="G767" i="2"/>
  <c r="H767" i="2"/>
  <c r="G768" i="2"/>
  <c r="H768" i="2"/>
  <c r="G769" i="2"/>
  <c r="H769" i="2"/>
  <c r="G770" i="2"/>
  <c r="H770" i="2"/>
  <c r="G771" i="2"/>
  <c r="H771" i="2"/>
  <c r="G772" i="2"/>
  <c r="H772" i="2"/>
  <c r="G773" i="2"/>
  <c r="H773" i="2"/>
  <c r="G774" i="2"/>
  <c r="H774" i="2"/>
  <c r="G775" i="2"/>
  <c r="H775" i="2"/>
  <c r="G776" i="2"/>
  <c r="H776" i="2"/>
  <c r="G777" i="2"/>
  <c r="H777" i="2"/>
  <c r="G778" i="2"/>
  <c r="H778" i="2"/>
  <c r="G779" i="2"/>
  <c r="H779" i="2"/>
  <c r="G780" i="2"/>
  <c r="H780" i="2"/>
  <c r="G781" i="2"/>
  <c r="H781" i="2"/>
  <c r="G782" i="2"/>
  <c r="H782" i="2"/>
  <c r="G783" i="2"/>
  <c r="H783" i="2"/>
  <c r="G784" i="2"/>
  <c r="H784" i="2"/>
  <c r="G785" i="2"/>
  <c r="H785" i="2"/>
  <c r="G786" i="2"/>
  <c r="H786" i="2"/>
  <c r="G787" i="2"/>
  <c r="H787" i="2"/>
  <c r="G788" i="2"/>
  <c r="H788" i="2"/>
  <c r="G789" i="2"/>
  <c r="H789" i="2"/>
  <c r="G790" i="2"/>
  <c r="H790" i="2"/>
  <c r="G791" i="2"/>
  <c r="H791" i="2"/>
  <c r="G792" i="2"/>
  <c r="H792" i="2"/>
  <c r="G793" i="2"/>
  <c r="H793" i="2"/>
  <c r="G794" i="2"/>
  <c r="H794" i="2"/>
  <c r="G795" i="2"/>
  <c r="H795" i="2"/>
  <c r="G796" i="2"/>
  <c r="H796" i="2"/>
  <c r="G797" i="2"/>
  <c r="H797" i="2"/>
  <c r="G798" i="2"/>
  <c r="H798" i="2"/>
  <c r="G799" i="2"/>
  <c r="H799" i="2"/>
  <c r="G800" i="2"/>
  <c r="H800" i="2"/>
  <c r="G801" i="2"/>
  <c r="H801" i="2"/>
  <c r="G802" i="2"/>
  <c r="H802" i="2"/>
  <c r="G803" i="2"/>
  <c r="H803" i="2"/>
  <c r="G804" i="2"/>
  <c r="H804" i="2"/>
  <c r="G805" i="2"/>
  <c r="H805" i="2"/>
  <c r="G806" i="2"/>
  <c r="H806" i="2"/>
  <c r="G807" i="2"/>
  <c r="H807" i="2"/>
  <c r="G808" i="2"/>
  <c r="H808" i="2"/>
  <c r="G809" i="2"/>
  <c r="H809" i="2"/>
  <c r="G810" i="2"/>
  <c r="H810" i="2"/>
  <c r="G811" i="2"/>
  <c r="H811" i="2"/>
  <c r="G812" i="2"/>
  <c r="H812" i="2"/>
  <c r="G813" i="2"/>
  <c r="H813" i="2"/>
  <c r="G814" i="2"/>
  <c r="H814" i="2"/>
  <c r="G815" i="2"/>
  <c r="H815" i="2"/>
  <c r="G816" i="2"/>
  <c r="H816" i="2"/>
  <c r="G817" i="2"/>
  <c r="H817" i="2"/>
  <c r="G818" i="2"/>
  <c r="H818" i="2"/>
  <c r="G819" i="2"/>
  <c r="H819" i="2"/>
  <c r="G820" i="2"/>
  <c r="H820" i="2"/>
  <c r="G821" i="2"/>
  <c r="H821" i="2"/>
  <c r="G822" i="2"/>
  <c r="H822" i="2"/>
  <c r="G823" i="2"/>
  <c r="H823" i="2"/>
  <c r="G824" i="2"/>
  <c r="H824" i="2"/>
  <c r="G825" i="2"/>
  <c r="H825" i="2"/>
  <c r="G826" i="2"/>
  <c r="H826" i="2"/>
  <c r="G827" i="2"/>
  <c r="H827" i="2"/>
  <c r="G828" i="2"/>
  <c r="H828" i="2"/>
  <c r="G829" i="2"/>
  <c r="H829" i="2"/>
  <c r="G830" i="2"/>
  <c r="H830" i="2"/>
  <c r="G831" i="2"/>
  <c r="H831" i="2"/>
  <c r="G832" i="2"/>
  <c r="H832" i="2"/>
  <c r="G833" i="2"/>
  <c r="H833" i="2"/>
  <c r="G834" i="2"/>
  <c r="H834" i="2"/>
  <c r="G835" i="2"/>
  <c r="H835" i="2"/>
  <c r="G836" i="2"/>
  <c r="H836" i="2"/>
  <c r="G837" i="2"/>
  <c r="H837" i="2"/>
  <c r="G838" i="2"/>
  <c r="H838" i="2"/>
  <c r="G839" i="2"/>
  <c r="H839" i="2"/>
  <c r="G840" i="2"/>
  <c r="H840" i="2"/>
  <c r="G841" i="2"/>
  <c r="H841" i="2"/>
  <c r="G842" i="2"/>
  <c r="H842" i="2"/>
  <c r="G843" i="2"/>
  <c r="H843" i="2"/>
  <c r="G844" i="2"/>
  <c r="H844" i="2"/>
  <c r="G845" i="2"/>
  <c r="H845" i="2"/>
  <c r="G846" i="2"/>
  <c r="H846" i="2"/>
  <c r="G847" i="2"/>
  <c r="H847" i="2"/>
  <c r="G848" i="2"/>
  <c r="H848" i="2"/>
  <c r="G849" i="2"/>
  <c r="H849" i="2"/>
  <c r="G850" i="2"/>
  <c r="H850" i="2"/>
  <c r="G851" i="2"/>
  <c r="H851" i="2"/>
  <c r="G852" i="2"/>
  <c r="H852" i="2"/>
  <c r="G853" i="2"/>
  <c r="H853" i="2"/>
  <c r="G854" i="2"/>
  <c r="H854" i="2"/>
  <c r="G855" i="2"/>
  <c r="H855" i="2"/>
  <c r="G856" i="2"/>
  <c r="H856" i="2"/>
  <c r="G857" i="2"/>
  <c r="H857" i="2"/>
  <c r="G858" i="2"/>
  <c r="H858" i="2"/>
  <c r="G859" i="2"/>
  <c r="H859" i="2"/>
  <c r="G860" i="2"/>
  <c r="H860" i="2"/>
  <c r="G861" i="2"/>
  <c r="H861" i="2"/>
  <c r="G862" i="2"/>
  <c r="H862" i="2"/>
  <c r="G863" i="2"/>
  <c r="H863" i="2"/>
  <c r="G864" i="2"/>
  <c r="H864" i="2"/>
  <c r="G865" i="2"/>
  <c r="H865" i="2"/>
  <c r="G866" i="2"/>
  <c r="H866" i="2"/>
  <c r="G867" i="2"/>
  <c r="H867" i="2"/>
  <c r="G868" i="2"/>
  <c r="H868" i="2"/>
  <c r="G869" i="2"/>
  <c r="H869" i="2"/>
  <c r="G870" i="2"/>
  <c r="H870" i="2"/>
  <c r="G871" i="2"/>
  <c r="H871" i="2"/>
  <c r="G872" i="2"/>
  <c r="H872" i="2"/>
  <c r="G873" i="2"/>
  <c r="H873" i="2"/>
  <c r="G874" i="2"/>
  <c r="H874" i="2"/>
  <c r="G875" i="2"/>
  <c r="H875" i="2"/>
  <c r="G876" i="2"/>
  <c r="H876" i="2"/>
  <c r="G877" i="2"/>
  <c r="H877" i="2"/>
  <c r="G878" i="2"/>
  <c r="H878" i="2"/>
  <c r="G879" i="2"/>
  <c r="H879" i="2"/>
  <c r="G880" i="2"/>
  <c r="H880" i="2"/>
  <c r="G881" i="2"/>
  <c r="H881" i="2"/>
  <c r="G882" i="2"/>
  <c r="H882" i="2"/>
  <c r="G883" i="2"/>
  <c r="H883" i="2"/>
  <c r="G884" i="2"/>
  <c r="H884" i="2"/>
  <c r="G885" i="2"/>
  <c r="H885" i="2"/>
  <c r="G886" i="2"/>
  <c r="H886" i="2"/>
  <c r="G887" i="2"/>
  <c r="H887" i="2"/>
  <c r="G888" i="2"/>
  <c r="H888" i="2"/>
  <c r="G889" i="2"/>
  <c r="H889" i="2"/>
  <c r="G890" i="2"/>
  <c r="H890" i="2"/>
  <c r="G891" i="2"/>
  <c r="H891" i="2"/>
  <c r="G892" i="2"/>
  <c r="H892" i="2"/>
  <c r="G893" i="2"/>
  <c r="H893" i="2"/>
  <c r="G894" i="2"/>
  <c r="H894" i="2"/>
  <c r="G895" i="2"/>
  <c r="H895" i="2"/>
  <c r="G896" i="2"/>
  <c r="H896" i="2"/>
  <c r="G897" i="2"/>
  <c r="H897" i="2"/>
  <c r="G898" i="2"/>
  <c r="H898" i="2"/>
  <c r="G899" i="2"/>
  <c r="H899" i="2"/>
  <c r="G900" i="2"/>
  <c r="H900" i="2"/>
  <c r="G901" i="2"/>
  <c r="H901" i="2"/>
  <c r="G902" i="2"/>
  <c r="H902" i="2"/>
  <c r="G903" i="2"/>
  <c r="H903" i="2"/>
  <c r="G904" i="2"/>
  <c r="H904" i="2"/>
  <c r="G905" i="2"/>
  <c r="H905" i="2"/>
  <c r="G906" i="2"/>
  <c r="H906" i="2"/>
  <c r="G907" i="2"/>
  <c r="H907" i="2"/>
  <c r="G908" i="2"/>
  <c r="H908" i="2"/>
  <c r="G909" i="2"/>
  <c r="H909" i="2"/>
  <c r="G910" i="2"/>
  <c r="H910" i="2"/>
  <c r="G911" i="2"/>
  <c r="H911" i="2"/>
  <c r="G912" i="2"/>
  <c r="H912" i="2"/>
  <c r="G913" i="2"/>
  <c r="H913" i="2"/>
  <c r="G914" i="2"/>
  <c r="H914" i="2"/>
  <c r="G915" i="2"/>
  <c r="H915" i="2"/>
  <c r="G916" i="2"/>
  <c r="H916" i="2"/>
  <c r="G917" i="2"/>
  <c r="H917" i="2"/>
  <c r="G918" i="2"/>
  <c r="H918" i="2"/>
  <c r="G919" i="2"/>
  <c r="H919" i="2"/>
  <c r="G920" i="2"/>
  <c r="H920" i="2"/>
  <c r="G921" i="2"/>
  <c r="H921" i="2"/>
  <c r="G922" i="2"/>
  <c r="H922" i="2"/>
  <c r="G923" i="2"/>
  <c r="H923" i="2"/>
  <c r="G924" i="2"/>
  <c r="H924" i="2"/>
  <c r="G925" i="2"/>
  <c r="H925" i="2"/>
  <c r="G926" i="2"/>
  <c r="H926" i="2"/>
  <c r="G927" i="2"/>
  <c r="H927" i="2"/>
  <c r="G928" i="2"/>
  <c r="H928" i="2"/>
  <c r="G929" i="2"/>
  <c r="H929" i="2"/>
  <c r="G930" i="2"/>
  <c r="H930" i="2"/>
  <c r="G931" i="2"/>
  <c r="H931" i="2"/>
  <c r="G932" i="2"/>
  <c r="H932" i="2"/>
  <c r="G933" i="2"/>
  <c r="H933" i="2"/>
  <c r="G934" i="2"/>
  <c r="H934" i="2"/>
  <c r="G935" i="2"/>
  <c r="H935" i="2"/>
  <c r="G936" i="2"/>
  <c r="H936" i="2"/>
  <c r="G937" i="2"/>
  <c r="H937" i="2"/>
  <c r="G938" i="2"/>
  <c r="H938" i="2"/>
  <c r="G939" i="2"/>
  <c r="H939" i="2"/>
  <c r="G940" i="2"/>
  <c r="H940" i="2"/>
  <c r="G941" i="2"/>
  <c r="H941" i="2"/>
  <c r="G942" i="2"/>
  <c r="H942" i="2"/>
  <c r="G943" i="2"/>
  <c r="H943" i="2"/>
  <c r="G944" i="2"/>
  <c r="H944" i="2"/>
  <c r="G945" i="2"/>
  <c r="H945" i="2"/>
  <c r="G946" i="2"/>
  <c r="H946" i="2"/>
  <c r="G947" i="2"/>
  <c r="H947" i="2"/>
  <c r="G948" i="2"/>
  <c r="H948" i="2"/>
  <c r="G949" i="2"/>
  <c r="H949" i="2"/>
  <c r="G950" i="2"/>
  <c r="H950" i="2"/>
  <c r="G951" i="2"/>
  <c r="H951" i="2"/>
  <c r="G952" i="2"/>
  <c r="H952" i="2"/>
  <c r="G953" i="2"/>
  <c r="H953" i="2"/>
  <c r="G954" i="2"/>
  <c r="H954" i="2"/>
  <c r="G955" i="2"/>
  <c r="H955" i="2"/>
  <c r="G956" i="2"/>
  <c r="H956" i="2"/>
  <c r="G957" i="2"/>
  <c r="H957" i="2"/>
  <c r="G958" i="2"/>
  <c r="H958" i="2"/>
  <c r="G959" i="2"/>
  <c r="H959" i="2"/>
  <c r="G960" i="2"/>
  <c r="H960" i="2"/>
  <c r="G961" i="2"/>
  <c r="H961" i="2"/>
  <c r="G962" i="2"/>
  <c r="H962" i="2"/>
  <c r="G963" i="2"/>
  <c r="H963" i="2"/>
  <c r="G964" i="2"/>
  <c r="H964" i="2"/>
  <c r="G965" i="2"/>
  <c r="H965" i="2"/>
  <c r="G966" i="2"/>
  <c r="H966" i="2"/>
  <c r="G967" i="2"/>
  <c r="H967" i="2"/>
  <c r="G968" i="2"/>
  <c r="H968" i="2"/>
  <c r="G969" i="2"/>
  <c r="H969" i="2"/>
  <c r="G970" i="2"/>
  <c r="H970" i="2"/>
  <c r="G971" i="2"/>
  <c r="H971" i="2"/>
  <c r="G972" i="2"/>
  <c r="H972" i="2"/>
  <c r="G973" i="2"/>
  <c r="H973" i="2"/>
  <c r="G974" i="2"/>
  <c r="H974" i="2"/>
  <c r="G975" i="2"/>
  <c r="H975" i="2"/>
  <c r="G976" i="2"/>
  <c r="H976" i="2"/>
  <c r="G977" i="2"/>
  <c r="H977" i="2"/>
  <c r="G978" i="2"/>
  <c r="H978" i="2"/>
  <c r="G979" i="2"/>
  <c r="H979" i="2"/>
  <c r="G980" i="2"/>
  <c r="H980" i="2"/>
  <c r="G981" i="2"/>
  <c r="H981" i="2"/>
  <c r="G982" i="2"/>
  <c r="H982" i="2"/>
  <c r="G983" i="2"/>
  <c r="H983" i="2"/>
  <c r="G984" i="2"/>
  <c r="H984" i="2"/>
  <c r="G985" i="2"/>
  <c r="H985" i="2"/>
  <c r="G986" i="2"/>
  <c r="H986" i="2"/>
  <c r="G987" i="2"/>
  <c r="H987" i="2"/>
  <c r="G988" i="2"/>
  <c r="H988" i="2"/>
  <c r="G989" i="2"/>
  <c r="H989" i="2"/>
  <c r="G990" i="2"/>
  <c r="H990" i="2"/>
  <c r="G991" i="2"/>
  <c r="H991" i="2"/>
  <c r="G992" i="2"/>
  <c r="H992" i="2"/>
  <c r="G993" i="2"/>
  <c r="H993" i="2"/>
  <c r="G994" i="2"/>
  <c r="H994" i="2"/>
  <c r="G995" i="2"/>
  <c r="H995" i="2"/>
  <c r="G996" i="2"/>
  <c r="H996" i="2"/>
  <c r="G997" i="2"/>
  <c r="H997" i="2"/>
  <c r="G998" i="2"/>
  <c r="H998" i="2"/>
  <c r="G999" i="2"/>
  <c r="H999" i="2"/>
  <c r="G1000" i="2"/>
  <c r="H1000" i="2"/>
  <c r="G1001" i="2"/>
  <c r="H1001" i="2"/>
  <c r="G1002" i="2"/>
  <c r="H1002" i="2"/>
  <c r="G1003" i="2"/>
  <c r="H1003" i="2"/>
  <c r="G1004" i="2"/>
  <c r="H1004" i="2"/>
  <c r="G1005" i="2"/>
  <c r="H1005" i="2"/>
  <c r="G1006" i="2"/>
  <c r="H1006" i="2"/>
  <c r="G1007" i="2"/>
  <c r="H1007" i="2"/>
  <c r="G1008" i="2"/>
  <c r="H1008" i="2"/>
  <c r="G1009" i="2"/>
  <c r="H1009" i="2"/>
  <c r="G1010" i="2"/>
  <c r="H1010" i="2"/>
  <c r="G1011" i="2"/>
  <c r="H1011" i="2"/>
  <c r="G1012" i="2"/>
  <c r="H1012" i="2"/>
  <c r="G1013" i="2"/>
  <c r="H1013" i="2"/>
  <c r="G1014" i="2"/>
  <c r="H1014" i="2"/>
  <c r="G1015" i="2"/>
  <c r="H1015" i="2"/>
  <c r="G1016" i="2"/>
  <c r="H1016" i="2"/>
  <c r="G1017" i="2"/>
  <c r="H1017" i="2"/>
  <c r="G1018" i="2"/>
  <c r="H1018" i="2"/>
  <c r="G1019" i="2"/>
  <c r="H1019" i="2"/>
  <c r="G1020" i="2"/>
  <c r="H1020" i="2"/>
  <c r="G1021" i="2"/>
  <c r="H1021" i="2"/>
  <c r="G1022" i="2"/>
  <c r="H1022" i="2"/>
  <c r="G1023" i="2"/>
  <c r="H1023" i="2"/>
  <c r="G1024" i="2"/>
  <c r="H1024" i="2"/>
  <c r="G1025" i="2"/>
  <c r="H1025" i="2"/>
  <c r="G1026" i="2"/>
  <c r="H1026" i="2"/>
  <c r="G1027" i="2"/>
  <c r="H1027" i="2"/>
  <c r="G1028" i="2"/>
  <c r="H1028" i="2"/>
  <c r="G1029" i="2"/>
  <c r="H1029" i="2"/>
  <c r="G1030" i="2"/>
  <c r="H1030" i="2"/>
  <c r="G1031" i="2"/>
  <c r="H1031" i="2"/>
  <c r="G1032" i="2"/>
  <c r="H1032" i="2"/>
  <c r="G1033" i="2"/>
  <c r="H1033" i="2"/>
  <c r="G1034" i="2"/>
  <c r="H1034" i="2"/>
  <c r="G1035" i="2"/>
  <c r="H1035" i="2"/>
  <c r="G1036" i="2"/>
  <c r="H1036" i="2"/>
  <c r="G1037" i="2"/>
  <c r="H1037" i="2"/>
  <c r="G1038" i="2"/>
  <c r="H1038" i="2"/>
  <c r="G1039" i="2"/>
  <c r="H1039" i="2"/>
  <c r="G1040" i="2"/>
  <c r="H1040" i="2"/>
  <c r="G1041" i="2"/>
  <c r="H1041" i="2"/>
  <c r="G1042" i="2"/>
  <c r="H1042" i="2"/>
  <c r="G1043" i="2"/>
  <c r="H1043" i="2"/>
  <c r="G1044" i="2"/>
  <c r="H1044" i="2"/>
  <c r="G1045" i="2"/>
  <c r="H1045" i="2"/>
  <c r="G1046" i="2"/>
  <c r="H1046" i="2"/>
  <c r="G1047" i="2"/>
  <c r="H1047" i="2"/>
  <c r="G1048" i="2"/>
  <c r="H1048" i="2"/>
  <c r="G1049" i="2"/>
  <c r="H1049" i="2"/>
  <c r="G1050" i="2"/>
  <c r="H1050" i="2"/>
  <c r="G1051" i="2"/>
  <c r="H1051" i="2"/>
  <c r="G1052" i="2"/>
  <c r="H1052" i="2"/>
  <c r="G1053" i="2"/>
  <c r="H1053" i="2"/>
  <c r="G1054" i="2"/>
  <c r="H1054" i="2"/>
  <c r="G1055" i="2"/>
  <c r="H1055" i="2"/>
  <c r="G1056" i="2"/>
  <c r="H1056" i="2"/>
  <c r="G1057" i="2"/>
  <c r="H1057" i="2"/>
  <c r="G1058" i="2"/>
  <c r="H1058" i="2"/>
  <c r="G1059" i="2"/>
  <c r="H1059" i="2"/>
  <c r="G1060" i="2"/>
  <c r="H1060" i="2"/>
  <c r="G1061" i="2"/>
  <c r="H1061" i="2"/>
  <c r="G1062" i="2"/>
  <c r="H1062" i="2"/>
  <c r="G1063" i="2"/>
  <c r="H1063" i="2"/>
  <c r="G1064" i="2"/>
  <c r="H1064" i="2"/>
  <c r="G1065" i="2"/>
  <c r="H1065" i="2"/>
  <c r="G1066" i="2"/>
  <c r="H1066" i="2"/>
  <c r="G1067" i="2"/>
  <c r="H1067" i="2"/>
  <c r="G1068" i="2"/>
  <c r="H1068" i="2"/>
  <c r="G1069" i="2"/>
  <c r="H1069" i="2"/>
  <c r="G1070" i="2"/>
  <c r="H1070" i="2"/>
  <c r="G1071" i="2"/>
  <c r="H1071" i="2"/>
  <c r="G1072" i="2"/>
  <c r="H1072" i="2"/>
  <c r="G1073" i="2"/>
  <c r="H1073" i="2"/>
  <c r="G1074" i="2"/>
  <c r="H1074" i="2"/>
  <c r="G1075" i="2"/>
  <c r="H1075" i="2"/>
  <c r="G1076" i="2"/>
  <c r="H1076" i="2"/>
  <c r="G1077" i="2"/>
  <c r="H1077" i="2"/>
  <c r="G1078" i="2"/>
  <c r="H1078" i="2"/>
  <c r="G1079" i="2"/>
  <c r="H1079" i="2"/>
  <c r="G1080" i="2"/>
  <c r="H1080" i="2"/>
  <c r="G1081" i="2"/>
  <c r="H1081" i="2"/>
  <c r="G1082" i="2"/>
  <c r="H1082" i="2"/>
  <c r="G1083" i="2"/>
  <c r="H1083" i="2"/>
  <c r="G1084" i="2"/>
  <c r="H1084" i="2"/>
  <c r="G1085" i="2"/>
  <c r="H1085" i="2"/>
  <c r="G1086" i="2"/>
  <c r="H1086" i="2"/>
  <c r="G1087" i="2"/>
  <c r="H1087" i="2"/>
  <c r="G1088" i="2"/>
  <c r="H1088" i="2"/>
  <c r="G1089" i="2"/>
  <c r="H1089" i="2"/>
  <c r="G1090" i="2"/>
  <c r="H1090" i="2"/>
  <c r="G1091" i="2"/>
  <c r="H1091" i="2"/>
  <c r="G1092" i="2"/>
  <c r="H1092" i="2"/>
  <c r="G1093" i="2"/>
  <c r="H1093" i="2"/>
  <c r="G1094" i="2"/>
  <c r="H1094" i="2"/>
  <c r="G1095" i="2"/>
  <c r="H1095" i="2"/>
  <c r="G1096" i="2"/>
  <c r="H1096" i="2"/>
  <c r="G1097" i="2"/>
  <c r="H1097" i="2"/>
  <c r="G1098" i="2"/>
  <c r="H1098" i="2"/>
  <c r="G1099" i="2"/>
  <c r="H1099" i="2"/>
  <c r="G1100" i="2"/>
  <c r="H1100" i="2"/>
  <c r="G1101" i="2"/>
  <c r="H1101" i="2"/>
  <c r="G1102" i="2"/>
  <c r="H1102" i="2"/>
  <c r="G1103" i="2"/>
  <c r="H1103" i="2"/>
  <c r="G1104" i="2"/>
  <c r="H1104" i="2"/>
  <c r="G1105" i="2"/>
  <c r="H1105" i="2"/>
  <c r="G1106" i="2"/>
  <c r="H1106" i="2"/>
  <c r="G1107" i="2"/>
  <c r="H1107" i="2"/>
  <c r="G1108" i="2"/>
  <c r="H1108" i="2"/>
  <c r="G1109" i="2"/>
  <c r="H1109" i="2"/>
  <c r="G1110" i="2"/>
  <c r="H1110" i="2"/>
  <c r="G1111" i="2"/>
  <c r="H1111" i="2"/>
  <c r="G1112" i="2"/>
  <c r="H1112" i="2"/>
  <c r="G1113" i="2"/>
  <c r="H1113" i="2"/>
  <c r="G1114" i="2"/>
  <c r="H1114" i="2"/>
  <c r="G1115" i="2"/>
  <c r="H1115" i="2"/>
  <c r="G1116" i="2"/>
  <c r="H1116" i="2"/>
  <c r="G1117" i="2"/>
  <c r="H1117" i="2"/>
  <c r="G1118" i="2"/>
  <c r="H1118" i="2"/>
  <c r="G1119" i="2"/>
  <c r="H1119" i="2"/>
  <c r="G1120" i="2"/>
  <c r="H1120" i="2"/>
  <c r="G1121" i="2"/>
  <c r="H1121" i="2"/>
  <c r="G1122" i="2"/>
  <c r="H1122" i="2"/>
  <c r="G1123" i="2"/>
  <c r="H1123" i="2"/>
  <c r="G1124" i="2"/>
  <c r="H1124" i="2"/>
  <c r="G1125" i="2"/>
  <c r="H1125" i="2"/>
  <c r="G1126" i="2"/>
  <c r="H1126" i="2"/>
  <c r="G1127" i="2"/>
  <c r="H1127" i="2"/>
  <c r="G1128" i="2"/>
  <c r="H1128" i="2"/>
  <c r="G1129" i="2"/>
  <c r="H1129" i="2"/>
  <c r="G1130" i="2"/>
  <c r="H1130" i="2"/>
  <c r="G1131" i="2"/>
  <c r="H1131" i="2"/>
  <c r="G1132" i="2"/>
  <c r="H1132" i="2"/>
  <c r="G1133" i="2"/>
  <c r="H1133" i="2"/>
  <c r="G1134" i="2"/>
  <c r="H1134" i="2"/>
  <c r="G1135" i="2"/>
  <c r="H1135" i="2"/>
  <c r="G1136" i="2"/>
  <c r="H1136" i="2"/>
  <c r="G1137" i="2"/>
  <c r="H1137" i="2"/>
  <c r="G1138" i="2"/>
  <c r="H1138" i="2"/>
  <c r="G1139" i="2"/>
  <c r="H1139" i="2"/>
  <c r="G1140" i="2"/>
  <c r="H1140" i="2"/>
  <c r="G1141" i="2"/>
  <c r="H1141" i="2"/>
  <c r="G1142" i="2"/>
  <c r="H1142" i="2"/>
  <c r="G1143" i="2"/>
  <c r="H1143" i="2"/>
  <c r="G1144" i="2"/>
  <c r="H1144" i="2"/>
  <c r="G1145" i="2"/>
  <c r="H1145" i="2"/>
  <c r="G1146" i="2"/>
  <c r="H1146" i="2"/>
  <c r="G1147" i="2"/>
  <c r="H1147" i="2"/>
  <c r="G1148" i="2"/>
  <c r="H1148" i="2"/>
  <c r="G1149" i="2"/>
  <c r="H1149" i="2"/>
  <c r="G1150" i="2"/>
  <c r="H1150" i="2"/>
  <c r="G1151" i="2"/>
  <c r="H1151" i="2"/>
  <c r="G1152" i="2"/>
  <c r="H1152" i="2"/>
  <c r="G1153" i="2"/>
  <c r="H1153" i="2"/>
  <c r="G1154" i="2"/>
  <c r="H1154" i="2"/>
  <c r="G1155" i="2"/>
  <c r="H1155" i="2"/>
  <c r="G1156" i="2"/>
  <c r="H1156" i="2"/>
  <c r="G1157" i="2"/>
  <c r="H1157" i="2"/>
  <c r="G1158" i="2"/>
  <c r="H1158" i="2"/>
  <c r="G1159" i="2"/>
  <c r="H1159" i="2"/>
  <c r="G1160" i="2"/>
  <c r="H1160" i="2"/>
  <c r="G1161" i="2"/>
  <c r="H1161" i="2"/>
  <c r="G1162" i="2"/>
  <c r="H1162" i="2"/>
  <c r="G1163" i="2"/>
  <c r="H1163" i="2"/>
  <c r="G1164" i="2"/>
  <c r="H1164" i="2"/>
  <c r="G1165" i="2"/>
  <c r="H1165" i="2"/>
  <c r="G1166" i="2"/>
  <c r="H1166" i="2"/>
  <c r="G1167" i="2"/>
  <c r="H1167" i="2"/>
  <c r="G1168" i="2"/>
  <c r="H1168" i="2"/>
  <c r="G1169" i="2"/>
  <c r="H1169" i="2"/>
  <c r="G1170" i="2"/>
  <c r="H1170" i="2"/>
  <c r="G1171" i="2"/>
  <c r="H1171" i="2"/>
  <c r="G1172" i="2"/>
  <c r="H1172" i="2"/>
  <c r="G1173" i="2"/>
  <c r="H1173" i="2"/>
  <c r="G1174" i="2"/>
  <c r="H1174" i="2"/>
  <c r="G1175" i="2"/>
  <c r="H1175" i="2"/>
  <c r="G1176" i="2"/>
  <c r="H1176" i="2"/>
  <c r="G1177" i="2"/>
  <c r="H1177" i="2"/>
  <c r="G1178" i="2"/>
  <c r="H1178" i="2"/>
  <c r="G1179" i="2"/>
  <c r="H1179" i="2"/>
  <c r="G1180" i="2"/>
  <c r="H1180" i="2"/>
  <c r="G1181" i="2"/>
  <c r="H1181" i="2"/>
  <c r="G1182" i="2"/>
  <c r="H1182" i="2"/>
  <c r="G1183" i="2"/>
  <c r="H1183" i="2"/>
  <c r="G1184" i="2"/>
  <c r="H1184" i="2"/>
  <c r="G1185" i="2"/>
  <c r="H1185" i="2"/>
  <c r="G1186" i="2"/>
  <c r="H1186" i="2"/>
  <c r="G1187" i="2"/>
  <c r="H1187" i="2"/>
  <c r="G1188" i="2"/>
  <c r="H1188" i="2"/>
  <c r="G1189" i="2"/>
  <c r="H1189" i="2"/>
  <c r="G1190" i="2"/>
  <c r="H1190" i="2"/>
  <c r="G1191" i="2"/>
  <c r="H1191" i="2"/>
  <c r="G1192" i="2"/>
  <c r="H1192" i="2"/>
  <c r="G1193" i="2"/>
  <c r="H1193" i="2"/>
  <c r="G1194" i="2"/>
  <c r="H1194" i="2"/>
  <c r="G1195" i="2"/>
  <c r="H1195" i="2"/>
  <c r="G1196" i="2"/>
  <c r="H1196" i="2"/>
  <c r="G1197" i="2"/>
  <c r="H1197" i="2"/>
  <c r="G1198" i="2"/>
  <c r="H1198" i="2"/>
  <c r="G1199" i="2"/>
  <c r="H1199" i="2"/>
  <c r="G1200" i="2"/>
  <c r="H1200" i="2"/>
  <c r="G1201" i="2"/>
  <c r="H1201" i="2"/>
  <c r="G1202" i="2"/>
  <c r="H1202" i="2"/>
  <c r="G1203" i="2"/>
  <c r="H1203" i="2"/>
  <c r="G1204" i="2"/>
  <c r="H1204" i="2"/>
  <c r="G1205" i="2"/>
  <c r="H1205" i="2"/>
  <c r="G1206" i="2"/>
  <c r="H1206" i="2"/>
  <c r="G1207" i="2"/>
  <c r="H1207" i="2"/>
  <c r="G1208" i="2"/>
  <c r="H1208" i="2"/>
  <c r="G1209" i="2"/>
  <c r="H1209" i="2"/>
  <c r="G1210" i="2"/>
  <c r="H1210" i="2"/>
  <c r="G1211" i="2"/>
  <c r="H1211" i="2"/>
  <c r="G1212" i="2"/>
  <c r="H1212" i="2"/>
  <c r="G1213" i="2"/>
  <c r="H1213" i="2"/>
  <c r="G1214" i="2"/>
  <c r="H1214" i="2"/>
  <c r="G1215" i="2"/>
  <c r="H1215" i="2"/>
  <c r="G1216" i="2"/>
  <c r="H1216" i="2"/>
  <c r="G1217" i="2"/>
  <c r="H1217" i="2"/>
  <c r="G1218" i="2"/>
  <c r="H1218" i="2"/>
  <c r="G1219" i="2"/>
  <c r="H1219" i="2"/>
  <c r="G1220" i="2"/>
  <c r="H1220" i="2"/>
  <c r="G1221" i="2"/>
  <c r="H1221" i="2"/>
  <c r="G1222" i="2"/>
  <c r="H1222" i="2"/>
  <c r="G1223" i="2"/>
  <c r="H1223" i="2"/>
  <c r="G1224" i="2"/>
  <c r="H1224" i="2"/>
  <c r="G1225" i="2"/>
  <c r="H1225" i="2"/>
  <c r="G1226" i="2"/>
  <c r="H1226" i="2"/>
  <c r="G1227" i="2"/>
  <c r="H1227" i="2"/>
  <c r="G1228" i="2"/>
  <c r="H1228" i="2"/>
  <c r="G1229" i="2"/>
  <c r="H1229" i="2"/>
  <c r="G1230" i="2"/>
  <c r="H1230" i="2"/>
  <c r="G1231" i="2"/>
  <c r="H1231" i="2"/>
  <c r="G1232" i="2"/>
  <c r="H1232" i="2"/>
  <c r="G1233" i="2"/>
  <c r="H1233" i="2"/>
  <c r="G1234" i="2"/>
  <c r="H1234" i="2"/>
  <c r="G1235" i="2"/>
  <c r="H1235" i="2"/>
  <c r="G1236" i="2"/>
  <c r="H1236" i="2"/>
  <c r="G1237" i="2"/>
  <c r="H1237" i="2"/>
  <c r="G1238" i="2"/>
  <c r="H1238" i="2"/>
  <c r="G1239" i="2"/>
  <c r="H1239" i="2"/>
  <c r="G1240" i="2"/>
  <c r="H1240" i="2"/>
  <c r="G1241" i="2"/>
  <c r="H1241" i="2"/>
  <c r="G1242" i="2"/>
  <c r="H1242" i="2"/>
  <c r="G1243" i="2"/>
  <c r="H1243" i="2"/>
  <c r="G1244" i="2"/>
  <c r="H1244" i="2"/>
  <c r="G1245" i="2"/>
  <c r="H1245" i="2"/>
  <c r="G1246" i="2"/>
  <c r="H1246" i="2"/>
  <c r="G1247" i="2"/>
  <c r="H1247" i="2"/>
  <c r="G1248" i="2"/>
  <c r="H1248" i="2"/>
  <c r="G1249" i="2"/>
  <c r="H1249" i="2"/>
  <c r="G1250" i="2"/>
  <c r="H1250" i="2"/>
  <c r="G1251" i="2"/>
  <c r="H1251" i="2"/>
  <c r="G1252" i="2"/>
  <c r="H1252" i="2"/>
  <c r="G1253" i="2"/>
  <c r="H1253" i="2"/>
  <c r="G1254" i="2"/>
  <c r="H1254" i="2"/>
  <c r="G1255" i="2"/>
  <c r="H1255" i="2"/>
  <c r="G1256" i="2"/>
  <c r="H1256" i="2"/>
  <c r="G1257" i="2"/>
  <c r="H1257" i="2"/>
  <c r="G1258" i="2"/>
  <c r="H1258" i="2"/>
  <c r="G1259" i="2"/>
  <c r="H1259" i="2"/>
  <c r="G1260" i="2"/>
  <c r="H1260" i="2"/>
  <c r="G1261" i="2"/>
  <c r="H1261" i="2"/>
  <c r="G1262" i="2"/>
  <c r="H1262" i="2"/>
  <c r="G1263" i="2"/>
  <c r="H1263" i="2"/>
  <c r="G1264" i="2"/>
  <c r="H1264" i="2"/>
  <c r="G1265" i="2"/>
  <c r="H1265" i="2"/>
  <c r="G1266" i="2"/>
  <c r="H1266" i="2"/>
  <c r="G1267" i="2"/>
  <c r="H1267" i="2"/>
  <c r="G1268" i="2"/>
  <c r="H1268" i="2"/>
  <c r="G1269" i="2"/>
  <c r="H1269" i="2"/>
  <c r="G1270" i="2"/>
  <c r="H1270" i="2"/>
  <c r="G1271" i="2"/>
  <c r="H1271" i="2"/>
  <c r="G1272" i="2"/>
  <c r="H1272" i="2"/>
  <c r="G1273" i="2"/>
  <c r="H1273" i="2"/>
  <c r="G1274" i="2"/>
  <c r="H1274" i="2"/>
  <c r="G1275" i="2"/>
  <c r="H1275" i="2"/>
  <c r="G1276" i="2"/>
  <c r="H1276" i="2"/>
  <c r="G1277" i="2"/>
  <c r="H1277" i="2"/>
  <c r="G1278" i="2"/>
  <c r="H1278" i="2"/>
  <c r="G1279" i="2"/>
  <c r="H1279" i="2"/>
  <c r="G1280" i="2"/>
  <c r="H1280" i="2"/>
  <c r="G1281" i="2"/>
  <c r="H1281" i="2"/>
  <c r="G1282" i="2"/>
  <c r="H1282" i="2"/>
  <c r="G1283" i="2"/>
  <c r="H1283" i="2"/>
  <c r="G1284" i="2"/>
  <c r="H1284" i="2"/>
  <c r="G1285" i="2"/>
  <c r="H1285" i="2"/>
  <c r="G1286" i="2"/>
  <c r="H1286" i="2"/>
  <c r="G1287" i="2"/>
  <c r="H1287" i="2"/>
  <c r="G1288" i="2"/>
  <c r="H1288" i="2"/>
  <c r="G1289" i="2"/>
  <c r="H1289" i="2"/>
  <c r="G1290" i="2"/>
  <c r="H1290" i="2"/>
  <c r="G1291" i="2"/>
  <c r="H1291" i="2"/>
  <c r="G1292" i="2"/>
  <c r="H1292" i="2"/>
  <c r="G1293" i="2"/>
  <c r="H1293" i="2"/>
  <c r="G1294" i="2"/>
  <c r="H1294" i="2"/>
  <c r="G1295" i="2"/>
  <c r="H1295" i="2"/>
  <c r="G1296" i="2"/>
  <c r="H1296" i="2"/>
  <c r="G1297" i="2"/>
  <c r="H1297" i="2"/>
  <c r="G1298" i="2"/>
  <c r="H1298" i="2"/>
  <c r="G1299" i="2"/>
  <c r="H1299" i="2"/>
  <c r="G1300" i="2"/>
  <c r="H1300" i="2"/>
  <c r="G1301" i="2"/>
  <c r="H1301" i="2"/>
  <c r="G1302" i="2"/>
  <c r="H1302" i="2"/>
  <c r="G1303" i="2"/>
  <c r="H1303" i="2"/>
  <c r="G1304" i="2"/>
  <c r="H1304" i="2"/>
  <c r="G1305" i="2"/>
  <c r="H1305" i="2"/>
  <c r="G1306" i="2"/>
  <c r="H1306" i="2"/>
  <c r="G1307" i="2"/>
  <c r="H1307" i="2"/>
  <c r="G1308" i="2"/>
  <c r="H1308" i="2"/>
  <c r="G1309" i="2"/>
  <c r="H1309" i="2"/>
  <c r="G1310" i="2"/>
  <c r="H1310" i="2"/>
  <c r="G1311" i="2"/>
  <c r="H1311" i="2"/>
  <c r="G1312" i="2"/>
  <c r="H1312" i="2"/>
  <c r="G1313" i="2"/>
  <c r="H1313" i="2"/>
  <c r="G1314" i="2"/>
  <c r="H1314" i="2"/>
  <c r="G1315" i="2"/>
  <c r="H1315" i="2"/>
  <c r="G1316" i="2"/>
  <c r="H1316" i="2"/>
  <c r="G1317" i="2"/>
  <c r="H1317" i="2"/>
  <c r="G1318" i="2"/>
  <c r="H1318" i="2"/>
  <c r="G1319" i="2"/>
  <c r="H1319" i="2"/>
  <c r="G1320" i="2"/>
  <c r="H1320" i="2"/>
  <c r="G1321" i="2"/>
  <c r="H1321" i="2"/>
  <c r="G1322" i="2"/>
  <c r="H1322" i="2"/>
  <c r="G1323" i="2"/>
  <c r="H1323" i="2"/>
  <c r="G1324" i="2"/>
  <c r="H1324" i="2"/>
  <c r="G1325" i="2"/>
  <c r="H1325" i="2"/>
  <c r="G1326" i="2"/>
  <c r="H1326" i="2"/>
  <c r="G1327" i="2"/>
  <c r="H1327" i="2"/>
  <c r="G1328" i="2"/>
  <c r="H1328" i="2"/>
  <c r="G1329" i="2"/>
  <c r="H1329" i="2"/>
  <c r="G1330" i="2"/>
  <c r="H1330" i="2"/>
  <c r="G1331" i="2"/>
  <c r="H1331" i="2"/>
  <c r="G1332" i="2"/>
  <c r="H1332" i="2"/>
  <c r="G1333" i="2"/>
  <c r="H1333" i="2"/>
  <c r="G1334" i="2"/>
  <c r="H1334" i="2"/>
  <c r="G1335" i="2"/>
  <c r="H1335" i="2"/>
  <c r="G1336" i="2"/>
  <c r="H1336" i="2"/>
  <c r="G1337" i="2"/>
  <c r="H1337" i="2"/>
  <c r="G1338" i="2"/>
  <c r="H1338" i="2"/>
  <c r="G1339" i="2"/>
  <c r="H1339" i="2"/>
  <c r="G1340" i="2"/>
  <c r="H1340" i="2"/>
  <c r="G1341" i="2"/>
  <c r="H1341" i="2"/>
  <c r="G1342" i="2"/>
  <c r="H1342" i="2"/>
  <c r="G1343" i="2"/>
  <c r="H1343" i="2"/>
  <c r="G1344" i="2"/>
  <c r="H1344" i="2"/>
  <c r="G1345" i="2"/>
  <c r="H1345" i="2"/>
  <c r="G1346" i="2"/>
  <c r="H1346" i="2"/>
  <c r="G1347" i="2"/>
  <c r="H1347" i="2"/>
  <c r="G1348" i="2"/>
  <c r="H1348" i="2"/>
  <c r="G1349" i="2"/>
  <c r="H1349" i="2"/>
  <c r="G1350" i="2"/>
  <c r="H1350" i="2"/>
  <c r="G1351" i="2"/>
  <c r="H1351" i="2"/>
  <c r="G1352" i="2"/>
  <c r="H1352" i="2"/>
  <c r="G1353" i="2"/>
  <c r="H1353" i="2"/>
  <c r="G1354" i="2"/>
  <c r="H1354" i="2"/>
  <c r="G1355" i="2"/>
  <c r="H1355" i="2"/>
  <c r="G1356" i="2"/>
  <c r="H1356" i="2"/>
  <c r="G1357" i="2"/>
  <c r="H1357" i="2"/>
  <c r="G1358" i="2"/>
  <c r="H1358" i="2"/>
  <c r="G1359" i="2"/>
  <c r="H1359" i="2"/>
  <c r="G1360" i="2"/>
  <c r="H1360" i="2"/>
  <c r="G1361" i="2"/>
  <c r="H1361" i="2"/>
  <c r="G1362" i="2"/>
  <c r="H1362" i="2"/>
  <c r="G1363" i="2"/>
  <c r="H1363" i="2"/>
  <c r="G1364" i="2"/>
  <c r="H1364" i="2"/>
  <c r="G1365" i="2"/>
  <c r="H1365" i="2"/>
  <c r="G1366" i="2"/>
  <c r="H1366" i="2"/>
  <c r="G1367" i="2"/>
  <c r="H1367" i="2"/>
  <c r="G1368" i="2"/>
  <c r="H1368" i="2"/>
  <c r="G1369" i="2"/>
  <c r="H1369" i="2"/>
  <c r="G1370" i="2"/>
  <c r="H1370" i="2"/>
  <c r="G1371" i="2"/>
  <c r="H1371" i="2"/>
  <c r="G1372" i="2"/>
  <c r="H1372" i="2"/>
  <c r="G1373" i="2"/>
  <c r="H1373" i="2"/>
  <c r="G1374" i="2"/>
  <c r="H1374" i="2"/>
  <c r="G1375" i="2"/>
  <c r="H1375" i="2"/>
  <c r="F1375" i="2"/>
  <c r="E1375" i="2"/>
  <c r="D1375" i="2"/>
  <c r="C1375" i="2"/>
  <c r="B1375" i="2"/>
  <c r="A1375" i="2"/>
  <c r="F1374" i="2"/>
  <c r="E1374" i="2"/>
  <c r="D1374" i="2"/>
  <c r="C1374" i="2"/>
  <c r="B1374" i="2"/>
  <c r="A1374" i="2"/>
  <c r="F1373" i="2"/>
  <c r="E1373" i="2"/>
  <c r="D1373" i="2"/>
  <c r="C1373" i="2"/>
  <c r="B1373" i="2"/>
  <c r="A1373" i="2"/>
  <c r="F1372" i="2"/>
  <c r="E1372" i="2"/>
  <c r="D1372" i="2"/>
  <c r="C1372" i="2"/>
  <c r="B1372" i="2"/>
  <c r="A1372" i="2"/>
  <c r="F1371" i="2"/>
  <c r="E1371" i="2"/>
  <c r="D1371" i="2"/>
  <c r="C1371" i="2"/>
  <c r="B1371" i="2"/>
  <c r="A1371" i="2"/>
  <c r="F1370" i="2"/>
  <c r="E1370" i="2"/>
  <c r="D1370" i="2"/>
  <c r="C1370" i="2"/>
  <c r="B1370" i="2"/>
  <c r="A1370" i="2"/>
  <c r="F1369" i="2"/>
  <c r="E1369" i="2"/>
  <c r="D1369" i="2"/>
  <c r="C1369" i="2"/>
  <c r="B1369" i="2"/>
  <c r="A1369" i="2"/>
  <c r="F1368" i="2"/>
  <c r="E1368" i="2"/>
  <c r="D1368" i="2"/>
  <c r="C1368" i="2"/>
  <c r="B1368" i="2"/>
  <c r="A1368" i="2"/>
  <c r="F1367" i="2"/>
  <c r="E1367" i="2"/>
  <c r="D1367" i="2"/>
  <c r="C1367" i="2"/>
  <c r="B1367" i="2"/>
  <c r="A1367" i="2"/>
  <c r="F1366" i="2"/>
  <c r="E1366" i="2"/>
  <c r="D1366" i="2"/>
  <c r="C1366" i="2"/>
  <c r="B1366" i="2"/>
  <c r="A1366" i="2"/>
  <c r="F1365" i="2"/>
  <c r="E1365" i="2"/>
  <c r="D1365" i="2"/>
  <c r="C1365" i="2"/>
  <c r="B1365" i="2"/>
  <c r="A1365" i="2"/>
  <c r="F1364" i="2"/>
  <c r="E1364" i="2"/>
  <c r="D1364" i="2"/>
  <c r="C1364" i="2"/>
  <c r="B1364" i="2"/>
  <c r="A1364" i="2"/>
  <c r="F1363" i="2"/>
  <c r="E1363" i="2"/>
  <c r="D1363" i="2"/>
  <c r="C1363" i="2"/>
  <c r="B1363" i="2"/>
  <c r="A1363" i="2"/>
  <c r="F1362" i="2"/>
  <c r="E1362" i="2"/>
  <c r="D1362" i="2"/>
  <c r="C1362" i="2"/>
  <c r="B1362" i="2"/>
  <c r="A1362" i="2"/>
  <c r="F1361" i="2"/>
  <c r="E1361" i="2"/>
  <c r="D1361" i="2"/>
  <c r="C1361" i="2"/>
  <c r="B1361" i="2"/>
  <c r="A1361" i="2"/>
  <c r="F1360" i="2"/>
  <c r="E1360" i="2"/>
  <c r="D1360" i="2"/>
  <c r="C1360" i="2"/>
  <c r="B1360" i="2"/>
  <c r="A1360" i="2"/>
  <c r="F1359" i="2"/>
  <c r="E1359" i="2"/>
  <c r="D1359" i="2"/>
  <c r="C1359" i="2"/>
  <c r="B1359" i="2"/>
  <c r="A1359" i="2"/>
  <c r="F1358" i="2"/>
  <c r="E1358" i="2"/>
  <c r="D1358" i="2"/>
  <c r="C1358" i="2"/>
  <c r="B1358" i="2"/>
  <c r="A1358" i="2"/>
  <c r="F1357" i="2"/>
  <c r="E1357" i="2"/>
  <c r="D1357" i="2"/>
  <c r="C1357" i="2"/>
  <c r="B1357" i="2"/>
  <c r="A1357" i="2"/>
  <c r="F1356" i="2"/>
  <c r="E1356" i="2"/>
  <c r="D1356" i="2"/>
  <c r="C1356" i="2"/>
  <c r="B1356" i="2"/>
  <c r="A1356" i="2"/>
  <c r="F1355" i="2"/>
  <c r="E1355" i="2"/>
  <c r="D1355" i="2"/>
  <c r="C1355" i="2"/>
  <c r="B1355" i="2"/>
  <c r="A1355" i="2"/>
  <c r="F1354" i="2"/>
  <c r="E1354" i="2"/>
  <c r="D1354" i="2"/>
  <c r="C1354" i="2"/>
  <c r="B1354" i="2"/>
  <c r="A1354" i="2"/>
  <c r="F1353" i="2"/>
  <c r="E1353" i="2"/>
  <c r="D1353" i="2"/>
  <c r="C1353" i="2"/>
  <c r="B1353" i="2"/>
  <c r="A1353" i="2"/>
  <c r="F1352" i="2"/>
  <c r="E1352" i="2"/>
  <c r="D1352" i="2"/>
  <c r="C1352" i="2"/>
  <c r="B1352" i="2"/>
  <c r="A1352" i="2"/>
  <c r="F1351" i="2"/>
  <c r="E1351" i="2"/>
  <c r="D1351" i="2"/>
  <c r="C1351" i="2"/>
  <c r="B1351" i="2"/>
  <c r="A1351" i="2"/>
  <c r="F1350" i="2"/>
  <c r="E1350" i="2"/>
  <c r="D1350" i="2"/>
  <c r="C1350" i="2"/>
  <c r="B1350" i="2"/>
  <c r="A1350" i="2"/>
  <c r="F1349" i="2"/>
  <c r="E1349" i="2"/>
  <c r="D1349" i="2"/>
  <c r="C1349" i="2"/>
  <c r="B1349" i="2"/>
  <c r="A1349" i="2"/>
  <c r="F1348" i="2"/>
  <c r="E1348" i="2"/>
  <c r="D1348" i="2"/>
  <c r="C1348" i="2"/>
  <c r="B1348" i="2"/>
  <c r="A1348" i="2"/>
  <c r="F1347" i="2"/>
  <c r="E1347" i="2"/>
  <c r="D1347" i="2"/>
  <c r="C1347" i="2"/>
  <c r="B1347" i="2"/>
  <c r="A1347" i="2"/>
  <c r="F1346" i="2"/>
  <c r="E1346" i="2"/>
  <c r="D1346" i="2"/>
  <c r="C1346" i="2"/>
  <c r="B1346" i="2"/>
  <c r="A1346" i="2"/>
  <c r="F1345" i="2"/>
  <c r="E1345" i="2"/>
  <c r="D1345" i="2"/>
  <c r="C1345" i="2"/>
  <c r="B1345" i="2"/>
  <c r="A1345" i="2"/>
  <c r="F1344" i="2"/>
  <c r="E1344" i="2"/>
  <c r="D1344" i="2"/>
  <c r="C1344" i="2"/>
  <c r="B1344" i="2"/>
  <c r="A1344" i="2"/>
  <c r="F1343" i="2"/>
  <c r="E1343" i="2"/>
  <c r="D1343" i="2"/>
  <c r="C1343" i="2"/>
  <c r="B1343" i="2"/>
  <c r="A1343" i="2"/>
  <c r="F1342" i="2"/>
  <c r="E1342" i="2"/>
  <c r="D1342" i="2"/>
  <c r="C1342" i="2"/>
  <c r="B1342" i="2"/>
  <c r="A1342" i="2"/>
  <c r="F1341" i="2"/>
  <c r="E1341" i="2"/>
  <c r="D1341" i="2"/>
  <c r="C1341" i="2"/>
  <c r="B1341" i="2"/>
  <c r="A1341" i="2"/>
  <c r="F1340" i="2"/>
  <c r="E1340" i="2"/>
  <c r="D1340" i="2"/>
  <c r="C1340" i="2"/>
  <c r="B1340" i="2"/>
  <c r="A1340" i="2"/>
  <c r="F1339" i="2"/>
  <c r="E1339" i="2"/>
  <c r="D1339" i="2"/>
  <c r="C1339" i="2"/>
  <c r="B1339" i="2"/>
  <c r="A1339" i="2"/>
  <c r="F1338" i="2"/>
  <c r="E1338" i="2"/>
  <c r="D1338" i="2"/>
  <c r="C1338" i="2"/>
  <c r="B1338" i="2"/>
  <c r="A1338" i="2"/>
  <c r="F1337" i="2"/>
  <c r="E1337" i="2"/>
  <c r="D1337" i="2"/>
  <c r="C1337" i="2"/>
  <c r="B1337" i="2"/>
  <c r="A1337" i="2"/>
  <c r="F1336" i="2"/>
  <c r="E1336" i="2"/>
  <c r="D1336" i="2"/>
  <c r="C1336" i="2"/>
  <c r="B1336" i="2"/>
  <c r="A1336" i="2"/>
  <c r="F1335" i="2"/>
  <c r="E1335" i="2"/>
  <c r="D1335" i="2"/>
  <c r="C1335" i="2"/>
  <c r="B1335" i="2"/>
  <c r="A1335" i="2"/>
  <c r="F1334" i="2"/>
  <c r="E1334" i="2"/>
  <c r="D1334" i="2"/>
  <c r="C1334" i="2"/>
  <c r="B1334" i="2"/>
  <c r="A1334" i="2"/>
  <c r="F1333" i="2"/>
  <c r="E1333" i="2"/>
  <c r="D1333" i="2"/>
  <c r="C1333" i="2"/>
  <c r="B1333" i="2"/>
  <c r="A1333" i="2"/>
  <c r="F1332" i="2"/>
  <c r="E1332" i="2"/>
  <c r="D1332" i="2"/>
  <c r="C1332" i="2"/>
  <c r="B1332" i="2"/>
  <c r="A1332" i="2"/>
  <c r="F1331" i="2"/>
  <c r="E1331" i="2"/>
  <c r="D1331" i="2"/>
  <c r="C1331" i="2"/>
  <c r="B1331" i="2"/>
  <c r="A1331" i="2"/>
  <c r="F1330" i="2"/>
  <c r="E1330" i="2"/>
  <c r="D1330" i="2"/>
  <c r="C1330" i="2"/>
  <c r="B1330" i="2"/>
  <c r="A1330" i="2"/>
  <c r="F1329" i="2"/>
  <c r="E1329" i="2"/>
  <c r="D1329" i="2"/>
  <c r="C1329" i="2"/>
  <c r="B1329" i="2"/>
  <c r="A1329" i="2"/>
  <c r="F1328" i="2"/>
  <c r="E1328" i="2"/>
  <c r="D1328" i="2"/>
  <c r="C1328" i="2"/>
  <c r="B1328" i="2"/>
  <c r="A1328" i="2"/>
  <c r="F1327" i="2"/>
  <c r="E1327" i="2"/>
  <c r="D1327" i="2"/>
  <c r="C1327" i="2"/>
  <c r="B1327" i="2"/>
  <c r="A1327" i="2"/>
  <c r="F1326" i="2"/>
  <c r="E1326" i="2"/>
  <c r="D1326" i="2"/>
  <c r="C1326" i="2"/>
  <c r="B1326" i="2"/>
  <c r="A1326" i="2"/>
  <c r="F1325" i="2"/>
  <c r="E1325" i="2"/>
  <c r="D1325" i="2"/>
  <c r="C1325" i="2"/>
  <c r="B1325" i="2"/>
  <c r="A1325" i="2"/>
  <c r="F1324" i="2"/>
  <c r="E1324" i="2"/>
  <c r="D1324" i="2"/>
  <c r="C1324" i="2"/>
  <c r="B1324" i="2"/>
  <c r="A1324" i="2"/>
  <c r="F1323" i="2"/>
  <c r="E1323" i="2"/>
  <c r="D1323" i="2"/>
  <c r="C1323" i="2"/>
  <c r="B1323" i="2"/>
  <c r="A1323" i="2"/>
  <c r="F1322" i="2"/>
  <c r="E1322" i="2"/>
  <c r="D1322" i="2"/>
  <c r="C1322" i="2"/>
  <c r="B1322" i="2"/>
  <c r="A1322" i="2"/>
  <c r="F1321" i="2"/>
  <c r="E1321" i="2"/>
  <c r="D1321" i="2"/>
  <c r="C1321" i="2"/>
  <c r="B1321" i="2"/>
  <c r="A1321" i="2"/>
  <c r="F1320" i="2"/>
  <c r="E1320" i="2"/>
  <c r="D1320" i="2"/>
  <c r="C1320" i="2"/>
  <c r="B1320" i="2"/>
  <c r="A1320" i="2"/>
  <c r="F1319" i="2"/>
  <c r="E1319" i="2"/>
  <c r="D1319" i="2"/>
  <c r="C1319" i="2"/>
  <c r="B1319" i="2"/>
  <c r="A1319" i="2"/>
  <c r="F1318" i="2"/>
  <c r="E1318" i="2"/>
  <c r="D1318" i="2"/>
  <c r="C1318" i="2"/>
  <c r="B1318" i="2"/>
  <c r="A1318" i="2"/>
  <c r="F1317" i="2"/>
  <c r="E1317" i="2"/>
  <c r="D1317" i="2"/>
  <c r="C1317" i="2"/>
  <c r="B1317" i="2"/>
  <c r="A1317" i="2"/>
  <c r="F1316" i="2"/>
  <c r="E1316" i="2"/>
  <c r="D1316" i="2"/>
  <c r="C1316" i="2"/>
  <c r="B1316" i="2"/>
  <c r="A1316" i="2"/>
  <c r="F1315" i="2"/>
  <c r="E1315" i="2"/>
  <c r="D1315" i="2"/>
  <c r="C1315" i="2"/>
  <c r="B1315" i="2"/>
  <c r="A1315" i="2"/>
  <c r="F1314" i="2"/>
  <c r="E1314" i="2"/>
  <c r="D1314" i="2"/>
  <c r="C1314" i="2"/>
  <c r="B1314" i="2"/>
  <c r="A1314" i="2"/>
  <c r="F1313" i="2"/>
  <c r="E1313" i="2"/>
  <c r="D1313" i="2"/>
  <c r="C1313" i="2"/>
  <c r="B1313" i="2"/>
  <c r="A1313" i="2"/>
  <c r="F1312" i="2"/>
  <c r="E1312" i="2"/>
  <c r="D1312" i="2"/>
  <c r="C1312" i="2"/>
  <c r="B1312" i="2"/>
  <c r="A1312" i="2"/>
  <c r="F1311" i="2"/>
  <c r="E1311" i="2"/>
  <c r="D1311" i="2"/>
  <c r="C1311" i="2"/>
  <c r="B1311" i="2"/>
  <c r="A1311" i="2"/>
  <c r="F1310" i="2"/>
  <c r="E1310" i="2"/>
  <c r="D1310" i="2"/>
  <c r="C1310" i="2"/>
  <c r="B1310" i="2"/>
  <c r="A1310" i="2"/>
  <c r="F1309" i="2"/>
  <c r="E1309" i="2"/>
  <c r="D1309" i="2"/>
  <c r="C1309" i="2"/>
  <c r="B1309" i="2"/>
  <c r="A1309" i="2"/>
  <c r="F1308" i="2"/>
  <c r="E1308" i="2"/>
  <c r="D1308" i="2"/>
  <c r="C1308" i="2"/>
  <c r="B1308" i="2"/>
  <c r="A1308" i="2"/>
  <c r="F1307" i="2"/>
  <c r="E1307" i="2"/>
  <c r="D1307" i="2"/>
  <c r="C1307" i="2"/>
  <c r="B1307" i="2"/>
  <c r="A1307" i="2"/>
  <c r="F1306" i="2"/>
  <c r="E1306" i="2"/>
  <c r="D1306" i="2"/>
  <c r="C1306" i="2"/>
  <c r="B1306" i="2"/>
  <c r="A1306" i="2"/>
  <c r="F1305" i="2"/>
  <c r="E1305" i="2"/>
  <c r="D1305" i="2"/>
  <c r="C1305" i="2"/>
  <c r="B1305" i="2"/>
  <c r="A1305" i="2"/>
  <c r="F1304" i="2"/>
  <c r="E1304" i="2"/>
  <c r="D1304" i="2"/>
  <c r="C1304" i="2"/>
  <c r="B1304" i="2"/>
  <c r="A1304" i="2"/>
  <c r="F1303" i="2"/>
  <c r="E1303" i="2"/>
  <c r="D1303" i="2"/>
  <c r="C1303" i="2"/>
  <c r="B1303" i="2"/>
  <c r="A1303" i="2"/>
  <c r="F1302" i="2"/>
  <c r="E1302" i="2"/>
  <c r="D1302" i="2"/>
  <c r="C1302" i="2"/>
  <c r="B1302" i="2"/>
  <c r="A1302" i="2"/>
  <c r="F1301" i="2"/>
  <c r="E1301" i="2"/>
  <c r="D1301" i="2"/>
  <c r="C1301" i="2"/>
  <c r="B1301" i="2"/>
  <c r="A1301" i="2"/>
  <c r="F1300" i="2"/>
  <c r="E1300" i="2"/>
  <c r="D1300" i="2"/>
  <c r="C1300" i="2"/>
  <c r="B1300" i="2"/>
  <c r="A1300" i="2"/>
  <c r="F1299" i="2"/>
  <c r="E1299" i="2"/>
  <c r="D1299" i="2"/>
  <c r="C1299" i="2"/>
  <c r="B1299" i="2"/>
  <c r="A1299" i="2"/>
  <c r="F1298" i="2"/>
  <c r="E1298" i="2"/>
  <c r="D1298" i="2"/>
  <c r="C1298" i="2"/>
  <c r="B1298" i="2"/>
  <c r="A1298" i="2"/>
  <c r="F1297" i="2"/>
  <c r="E1297" i="2"/>
  <c r="D1297" i="2"/>
  <c r="C1297" i="2"/>
  <c r="B1297" i="2"/>
  <c r="A1297" i="2"/>
  <c r="F1296" i="2"/>
  <c r="E1296" i="2"/>
  <c r="D1296" i="2"/>
  <c r="C1296" i="2"/>
  <c r="B1296" i="2"/>
  <c r="A1296" i="2"/>
  <c r="F1295" i="2"/>
  <c r="E1295" i="2"/>
  <c r="D1295" i="2"/>
  <c r="C1295" i="2"/>
  <c r="B1295" i="2"/>
  <c r="A1295" i="2"/>
  <c r="F1294" i="2"/>
  <c r="E1294" i="2"/>
  <c r="D1294" i="2"/>
  <c r="C1294" i="2"/>
  <c r="B1294" i="2"/>
  <c r="A1294" i="2"/>
  <c r="F1293" i="2"/>
  <c r="E1293" i="2"/>
  <c r="D1293" i="2"/>
  <c r="C1293" i="2"/>
  <c r="B1293" i="2"/>
  <c r="A1293" i="2"/>
  <c r="F1292" i="2"/>
  <c r="E1292" i="2"/>
  <c r="D1292" i="2"/>
  <c r="C1292" i="2"/>
  <c r="B1292" i="2"/>
  <c r="A1292" i="2"/>
  <c r="F1291" i="2"/>
  <c r="E1291" i="2"/>
  <c r="D1291" i="2"/>
  <c r="C1291" i="2"/>
  <c r="B1291" i="2"/>
  <c r="A1291" i="2"/>
  <c r="F1290" i="2"/>
  <c r="E1290" i="2"/>
  <c r="D1290" i="2"/>
  <c r="C1290" i="2"/>
  <c r="B1290" i="2"/>
  <c r="A1290" i="2"/>
  <c r="F1289" i="2"/>
  <c r="E1289" i="2"/>
  <c r="D1289" i="2"/>
  <c r="C1289" i="2"/>
  <c r="B1289" i="2"/>
  <c r="A1289" i="2"/>
  <c r="F1288" i="2"/>
  <c r="E1288" i="2"/>
  <c r="D1288" i="2"/>
  <c r="C1288" i="2"/>
  <c r="B1288" i="2"/>
  <c r="A1288" i="2"/>
  <c r="F1287" i="2"/>
  <c r="E1287" i="2"/>
  <c r="D1287" i="2"/>
  <c r="C1287" i="2"/>
  <c r="B1287" i="2"/>
  <c r="A1287" i="2"/>
  <c r="F1286" i="2"/>
  <c r="E1286" i="2"/>
  <c r="D1286" i="2"/>
  <c r="C1286" i="2"/>
  <c r="B1286" i="2"/>
  <c r="A1286" i="2"/>
  <c r="F1285" i="2"/>
  <c r="E1285" i="2"/>
  <c r="D1285" i="2"/>
  <c r="C1285" i="2"/>
  <c r="B1285" i="2"/>
  <c r="A1285" i="2"/>
  <c r="F1284" i="2"/>
  <c r="E1284" i="2"/>
  <c r="D1284" i="2"/>
  <c r="C1284" i="2"/>
  <c r="B1284" i="2"/>
  <c r="A1284" i="2"/>
  <c r="F1283" i="2"/>
  <c r="E1283" i="2"/>
  <c r="D1283" i="2"/>
  <c r="C1283" i="2"/>
  <c r="B1283" i="2"/>
  <c r="A1283" i="2"/>
  <c r="F1282" i="2"/>
  <c r="E1282" i="2"/>
  <c r="D1282" i="2"/>
  <c r="C1282" i="2"/>
  <c r="B1282" i="2"/>
  <c r="A1282" i="2"/>
  <c r="F1281" i="2"/>
  <c r="E1281" i="2"/>
  <c r="D1281" i="2"/>
  <c r="C1281" i="2"/>
  <c r="B1281" i="2"/>
  <c r="A1281" i="2"/>
  <c r="F1280" i="2"/>
  <c r="E1280" i="2"/>
  <c r="D1280" i="2"/>
  <c r="C1280" i="2"/>
  <c r="B1280" i="2"/>
  <c r="A1280" i="2"/>
  <c r="F1279" i="2"/>
  <c r="E1279" i="2"/>
  <c r="D1279" i="2"/>
  <c r="C1279" i="2"/>
  <c r="B1279" i="2"/>
  <c r="A1279" i="2"/>
  <c r="F1278" i="2"/>
  <c r="E1278" i="2"/>
  <c r="D1278" i="2"/>
  <c r="C1278" i="2"/>
  <c r="B1278" i="2"/>
  <c r="A1278" i="2"/>
  <c r="F1277" i="2"/>
  <c r="E1277" i="2"/>
  <c r="D1277" i="2"/>
  <c r="C1277" i="2"/>
  <c r="B1277" i="2"/>
  <c r="A1277" i="2"/>
  <c r="F1276" i="2"/>
  <c r="E1276" i="2"/>
  <c r="D1276" i="2"/>
  <c r="C1276" i="2"/>
  <c r="B1276" i="2"/>
  <c r="A1276" i="2"/>
  <c r="F1275" i="2"/>
  <c r="E1275" i="2"/>
  <c r="D1275" i="2"/>
  <c r="C1275" i="2"/>
  <c r="B1275" i="2"/>
  <c r="A1275" i="2"/>
  <c r="F1274" i="2"/>
  <c r="E1274" i="2"/>
  <c r="D1274" i="2"/>
  <c r="C1274" i="2"/>
  <c r="B1274" i="2"/>
  <c r="A1274" i="2"/>
  <c r="F1273" i="2"/>
  <c r="E1273" i="2"/>
  <c r="D1273" i="2"/>
  <c r="C1273" i="2"/>
  <c r="B1273" i="2"/>
  <c r="A1273" i="2"/>
  <c r="F1272" i="2"/>
  <c r="E1272" i="2"/>
  <c r="D1272" i="2"/>
  <c r="C1272" i="2"/>
  <c r="B1272" i="2"/>
  <c r="A1272" i="2"/>
  <c r="F1271" i="2"/>
  <c r="E1271" i="2"/>
  <c r="D1271" i="2"/>
  <c r="C1271" i="2"/>
  <c r="B1271" i="2"/>
  <c r="A1271" i="2"/>
  <c r="F1270" i="2"/>
  <c r="E1270" i="2"/>
  <c r="D1270" i="2"/>
  <c r="C1270" i="2"/>
  <c r="B1270" i="2"/>
  <c r="A1270" i="2"/>
  <c r="F1269" i="2"/>
  <c r="E1269" i="2"/>
  <c r="D1269" i="2"/>
  <c r="C1269" i="2"/>
  <c r="B1269" i="2"/>
  <c r="A1269" i="2"/>
  <c r="F1268" i="2"/>
  <c r="E1268" i="2"/>
  <c r="D1268" i="2"/>
  <c r="C1268" i="2"/>
  <c r="B1268" i="2"/>
  <c r="A1268" i="2"/>
  <c r="F1267" i="2"/>
  <c r="E1267" i="2"/>
  <c r="D1267" i="2"/>
  <c r="C1267" i="2"/>
  <c r="B1267" i="2"/>
  <c r="A1267" i="2"/>
  <c r="F1266" i="2"/>
  <c r="E1266" i="2"/>
  <c r="D1266" i="2"/>
  <c r="C1266" i="2"/>
  <c r="B1266" i="2"/>
  <c r="A1266" i="2"/>
  <c r="F1265" i="2"/>
  <c r="E1265" i="2"/>
  <c r="D1265" i="2"/>
  <c r="C1265" i="2"/>
  <c r="B1265" i="2"/>
  <c r="A1265" i="2"/>
  <c r="F1264" i="2"/>
  <c r="E1264" i="2"/>
  <c r="D1264" i="2"/>
  <c r="C1264" i="2"/>
  <c r="B1264" i="2"/>
  <c r="A1264" i="2"/>
  <c r="F1263" i="2"/>
  <c r="E1263" i="2"/>
  <c r="D1263" i="2"/>
  <c r="C1263" i="2"/>
  <c r="B1263" i="2"/>
  <c r="A1263" i="2"/>
  <c r="F1262" i="2"/>
  <c r="E1262" i="2"/>
  <c r="D1262" i="2"/>
  <c r="C1262" i="2"/>
  <c r="B1262" i="2"/>
  <c r="A1262" i="2"/>
  <c r="F1261" i="2"/>
  <c r="E1261" i="2"/>
  <c r="D1261" i="2"/>
  <c r="C1261" i="2"/>
  <c r="B1261" i="2"/>
  <c r="A1261" i="2"/>
  <c r="F1260" i="2"/>
  <c r="E1260" i="2"/>
  <c r="D1260" i="2"/>
  <c r="C1260" i="2"/>
  <c r="B1260" i="2"/>
  <c r="A1260" i="2"/>
  <c r="F1259" i="2"/>
  <c r="E1259" i="2"/>
  <c r="D1259" i="2"/>
  <c r="C1259" i="2"/>
  <c r="B1259" i="2"/>
  <c r="A1259" i="2"/>
  <c r="F1258" i="2"/>
  <c r="E1258" i="2"/>
  <c r="D1258" i="2"/>
  <c r="C1258" i="2"/>
  <c r="B1258" i="2"/>
  <c r="A1258" i="2"/>
  <c r="F1257" i="2"/>
  <c r="E1257" i="2"/>
  <c r="D1257" i="2"/>
  <c r="C1257" i="2"/>
  <c r="B1257" i="2"/>
  <c r="A1257" i="2"/>
  <c r="F1256" i="2"/>
  <c r="E1256" i="2"/>
  <c r="D1256" i="2"/>
  <c r="C1256" i="2"/>
  <c r="B1256" i="2"/>
  <c r="A1256" i="2"/>
  <c r="F1255" i="2"/>
  <c r="E1255" i="2"/>
  <c r="D1255" i="2"/>
  <c r="C1255" i="2"/>
  <c r="B1255" i="2"/>
  <c r="A1255" i="2"/>
  <c r="F1254" i="2"/>
  <c r="E1254" i="2"/>
  <c r="D1254" i="2"/>
  <c r="C1254" i="2"/>
  <c r="B1254" i="2"/>
  <c r="A1254" i="2"/>
  <c r="F1253" i="2"/>
  <c r="E1253" i="2"/>
  <c r="D1253" i="2"/>
  <c r="C1253" i="2"/>
  <c r="B1253" i="2"/>
  <c r="A1253" i="2"/>
  <c r="F1252" i="2"/>
  <c r="E1252" i="2"/>
  <c r="D1252" i="2"/>
  <c r="C1252" i="2"/>
  <c r="B1252" i="2"/>
  <c r="A1252" i="2"/>
  <c r="F1251" i="2"/>
  <c r="E1251" i="2"/>
  <c r="D1251" i="2"/>
  <c r="C1251" i="2"/>
  <c r="B1251" i="2"/>
  <c r="A1251" i="2"/>
  <c r="F1250" i="2"/>
  <c r="E1250" i="2"/>
  <c r="D1250" i="2"/>
  <c r="C1250" i="2"/>
  <c r="B1250" i="2"/>
  <c r="A1250" i="2"/>
  <c r="F1249" i="2"/>
  <c r="E1249" i="2"/>
  <c r="D1249" i="2"/>
  <c r="C1249" i="2"/>
  <c r="B1249" i="2"/>
  <c r="A1249" i="2"/>
  <c r="F1248" i="2"/>
  <c r="E1248" i="2"/>
  <c r="D1248" i="2"/>
  <c r="C1248" i="2"/>
  <c r="B1248" i="2"/>
  <c r="A1248" i="2"/>
  <c r="F1247" i="2"/>
  <c r="E1247" i="2"/>
  <c r="D1247" i="2"/>
  <c r="C1247" i="2"/>
  <c r="B1247" i="2"/>
  <c r="A1247" i="2"/>
  <c r="F1246" i="2"/>
  <c r="E1246" i="2"/>
  <c r="D1246" i="2"/>
  <c r="C1246" i="2"/>
  <c r="B1246" i="2"/>
  <c r="A1246" i="2"/>
  <c r="F1245" i="2"/>
  <c r="E1245" i="2"/>
  <c r="D1245" i="2"/>
  <c r="C1245" i="2"/>
  <c r="B1245" i="2"/>
  <c r="A1245" i="2"/>
  <c r="F1244" i="2"/>
  <c r="E1244" i="2"/>
  <c r="D1244" i="2"/>
  <c r="C1244" i="2"/>
  <c r="B1244" i="2"/>
  <c r="A1244" i="2"/>
  <c r="F1243" i="2"/>
  <c r="E1243" i="2"/>
  <c r="D1243" i="2"/>
  <c r="C1243" i="2"/>
  <c r="B1243" i="2"/>
  <c r="A1243" i="2"/>
  <c r="F1242" i="2"/>
  <c r="E1242" i="2"/>
  <c r="D1242" i="2"/>
  <c r="C1242" i="2"/>
  <c r="B1242" i="2"/>
  <c r="A1242" i="2"/>
  <c r="F1241" i="2"/>
  <c r="E1241" i="2"/>
  <c r="D1241" i="2"/>
  <c r="C1241" i="2"/>
  <c r="B1241" i="2"/>
  <c r="A1241" i="2"/>
  <c r="F1240" i="2"/>
  <c r="E1240" i="2"/>
  <c r="D1240" i="2"/>
  <c r="C1240" i="2"/>
  <c r="B1240" i="2"/>
  <c r="A1240" i="2"/>
  <c r="F1239" i="2"/>
  <c r="E1239" i="2"/>
  <c r="D1239" i="2"/>
  <c r="C1239" i="2"/>
  <c r="B1239" i="2"/>
  <c r="A1239" i="2"/>
  <c r="F1238" i="2"/>
  <c r="E1238" i="2"/>
  <c r="D1238" i="2"/>
  <c r="C1238" i="2"/>
  <c r="B1238" i="2"/>
  <c r="A1238" i="2"/>
  <c r="F1237" i="2"/>
  <c r="E1237" i="2"/>
  <c r="D1237" i="2"/>
  <c r="C1237" i="2"/>
  <c r="B1237" i="2"/>
  <c r="A1237" i="2"/>
  <c r="F1236" i="2"/>
  <c r="E1236" i="2"/>
  <c r="D1236" i="2"/>
  <c r="C1236" i="2"/>
  <c r="B1236" i="2"/>
  <c r="A1236" i="2"/>
  <c r="F1235" i="2"/>
  <c r="E1235" i="2"/>
  <c r="D1235" i="2"/>
  <c r="C1235" i="2"/>
  <c r="B1235" i="2"/>
  <c r="A1235" i="2"/>
  <c r="F1234" i="2"/>
  <c r="E1234" i="2"/>
  <c r="D1234" i="2"/>
  <c r="C1234" i="2"/>
  <c r="B1234" i="2"/>
  <c r="A1234" i="2"/>
  <c r="F1233" i="2"/>
  <c r="E1233" i="2"/>
  <c r="D1233" i="2"/>
  <c r="C1233" i="2"/>
  <c r="B1233" i="2"/>
  <c r="A1233" i="2"/>
  <c r="F1232" i="2"/>
  <c r="E1232" i="2"/>
  <c r="D1232" i="2"/>
  <c r="C1232" i="2"/>
  <c r="B1232" i="2"/>
  <c r="A1232" i="2"/>
  <c r="F1231" i="2"/>
  <c r="E1231" i="2"/>
  <c r="D1231" i="2"/>
  <c r="C1231" i="2"/>
  <c r="B1231" i="2"/>
  <c r="A1231" i="2"/>
  <c r="F1230" i="2"/>
  <c r="E1230" i="2"/>
  <c r="D1230" i="2"/>
  <c r="C1230" i="2"/>
  <c r="B1230" i="2"/>
  <c r="A1230" i="2"/>
  <c r="F1229" i="2"/>
  <c r="E1229" i="2"/>
  <c r="D1229" i="2"/>
  <c r="C1229" i="2"/>
  <c r="B1229" i="2"/>
  <c r="A1229" i="2"/>
  <c r="F1228" i="2"/>
  <c r="E1228" i="2"/>
  <c r="D1228" i="2"/>
  <c r="C1228" i="2"/>
  <c r="B1228" i="2"/>
  <c r="A1228" i="2"/>
  <c r="F1227" i="2"/>
  <c r="E1227" i="2"/>
  <c r="D1227" i="2"/>
  <c r="C1227" i="2"/>
  <c r="B1227" i="2"/>
  <c r="A1227" i="2"/>
  <c r="F1226" i="2"/>
  <c r="E1226" i="2"/>
  <c r="D1226" i="2"/>
  <c r="C1226" i="2"/>
  <c r="B1226" i="2"/>
  <c r="A1226" i="2"/>
  <c r="F1225" i="2"/>
  <c r="E1225" i="2"/>
  <c r="D1225" i="2"/>
  <c r="C1225" i="2"/>
  <c r="B1225" i="2"/>
  <c r="A1225" i="2"/>
  <c r="F1224" i="2"/>
  <c r="E1224" i="2"/>
  <c r="D1224" i="2"/>
  <c r="C1224" i="2"/>
  <c r="B1224" i="2"/>
  <c r="A1224" i="2"/>
  <c r="F1223" i="2"/>
  <c r="E1223" i="2"/>
  <c r="D1223" i="2"/>
  <c r="C1223" i="2"/>
  <c r="B1223" i="2"/>
  <c r="A1223" i="2"/>
  <c r="F1222" i="2"/>
  <c r="E1222" i="2"/>
  <c r="D1222" i="2"/>
  <c r="C1222" i="2"/>
  <c r="B1222" i="2"/>
  <c r="A1222" i="2"/>
  <c r="F1221" i="2"/>
  <c r="E1221" i="2"/>
  <c r="D1221" i="2"/>
  <c r="C1221" i="2"/>
  <c r="B1221" i="2"/>
  <c r="A1221" i="2"/>
  <c r="F1220" i="2"/>
  <c r="E1220" i="2"/>
  <c r="D1220" i="2"/>
  <c r="C1220" i="2"/>
  <c r="B1220" i="2"/>
  <c r="A1220" i="2"/>
  <c r="F1219" i="2"/>
  <c r="E1219" i="2"/>
  <c r="D1219" i="2"/>
  <c r="C1219" i="2"/>
  <c r="B1219" i="2"/>
  <c r="A1219" i="2"/>
  <c r="F1218" i="2"/>
  <c r="E1218" i="2"/>
  <c r="D1218" i="2"/>
  <c r="C1218" i="2"/>
  <c r="B1218" i="2"/>
  <c r="A1218" i="2"/>
  <c r="F1217" i="2"/>
  <c r="E1217" i="2"/>
  <c r="D1217" i="2"/>
  <c r="C1217" i="2"/>
  <c r="B1217" i="2"/>
  <c r="A1217" i="2"/>
  <c r="F1216" i="2"/>
  <c r="E1216" i="2"/>
  <c r="D1216" i="2"/>
  <c r="C1216" i="2"/>
  <c r="B1216" i="2"/>
  <c r="A1216" i="2"/>
  <c r="F1215" i="2"/>
  <c r="E1215" i="2"/>
  <c r="D1215" i="2"/>
  <c r="C1215" i="2"/>
  <c r="B1215" i="2"/>
  <c r="A1215" i="2"/>
  <c r="F1214" i="2"/>
  <c r="E1214" i="2"/>
  <c r="D1214" i="2"/>
  <c r="C1214" i="2"/>
  <c r="B1214" i="2"/>
  <c r="A1214" i="2"/>
  <c r="F1213" i="2"/>
  <c r="E1213" i="2"/>
  <c r="D1213" i="2"/>
  <c r="C1213" i="2"/>
  <c r="B1213" i="2"/>
  <c r="A1213" i="2"/>
  <c r="F1212" i="2"/>
  <c r="E1212" i="2"/>
  <c r="D1212" i="2"/>
  <c r="C1212" i="2"/>
  <c r="B1212" i="2"/>
  <c r="A1212" i="2"/>
  <c r="F1211" i="2"/>
  <c r="E1211" i="2"/>
  <c r="D1211" i="2"/>
  <c r="C1211" i="2"/>
  <c r="B1211" i="2"/>
  <c r="A1211" i="2"/>
  <c r="F1210" i="2"/>
  <c r="E1210" i="2"/>
  <c r="D1210" i="2"/>
  <c r="C1210" i="2"/>
  <c r="B1210" i="2"/>
  <c r="A1210" i="2"/>
  <c r="F1209" i="2"/>
  <c r="E1209" i="2"/>
  <c r="D1209" i="2"/>
  <c r="C1209" i="2"/>
  <c r="B1209" i="2"/>
  <c r="A1209" i="2"/>
  <c r="F1208" i="2"/>
  <c r="E1208" i="2"/>
  <c r="D1208" i="2"/>
  <c r="C1208" i="2"/>
  <c r="B1208" i="2"/>
  <c r="A1208" i="2"/>
  <c r="F1207" i="2"/>
  <c r="E1207" i="2"/>
  <c r="D1207" i="2"/>
  <c r="C1207" i="2"/>
  <c r="B1207" i="2"/>
  <c r="A1207" i="2"/>
  <c r="F1206" i="2"/>
  <c r="E1206" i="2"/>
  <c r="D1206" i="2"/>
  <c r="C1206" i="2"/>
  <c r="B1206" i="2"/>
  <c r="A1206" i="2"/>
  <c r="F1205" i="2"/>
  <c r="E1205" i="2"/>
  <c r="D1205" i="2"/>
  <c r="C1205" i="2"/>
  <c r="B1205" i="2"/>
  <c r="A1205" i="2"/>
  <c r="F1204" i="2"/>
  <c r="E1204" i="2"/>
  <c r="D1204" i="2"/>
  <c r="C1204" i="2"/>
  <c r="B1204" i="2"/>
  <c r="A1204" i="2"/>
  <c r="F1203" i="2"/>
  <c r="E1203" i="2"/>
  <c r="D1203" i="2"/>
  <c r="C1203" i="2"/>
  <c r="B1203" i="2"/>
  <c r="A1203" i="2"/>
  <c r="F1202" i="2"/>
  <c r="E1202" i="2"/>
  <c r="D1202" i="2"/>
  <c r="C1202" i="2"/>
  <c r="B1202" i="2"/>
  <c r="A1202" i="2"/>
  <c r="F1201" i="2"/>
  <c r="E1201" i="2"/>
  <c r="D1201" i="2"/>
  <c r="C1201" i="2"/>
  <c r="B1201" i="2"/>
  <c r="A1201" i="2"/>
  <c r="F1200" i="2"/>
  <c r="E1200" i="2"/>
  <c r="D1200" i="2"/>
  <c r="C1200" i="2"/>
  <c r="B1200" i="2"/>
  <c r="A1200" i="2"/>
  <c r="F1199" i="2"/>
  <c r="E1199" i="2"/>
  <c r="D1199" i="2"/>
  <c r="C1199" i="2"/>
  <c r="B1199" i="2"/>
  <c r="A1199" i="2"/>
  <c r="F1198" i="2"/>
  <c r="E1198" i="2"/>
  <c r="D1198" i="2"/>
  <c r="C1198" i="2"/>
  <c r="B1198" i="2"/>
  <c r="A1198" i="2"/>
  <c r="F1197" i="2"/>
  <c r="E1197" i="2"/>
  <c r="D1197" i="2"/>
  <c r="C1197" i="2"/>
  <c r="B1197" i="2"/>
  <c r="A1197" i="2"/>
  <c r="F1196" i="2"/>
  <c r="E1196" i="2"/>
  <c r="D1196" i="2"/>
  <c r="C1196" i="2"/>
  <c r="B1196" i="2"/>
  <c r="A1196" i="2"/>
  <c r="F1195" i="2"/>
  <c r="E1195" i="2"/>
  <c r="D1195" i="2"/>
  <c r="C1195" i="2"/>
  <c r="B1195" i="2"/>
  <c r="A1195" i="2"/>
  <c r="F1194" i="2"/>
  <c r="E1194" i="2"/>
  <c r="D1194" i="2"/>
  <c r="C1194" i="2"/>
  <c r="B1194" i="2"/>
  <c r="A1194" i="2"/>
  <c r="F1193" i="2"/>
  <c r="E1193" i="2"/>
  <c r="D1193" i="2"/>
  <c r="C1193" i="2"/>
  <c r="B1193" i="2"/>
  <c r="A1193" i="2"/>
  <c r="F1192" i="2"/>
  <c r="E1192" i="2"/>
  <c r="D1192" i="2"/>
  <c r="C1192" i="2"/>
  <c r="B1192" i="2"/>
  <c r="A1192" i="2"/>
  <c r="F1191" i="2"/>
  <c r="E1191" i="2"/>
  <c r="D1191" i="2"/>
  <c r="C1191" i="2"/>
  <c r="B1191" i="2"/>
  <c r="A1191" i="2"/>
  <c r="F1190" i="2"/>
  <c r="E1190" i="2"/>
  <c r="D1190" i="2"/>
  <c r="C1190" i="2"/>
  <c r="B1190" i="2"/>
  <c r="A1190" i="2"/>
  <c r="F1189" i="2"/>
  <c r="E1189" i="2"/>
  <c r="D1189" i="2"/>
  <c r="C1189" i="2"/>
  <c r="B1189" i="2"/>
  <c r="A1189" i="2"/>
  <c r="F1188" i="2"/>
  <c r="E1188" i="2"/>
  <c r="D1188" i="2"/>
  <c r="C1188" i="2"/>
  <c r="B1188" i="2"/>
  <c r="A1188" i="2"/>
  <c r="F1187" i="2"/>
  <c r="E1187" i="2"/>
  <c r="D1187" i="2"/>
  <c r="C1187" i="2"/>
  <c r="B1187" i="2"/>
  <c r="A1187" i="2"/>
  <c r="F1186" i="2"/>
  <c r="E1186" i="2"/>
  <c r="D1186" i="2"/>
  <c r="C1186" i="2"/>
  <c r="B1186" i="2"/>
  <c r="A1186" i="2"/>
  <c r="F1185" i="2"/>
  <c r="E1185" i="2"/>
  <c r="D1185" i="2"/>
  <c r="C1185" i="2"/>
  <c r="B1185" i="2"/>
  <c r="A1185" i="2"/>
  <c r="F1184" i="2"/>
  <c r="E1184" i="2"/>
  <c r="D1184" i="2"/>
  <c r="C1184" i="2"/>
  <c r="B1184" i="2"/>
  <c r="A1184" i="2"/>
  <c r="F1183" i="2"/>
  <c r="E1183" i="2"/>
  <c r="D1183" i="2"/>
  <c r="C1183" i="2"/>
  <c r="B1183" i="2"/>
  <c r="A1183" i="2"/>
  <c r="F1182" i="2"/>
  <c r="E1182" i="2"/>
  <c r="D1182" i="2"/>
  <c r="C1182" i="2"/>
  <c r="B1182" i="2"/>
  <c r="A1182" i="2"/>
  <c r="F1181" i="2"/>
  <c r="E1181" i="2"/>
  <c r="D1181" i="2"/>
  <c r="C1181" i="2"/>
  <c r="B1181" i="2"/>
  <c r="A1181" i="2"/>
  <c r="F1180" i="2"/>
  <c r="E1180" i="2"/>
  <c r="D1180" i="2"/>
  <c r="C1180" i="2"/>
  <c r="B1180" i="2"/>
  <c r="A1180" i="2"/>
  <c r="F1179" i="2"/>
  <c r="E1179" i="2"/>
  <c r="D1179" i="2"/>
  <c r="C1179" i="2"/>
  <c r="B1179" i="2"/>
  <c r="A1179" i="2"/>
  <c r="F1178" i="2"/>
  <c r="E1178" i="2"/>
  <c r="D1178" i="2"/>
  <c r="C1178" i="2"/>
  <c r="B1178" i="2"/>
  <c r="A1178" i="2"/>
  <c r="F1177" i="2"/>
  <c r="E1177" i="2"/>
  <c r="D1177" i="2"/>
  <c r="C1177" i="2"/>
  <c r="B1177" i="2"/>
  <c r="A1177" i="2"/>
  <c r="F1176" i="2"/>
  <c r="E1176" i="2"/>
  <c r="D1176" i="2"/>
  <c r="C1176" i="2"/>
  <c r="B1176" i="2"/>
  <c r="A1176" i="2"/>
  <c r="F1175" i="2"/>
  <c r="E1175" i="2"/>
  <c r="D1175" i="2"/>
  <c r="C1175" i="2"/>
  <c r="B1175" i="2"/>
  <c r="A1175" i="2"/>
  <c r="F1174" i="2"/>
  <c r="E1174" i="2"/>
  <c r="D1174" i="2"/>
  <c r="C1174" i="2"/>
  <c r="B1174" i="2"/>
  <c r="A1174" i="2"/>
  <c r="F1173" i="2"/>
  <c r="E1173" i="2"/>
  <c r="D1173" i="2"/>
  <c r="C1173" i="2"/>
  <c r="B1173" i="2"/>
  <c r="A1173" i="2"/>
  <c r="F1172" i="2"/>
  <c r="E1172" i="2"/>
  <c r="D1172" i="2"/>
  <c r="C1172" i="2"/>
  <c r="B1172" i="2"/>
  <c r="A1172" i="2"/>
  <c r="F1171" i="2"/>
  <c r="E1171" i="2"/>
  <c r="D1171" i="2"/>
  <c r="C1171" i="2"/>
  <c r="B1171" i="2"/>
  <c r="A1171" i="2"/>
  <c r="F1170" i="2"/>
  <c r="E1170" i="2"/>
  <c r="D1170" i="2"/>
  <c r="C1170" i="2"/>
  <c r="B1170" i="2"/>
  <c r="A1170" i="2"/>
  <c r="F1169" i="2"/>
  <c r="E1169" i="2"/>
  <c r="D1169" i="2"/>
  <c r="C1169" i="2"/>
  <c r="B1169" i="2"/>
  <c r="A1169" i="2"/>
  <c r="F1168" i="2"/>
  <c r="E1168" i="2"/>
  <c r="D1168" i="2"/>
  <c r="C1168" i="2"/>
  <c r="B1168" i="2"/>
  <c r="A1168" i="2"/>
  <c r="F1167" i="2"/>
  <c r="E1167" i="2"/>
  <c r="D1167" i="2"/>
  <c r="C1167" i="2"/>
  <c r="B1167" i="2"/>
  <c r="A1167" i="2"/>
  <c r="F1166" i="2"/>
  <c r="E1166" i="2"/>
  <c r="D1166" i="2"/>
  <c r="C1166" i="2"/>
  <c r="B1166" i="2"/>
  <c r="A1166" i="2"/>
  <c r="F1165" i="2"/>
  <c r="E1165" i="2"/>
  <c r="D1165" i="2"/>
  <c r="C1165" i="2"/>
  <c r="B1165" i="2"/>
  <c r="A1165" i="2"/>
  <c r="F1164" i="2"/>
  <c r="E1164" i="2"/>
  <c r="D1164" i="2"/>
  <c r="C1164" i="2"/>
  <c r="B1164" i="2"/>
  <c r="A1164" i="2"/>
  <c r="F1163" i="2"/>
  <c r="E1163" i="2"/>
  <c r="D1163" i="2"/>
  <c r="C1163" i="2"/>
  <c r="B1163" i="2"/>
  <c r="A1163" i="2"/>
  <c r="F1162" i="2"/>
  <c r="E1162" i="2"/>
  <c r="D1162" i="2"/>
  <c r="C1162" i="2"/>
  <c r="B1162" i="2"/>
  <c r="A1162" i="2"/>
  <c r="F1161" i="2"/>
  <c r="E1161" i="2"/>
  <c r="D1161" i="2"/>
  <c r="C1161" i="2"/>
  <c r="B1161" i="2"/>
  <c r="A1161" i="2"/>
  <c r="F1160" i="2"/>
  <c r="E1160" i="2"/>
  <c r="D1160" i="2"/>
  <c r="C1160" i="2"/>
  <c r="B1160" i="2"/>
  <c r="A1160" i="2"/>
  <c r="F1159" i="2"/>
  <c r="E1159" i="2"/>
  <c r="D1159" i="2"/>
  <c r="C1159" i="2"/>
  <c r="B1159" i="2"/>
  <c r="A1159" i="2"/>
  <c r="F1158" i="2"/>
  <c r="E1158" i="2"/>
  <c r="D1158" i="2"/>
  <c r="C1158" i="2"/>
  <c r="B1158" i="2"/>
  <c r="A1158" i="2"/>
  <c r="F1157" i="2"/>
  <c r="E1157" i="2"/>
  <c r="D1157" i="2"/>
  <c r="C1157" i="2"/>
  <c r="B1157" i="2"/>
  <c r="A1157" i="2"/>
  <c r="F1156" i="2"/>
  <c r="E1156" i="2"/>
  <c r="D1156" i="2"/>
  <c r="C1156" i="2"/>
  <c r="B1156" i="2"/>
  <c r="A1156" i="2"/>
  <c r="F1155" i="2"/>
  <c r="E1155" i="2"/>
  <c r="D1155" i="2"/>
  <c r="C1155" i="2"/>
  <c r="B1155" i="2"/>
  <c r="A1155" i="2"/>
  <c r="F1154" i="2"/>
  <c r="E1154" i="2"/>
  <c r="D1154" i="2"/>
  <c r="C1154" i="2"/>
  <c r="B1154" i="2"/>
  <c r="A1154" i="2"/>
  <c r="F1153" i="2"/>
  <c r="E1153" i="2"/>
  <c r="D1153" i="2"/>
  <c r="C1153" i="2"/>
  <c r="B1153" i="2"/>
  <c r="A1153" i="2"/>
  <c r="F1152" i="2"/>
  <c r="E1152" i="2"/>
  <c r="D1152" i="2"/>
  <c r="C1152" i="2"/>
  <c r="B1152" i="2"/>
  <c r="A1152" i="2"/>
  <c r="F1151" i="2"/>
  <c r="E1151" i="2"/>
  <c r="D1151" i="2"/>
  <c r="C1151" i="2"/>
  <c r="B1151" i="2"/>
  <c r="A1151" i="2"/>
  <c r="F1150" i="2"/>
  <c r="E1150" i="2"/>
  <c r="D1150" i="2"/>
  <c r="C1150" i="2"/>
  <c r="B1150" i="2"/>
  <c r="A1150" i="2"/>
  <c r="F1149" i="2"/>
  <c r="E1149" i="2"/>
  <c r="D1149" i="2"/>
  <c r="C1149" i="2"/>
  <c r="B1149" i="2"/>
  <c r="A1149" i="2"/>
  <c r="F1148" i="2"/>
  <c r="E1148" i="2"/>
  <c r="D1148" i="2"/>
  <c r="C1148" i="2"/>
  <c r="B1148" i="2"/>
  <c r="A1148" i="2"/>
  <c r="F1147" i="2"/>
  <c r="E1147" i="2"/>
  <c r="D1147" i="2"/>
  <c r="C1147" i="2"/>
  <c r="B1147" i="2"/>
  <c r="A1147" i="2"/>
  <c r="F1146" i="2"/>
  <c r="E1146" i="2"/>
  <c r="D1146" i="2"/>
  <c r="C1146" i="2"/>
  <c r="B1146" i="2"/>
  <c r="A1146" i="2"/>
  <c r="F1145" i="2"/>
  <c r="E1145" i="2"/>
  <c r="D1145" i="2"/>
  <c r="C1145" i="2"/>
  <c r="B1145" i="2"/>
  <c r="A1145" i="2"/>
  <c r="F1144" i="2"/>
  <c r="E1144" i="2"/>
  <c r="D1144" i="2"/>
  <c r="C1144" i="2"/>
  <c r="B1144" i="2"/>
  <c r="A1144" i="2"/>
  <c r="F1143" i="2"/>
  <c r="E1143" i="2"/>
  <c r="D1143" i="2"/>
  <c r="C1143" i="2"/>
  <c r="B1143" i="2"/>
  <c r="A1143" i="2"/>
  <c r="F1142" i="2"/>
  <c r="E1142" i="2"/>
  <c r="D1142" i="2"/>
  <c r="C1142" i="2"/>
  <c r="B1142" i="2"/>
  <c r="A1142" i="2"/>
  <c r="F1141" i="2"/>
  <c r="E1141" i="2"/>
  <c r="D1141" i="2"/>
  <c r="C1141" i="2"/>
  <c r="B1141" i="2"/>
  <c r="A1141" i="2"/>
  <c r="F1140" i="2"/>
  <c r="E1140" i="2"/>
  <c r="D1140" i="2"/>
  <c r="C1140" i="2"/>
  <c r="B1140" i="2"/>
  <c r="A1140" i="2"/>
  <c r="F1139" i="2"/>
  <c r="E1139" i="2"/>
  <c r="D1139" i="2"/>
  <c r="C1139" i="2"/>
  <c r="B1139" i="2"/>
  <c r="A1139" i="2"/>
  <c r="F1138" i="2"/>
  <c r="E1138" i="2"/>
  <c r="D1138" i="2"/>
  <c r="C1138" i="2"/>
  <c r="B1138" i="2"/>
  <c r="A1138" i="2"/>
  <c r="F1137" i="2"/>
  <c r="E1137" i="2"/>
  <c r="D1137" i="2"/>
  <c r="C1137" i="2"/>
  <c r="B1137" i="2"/>
  <c r="A1137" i="2"/>
  <c r="F1136" i="2"/>
  <c r="E1136" i="2"/>
  <c r="D1136" i="2"/>
  <c r="C1136" i="2"/>
  <c r="B1136" i="2"/>
  <c r="A1136" i="2"/>
  <c r="F1135" i="2"/>
  <c r="E1135" i="2"/>
  <c r="D1135" i="2"/>
  <c r="C1135" i="2"/>
  <c r="B1135" i="2"/>
  <c r="A1135" i="2"/>
  <c r="F1134" i="2"/>
  <c r="E1134" i="2"/>
  <c r="D1134" i="2"/>
  <c r="C1134" i="2"/>
  <c r="B1134" i="2"/>
  <c r="A1134" i="2"/>
  <c r="F1133" i="2"/>
  <c r="E1133" i="2"/>
  <c r="D1133" i="2"/>
  <c r="C1133" i="2"/>
  <c r="B1133" i="2"/>
  <c r="A1133" i="2"/>
  <c r="F1132" i="2"/>
  <c r="E1132" i="2"/>
  <c r="D1132" i="2"/>
  <c r="C1132" i="2"/>
  <c r="B1132" i="2"/>
  <c r="A1132" i="2"/>
  <c r="F1131" i="2"/>
  <c r="E1131" i="2"/>
  <c r="D1131" i="2"/>
  <c r="C1131" i="2"/>
  <c r="B1131" i="2"/>
  <c r="A1131" i="2"/>
  <c r="F1130" i="2"/>
  <c r="E1130" i="2"/>
  <c r="D1130" i="2"/>
  <c r="C1130" i="2"/>
  <c r="B1130" i="2"/>
  <c r="A1130" i="2"/>
  <c r="F1129" i="2"/>
  <c r="E1129" i="2"/>
  <c r="D1129" i="2"/>
  <c r="C1129" i="2"/>
  <c r="B1129" i="2"/>
  <c r="A1129" i="2"/>
  <c r="F1128" i="2"/>
  <c r="E1128" i="2"/>
  <c r="D1128" i="2"/>
  <c r="C1128" i="2"/>
  <c r="B1128" i="2"/>
  <c r="A1128" i="2"/>
  <c r="F1127" i="2"/>
  <c r="E1127" i="2"/>
  <c r="D1127" i="2"/>
  <c r="C1127" i="2"/>
  <c r="B1127" i="2"/>
  <c r="A1127" i="2"/>
  <c r="F1126" i="2"/>
  <c r="E1126" i="2"/>
  <c r="D1126" i="2"/>
  <c r="C1126" i="2"/>
  <c r="B1126" i="2"/>
  <c r="A1126" i="2"/>
  <c r="F1125" i="2"/>
  <c r="E1125" i="2"/>
  <c r="D1125" i="2"/>
  <c r="C1125" i="2"/>
  <c r="B1125" i="2"/>
  <c r="A1125" i="2"/>
  <c r="F1124" i="2"/>
  <c r="E1124" i="2"/>
  <c r="D1124" i="2"/>
  <c r="C1124" i="2"/>
  <c r="B1124" i="2"/>
  <c r="A1124" i="2"/>
  <c r="F1123" i="2"/>
  <c r="E1123" i="2"/>
  <c r="D1123" i="2"/>
  <c r="C1123" i="2"/>
  <c r="B1123" i="2"/>
  <c r="A1123" i="2"/>
  <c r="F1122" i="2"/>
  <c r="E1122" i="2"/>
  <c r="D1122" i="2"/>
  <c r="C1122" i="2"/>
  <c r="B1122" i="2"/>
  <c r="A1122" i="2"/>
  <c r="F1121" i="2"/>
  <c r="E1121" i="2"/>
  <c r="D1121" i="2"/>
  <c r="C1121" i="2"/>
  <c r="B1121" i="2"/>
  <c r="A1121" i="2"/>
  <c r="F1120" i="2"/>
  <c r="E1120" i="2"/>
  <c r="D1120" i="2"/>
  <c r="C1120" i="2"/>
  <c r="B1120" i="2"/>
  <c r="A1120" i="2"/>
  <c r="F1119" i="2"/>
  <c r="E1119" i="2"/>
  <c r="D1119" i="2"/>
  <c r="C1119" i="2"/>
  <c r="B1119" i="2"/>
  <c r="A1119" i="2"/>
  <c r="F1118" i="2"/>
  <c r="E1118" i="2"/>
  <c r="D1118" i="2"/>
  <c r="C1118" i="2"/>
  <c r="B1118" i="2"/>
  <c r="A1118" i="2"/>
  <c r="F1117" i="2"/>
  <c r="E1117" i="2"/>
  <c r="D1117" i="2"/>
  <c r="C1117" i="2"/>
  <c r="B1117" i="2"/>
  <c r="A1117" i="2"/>
  <c r="F1116" i="2"/>
  <c r="E1116" i="2"/>
  <c r="D1116" i="2"/>
  <c r="C1116" i="2"/>
  <c r="B1116" i="2"/>
  <c r="A1116" i="2"/>
  <c r="F1115" i="2"/>
  <c r="E1115" i="2"/>
  <c r="D1115" i="2"/>
  <c r="C1115" i="2"/>
  <c r="B1115" i="2"/>
  <c r="A1115" i="2"/>
  <c r="F1114" i="2"/>
  <c r="E1114" i="2"/>
  <c r="D1114" i="2"/>
  <c r="C1114" i="2"/>
  <c r="B1114" i="2"/>
  <c r="A1114" i="2"/>
  <c r="F1113" i="2"/>
  <c r="E1113" i="2"/>
  <c r="D1113" i="2"/>
  <c r="C1113" i="2"/>
  <c r="B1113" i="2"/>
  <c r="A1113" i="2"/>
  <c r="F1112" i="2"/>
  <c r="E1112" i="2"/>
  <c r="D1112" i="2"/>
  <c r="C1112" i="2"/>
  <c r="B1112" i="2"/>
  <c r="A1112" i="2"/>
  <c r="F1111" i="2"/>
  <c r="E1111" i="2"/>
  <c r="D1111" i="2"/>
  <c r="C1111" i="2"/>
  <c r="B1111" i="2"/>
  <c r="A1111" i="2"/>
  <c r="F1110" i="2"/>
  <c r="E1110" i="2"/>
  <c r="D1110" i="2"/>
  <c r="C1110" i="2"/>
  <c r="B1110" i="2"/>
  <c r="A1110" i="2"/>
  <c r="F1109" i="2"/>
  <c r="E1109" i="2"/>
  <c r="D1109" i="2"/>
  <c r="C1109" i="2"/>
  <c r="B1109" i="2"/>
  <c r="A1109" i="2"/>
  <c r="F1108" i="2"/>
  <c r="E1108" i="2"/>
  <c r="D1108" i="2"/>
  <c r="C1108" i="2"/>
  <c r="B1108" i="2"/>
  <c r="A1108" i="2"/>
  <c r="F1107" i="2"/>
  <c r="E1107" i="2"/>
  <c r="D1107" i="2"/>
  <c r="C1107" i="2"/>
  <c r="B1107" i="2"/>
  <c r="A1107" i="2"/>
  <c r="F1106" i="2"/>
  <c r="E1106" i="2"/>
  <c r="D1106" i="2"/>
  <c r="C1106" i="2"/>
  <c r="B1106" i="2"/>
  <c r="A1106" i="2"/>
  <c r="F1105" i="2"/>
  <c r="E1105" i="2"/>
  <c r="D1105" i="2"/>
  <c r="C1105" i="2"/>
  <c r="B1105" i="2"/>
  <c r="A1105" i="2"/>
  <c r="F1104" i="2"/>
  <c r="E1104" i="2"/>
  <c r="D1104" i="2"/>
  <c r="C1104" i="2"/>
  <c r="B1104" i="2"/>
  <c r="A1104" i="2"/>
  <c r="F1103" i="2"/>
  <c r="E1103" i="2"/>
  <c r="D1103" i="2"/>
  <c r="C1103" i="2"/>
  <c r="B1103" i="2"/>
  <c r="A1103" i="2"/>
  <c r="F1102" i="2"/>
  <c r="E1102" i="2"/>
  <c r="D1102" i="2"/>
  <c r="C1102" i="2"/>
  <c r="B1102" i="2"/>
  <c r="A1102" i="2"/>
  <c r="F1101" i="2"/>
  <c r="E1101" i="2"/>
  <c r="D1101" i="2"/>
  <c r="C1101" i="2"/>
  <c r="B1101" i="2"/>
  <c r="A1101" i="2"/>
  <c r="F1100" i="2"/>
  <c r="E1100" i="2"/>
  <c r="D1100" i="2"/>
  <c r="C1100" i="2"/>
  <c r="B1100" i="2"/>
  <c r="A1100" i="2"/>
  <c r="F1099" i="2"/>
  <c r="E1099" i="2"/>
  <c r="D1099" i="2"/>
  <c r="C1099" i="2"/>
  <c r="B1099" i="2"/>
  <c r="A1099" i="2"/>
  <c r="F1098" i="2"/>
  <c r="E1098" i="2"/>
  <c r="D1098" i="2"/>
  <c r="C1098" i="2"/>
  <c r="B1098" i="2"/>
  <c r="A1098" i="2"/>
  <c r="F1097" i="2"/>
  <c r="E1097" i="2"/>
  <c r="D1097" i="2"/>
  <c r="C1097" i="2"/>
  <c r="B1097" i="2"/>
  <c r="A1097" i="2"/>
  <c r="F1096" i="2"/>
  <c r="E1096" i="2"/>
  <c r="D1096" i="2"/>
  <c r="C1096" i="2"/>
  <c r="B1096" i="2"/>
  <c r="A1096" i="2"/>
  <c r="F1095" i="2"/>
  <c r="E1095" i="2"/>
  <c r="D1095" i="2"/>
  <c r="C1095" i="2"/>
  <c r="B1095" i="2"/>
  <c r="A1095" i="2"/>
  <c r="F1094" i="2"/>
  <c r="E1094" i="2"/>
  <c r="D1094" i="2"/>
  <c r="C1094" i="2"/>
  <c r="B1094" i="2"/>
  <c r="A1094" i="2"/>
  <c r="F1093" i="2"/>
  <c r="E1093" i="2"/>
  <c r="D1093" i="2"/>
  <c r="C1093" i="2"/>
  <c r="B1093" i="2"/>
  <c r="A1093" i="2"/>
  <c r="F1092" i="2"/>
  <c r="E1092" i="2"/>
  <c r="D1092" i="2"/>
  <c r="C1092" i="2"/>
  <c r="B1092" i="2"/>
  <c r="A1092" i="2"/>
  <c r="F1091" i="2"/>
  <c r="E1091" i="2"/>
  <c r="D1091" i="2"/>
  <c r="C1091" i="2"/>
  <c r="B1091" i="2"/>
  <c r="A1091" i="2"/>
  <c r="F1090" i="2"/>
  <c r="E1090" i="2"/>
  <c r="D1090" i="2"/>
  <c r="C1090" i="2"/>
  <c r="B1090" i="2"/>
  <c r="A1090" i="2"/>
  <c r="F1089" i="2"/>
  <c r="E1089" i="2"/>
  <c r="D1089" i="2"/>
  <c r="C1089" i="2"/>
  <c r="B1089" i="2"/>
  <c r="A1089" i="2"/>
  <c r="F1088" i="2"/>
  <c r="E1088" i="2"/>
  <c r="D1088" i="2"/>
  <c r="C1088" i="2"/>
  <c r="B1088" i="2"/>
  <c r="A1088" i="2"/>
  <c r="F1087" i="2"/>
  <c r="E1087" i="2"/>
  <c r="D1087" i="2"/>
  <c r="C1087" i="2"/>
  <c r="B1087" i="2"/>
  <c r="A1087" i="2"/>
  <c r="F1086" i="2"/>
  <c r="E1086" i="2"/>
  <c r="D1086" i="2"/>
  <c r="C1086" i="2"/>
  <c r="B1086" i="2"/>
  <c r="A1086" i="2"/>
  <c r="F1085" i="2"/>
  <c r="E1085" i="2"/>
  <c r="D1085" i="2"/>
  <c r="C1085" i="2"/>
  <c r="B1085" i="2"/>
  <c r="A1085" i="2"/>
  <c r="F1084" i="2"/>
  <c r="E1084" i="2"/>
  <c r="D1084" i="2"/>
  <c r="C1084" i="2"/>
  <c r="B1084" i="2"/>
  <c r="A1084" i="2"/>
  <c r="F1083" i="2"/>
  <c r="E1083" i="2"/>
  <c r="D1083" i="2"/>
  <c r="C1083" i="2"/>
  <c r="B1083" i="2"/>
  <c r="A1083" i="2"/>
  <c r="F1082" i="2"/>
  <c r="E1082" i="2"/>
  <c r="D1082" i="2"/>
  <c r="C1082" i="2"/>
  <c r="B1082" i="2"/>
  <c r="A1082" i="2"/>
  <c r="F1081" i="2"/>
  <c r="E1081" i="2"/>
  <c r="D1081" i="2"/>
  <c r="C1081" i="2"/>
  <c r="B1081" i="2"/>
  <c r="A1081" i="2"/>
  <c r="F1080" i="2"/>
  <c r="E1080" i="2"/>
  <c r="D1080" i="2"/>
  <c r="C1080" i="2"/>
  <c r="B1080" i="2"/>
  <c r="A1080" i="2"/>
  <c r="F1079" i="2"/>
  <c r="E1079" i="2"/>
  <c r="D1079" i="2"/>
  <c r="C1079" i="2"/>
  <c r="B1079" i="2"/>
  <c r="A1079" i="2"/>
  <c r="F1078" i="2"/>
  <c r="E1078" i="2"/>
  <c r="D1078" i="2"/>
  <c r="C1078" i="2"/>
  <c r="B1078" i="2"/>
  <c r="A1078" i="2"/>
  <c r="F1077" i="2"/>
  <c r="E1077" i="2"/>
  <c r="D1077" i="2"/>
  <c r="C1077" i="2"/>
  <c r="B1077" i="2"/>
  <c r="A1077" i="2"/>
  <c r="F1076" i="2"/>
  <c r="E1076" i="2"/>
  <c r="D1076" i="2"/>
  <c r="C1076" i="2"/>
  <c r="B1076" i="2"/>
  <c r="A1076" i="2"/>
  <c r="F1075" i="2"/>
  <c r="E1075" i="2"/>
  <c r="D1075" i="2"/>
  <c r="C1075" i="2"/>
  <c r="B1075" i="2"/>
  <c r="A1075" i="2"/>
  <c r="F1074" i="2"/>
  <c r="E1074" i="2"/>
  <c r="D1074" i="2"/>
  <c r="C1074" i="2"/>
  <c r="B1074" i="2"/>
  <c r="A1074" i="2"/>
  <c r="F1073" i="2"/>
  <c r="E1073" i="2"/>
  <c r="D1073" i="2"/>
  <c r="C1073" i="2"/>
  <c r="B1073" i="2"/>
  <c r="A1073" i="2"/>
  <c r="F1072" i="2"/>
  <c r="E1072" i="2"/>
  <c r="D1072" i="2"/>
  <c r="C1072" i="2"/>
  <c r="B1072" i="2"/>
  <c r="A1072" i="2"/>
  <c r="F1071" i="2"/>
  <c r="E1071" i="2"/>
  <c r="D1071" i="2"/>
  <c r="C1071" i="2"/>
  <c r="B1071" i="2"/>
  <c r="A1071" i="2"/>
  <c r="F1070" i="2"/>
  <c r="E1070" i="2"/>
  <c r="D1070" i="2"/>
  <c r="C1070" i="2"/>
  <c r="B1070" i="2"/>
  <c r="A1070" i="2"/>
  <c r="F1069" i="2"/>
  <c r="E1069" i="2"/>
  <c r="D1069" i="2"/>
  <c r="C1069" i="2"/>
  <c r="B1069" i="2"/>
  <c r="A1069" i="2"/>
  <c r="F1068" i="2"/>
  <c r="E1068" i="2"/>
  <c r="D1068" i="2"/>
  <c r="C1068" i="2"/>
  <c r="B1068" i="2"/>
  <c r="A1068" i="2"/>
  <c r="F1067" i="2"/>
  <c r="E1067" i="2"/>
  <c r="D1067" i="2"/>
  <c r="C1067" i="2"/>
  <c r="B1067" i="2"/>
  <c r="A1067" i="2"/>
  <c r="F1066" i="2"/>
  <c r="E1066" i="2"/>
  <c r="D1066" i="2"/>
  <c r="C1066" i="2"/>
  <c r="B1066" i="2"/>
  <c r="A1066" i="2"/>
  <c r="F1065" i="2"/>
  <c r="E1065" i="2"/>
  <c r="D1065" i="2"/>
  <c r="C1065" i="2"/>
  <c r="B1065" i="2"/>
  <c r="A1065" i="2"/>
  <c r="F1064" i="2"/>
  <c r="E1064" i="2"/>
  <c r="D1064" i="2"/>
  <c r="C1064" i="2"/>
  <c r="B1064" i="2"/>
  <c r="A1064" i="2"/>
  <c r="F1063" i="2"/>
  <c r="E1063" i="2"/>
  <c r="D1063" i="2"/>
  <c r="C1063" i="2"/>
  <c r="B1063" i="2"/>
  <c r="A1063" i="2"/>
  <c r="F1062" i="2"/>
  <c r="E1062" i="2"/>
  <c r="D1062" i="2"/>
  <c r="C1062" i="2"/>
  <c r="B1062" i="2"/>
  <c r="A1062" i="2"/>
  <c r="F1061" i="2"/>
  <c r="E1061" i="2"/>
  <c r="D1061" i="2"/>
  <c r="C1061" i="2"/>
  <c r="B1061" i="2"/>
  <c r="A1061" i="2"/>
  <c r="F1060" i="2"/>
  <c r="E1060" i="2"/>
  <c r="D1060" i="2"/>
  <c r="C1060" i="2"/>
  <c r="B1060" i="2"/>
  <c r="A1060" i="2"/>
  <c r="F1059" i="2"/>
  <c r="E1059" i="2"/>
  <c r="D1059" i="2"/>
  <c r="C1059" i="2"/>
  <c r="B1059" i="2"/>
  <c r="A1059" i="2"/>
  <c r="F1058" i="2"/>
  <c r="E1058" i="2"/>
  <c r="D1058" i="2"/>
  <c r="C1058" i="2"/>
  <c r="B1058" i="2"/>
  <c r="A1058" i="2"/>
  <c r="F1057" i="2"/>
  <c r="E1057" i="2"/>
  <c r="D1057" i="2"/>
  <c r="C1057" i="2"/>
  <c r="B1057" i="2"/>
  <c r="A1057" i="2"/>
  <c r="F1056" i="2"/>
  <c r="E1056" i="2"/>
  <c r="D1056" i="2"/>
  <c r="C1056" i="2"/>
  <c r="B1056" i="2"/>
  <c r="A1056" i="2"/>
  <c r="F1055" i="2"/>
  <c r="E1055" i="2"/>
  <c r="D1055" i="2"/>
  <c r="C1055" i="2"/>
  <c r="B1055" i="2"/>
  <c r="A1055" i="2"/>
  <c r="F1054" i="2"/>
  <c r="E1054" i="2"/>
  <c r="D1054" i="2"/>
  <c r="C1054" i="2"/>
  <c r="B1054" i="2"/>
  <c r="A1054" i="2"/>
  <c r="F1053" i="2"/>
  <c r="E1053" i="2"/>
  <c r="D1053" i="2"/>
  <c r="C1053" i="2"/>
  <c r="B1053" i="2"/>
  <c r="A1053" i="2"/>
  <c r="F1052" i="2"/>
  <c r="E1052" i="2"/>
  <c r="D1052" i="2"/>
  <c r="C1052" i="2"/>
  <c r="B1052" i="2"/>
  <c r="A1052" i="2"/>
  <c r="F1051" i="2"/>
  <c r="E1051" i="2"/>
  <c r="D1051" i="2"/>
  <c r="C1051" i="2"/>
  <c r="B1051" i="2"/>
  <c r="A1051" i="2"/>
  <c r="F1050" i="2"/>
  <c r="E1050" i="2"/>
  <c r="D1050" i="2"/>
  <c r="C1050" i="2"/>
  <c r="B1050" i="2"/>
  <c r="A1050" i="2"/>
  <c r="F1049" i="2"/>
  <c r="E1049" i="2"/>
  <c r="D1049" i="2"/>
  <c r="C1049" i="2"/>
  <c r="B1049" i="2"/>
  <c r="A1049" i="2"/>
  <c r="F1048" i="2"/>
  <c r="E1048" i="2"/>
  <c r="D1048" i="2"/>
  <c r="C1048" i="2"/>
  <c r="B1048" i="2"/>
  <c r="A1048" i="2"/>
  <c r="F1047" i="2"/>
  <c r="E1047" i="2"/>
  <c r="D1047" i="2"/>
  <c r="C1047" i="2"/>
  <c r="B1047" i="2"/>
  <c r="A1047" i="2"/>
  <c r="F1046" i="2"/>
  <c r="E1046" i="2"/>
  <c r="D1046" i="2"/>
  <c r="C1046" i="2"/>
  <c r="B1046" i="2"/>
  <c r="A1046" i="2"/>
  <c r="F1045" i="2"/>
  <c r="E1045" i="2"/>
  <c r="D1045" i="2"/>
  <c r="C1045" i="2"/>
  <c r="B1045" i="2"/>
  <c r="A1045" i="2"/>
  <c r="F1044" i="2"/>
  <c r="E1044" i="2"/>
  <c r="D1044" i="2"/>
  <c r="C1044" i="2"/>
  <c r="B1044" i="2"/>
  <c r="A1044" i="2"/>
  <c r="F1043" i="2"/>
  <c r="E1043" i="2"/>
  <c r="D1043" i="2"/>
  <c r="C1043" i="2"/>
  <c r="B1043" i="2"/>
  <c r="A1043" i="2"/>
  <c r="F1042" i="2"/>
  <c r="E1042" i="2"/>
  <c r="D1042" i="2"/>
  <c r="C1042" i="2"/>
  <c r="B1042" i="2"/>
  <c r="A1042" i="2"/>
  <c r="F1041" i="2"/>
  <c r="E1041" i="2"/>
  <c r="D1041" i="2"/>
  <c r="C1041" i="2"/>
  <c r="B1041" i="2"/>
  <c r="A1041" i="2"/>
  <c r="F1040" i="2"/>
  <c r="E1040" i="2"/>
  <c r="D1040" i="2"/>
  <c r="C1040" i="2"/>
  <c r="B1040" i="2"/>
  <c r="A1040" i="2"/>
  <c r="F1039" i="2"/>
  <c r="E1039" i="2"/>
  <c r="D1039" i="2"/>
  <c r="C1039" i="2"/>
  <c r="B1039" i="2"/>
  <c r="A1039" i="2"/>
  <c r="F1038" i="2"/>
  <c r="E1038" i="2"/>
  <c r="D1038" i="2"/>
  <c r="C1038" i="2"/>
  <c r="B1038" i="2"/>
  <c r="A1038" i="2"/>
  <c r="F1037" i="2"/>
  <c r="E1037" i="2"/>
  <c r="D1037" i="2"/>
  <c r="C1037" i="2"/>
  <c r="B1037" i="2"/>
  <c r="A1037" i="2"/>
  <c r="F1036" i="2"/>
  <c r="E1036" i="2"/>
  <c r="D1036" i="2"/>
  <c r="C1036" i="2"/>
  <c r="B1036" i="2"/>
  <c r="A1036" i="2"/>
  <c r="F1035" i="2"/>
  <c r="E1035" i="2"/>
  <c r="D1035" i="2"/>
  <c r="C1035" i="2"/>
  <c r="B1035" i="2"/>
  <c r="A1035" i="2"/>
  <c r="F1034" i="2"/>
  <c r="E1034" i="2"/>
  <c r="D1034" i="2"/>
  <c r="C1034" i="2"/>
  <c r="B1034" i="2"/>
  <c r="A1034" i="2"/>
  <c r="F1033" i="2"/>
  <c r="E1033" i="2"/>
  <c r="D1033" i="2"/>
  <c r="C1033" i="2"/>
  <c r="B1033" i="2"/>
  <c r="A1033" i="2"/>
  <c r="F1032" i="2"/>
  <c r="E1032" i="2"/>
  <c r="D1032" i="2"/>
  <c r="C1032" i="2"/>
  <c r="B1032" i="2"/>
  <c r="A1032" i="2"/>
  <c r="F1031" i="2"/>
  <c r="E1031" i="2"/>
  <c r="D1031" i="2"/>
  <c r="C1031" i="2"/>
  <c r="B1031" i="2"/>
  <c r="A1031" i="2"/>
  <c r="F1030" i="2"/>
  <c r="E1030" i="2"/>
  <c r="D1030" i="2"/>
  <c r="C1030" i="2"/>
  <c r="B1030" i="2"/>
  <c r="A1030" i="2"/>
  <c r="F1029" i="2"/>
  <c r="E1029" i="2"/>
  <c r="D1029" i="2"/>
  <c r="C1029" i="2"/>
  <c r="B1029" i="2"/>
  <c r="A1029" i="2"/>
  <c r="F1028" i="2"/>
  <c r="E1028" i="2"/>
  <c r="D1028" i="2"/>
  <c r="C1028" i="2"/>
  <c r="B1028" i="2"/>
  <c r="A1028" i="2"/>
  <c r="F1027" i="2"/>
  <c r="E1027" i="2"/>
  <c r="D1027" i="2"/>
  <c r="C1027" i="2"/>
  <c r="B1027" i="2"/>
  <c r="A1027" i="2"/>
  <c r="F1026" i="2"/>
  <c r="E1026" i="2"/>
  <c r="D1026" i="2"/>
  <c r="C1026" i="2"/>
  <c r="B1026" i="2"/>
  <c r="A1026" i="2"/>
  <c r="F1025" i="2"/>
  <c r="E1025" i="2"/>
  <c r="D1025" i="2"/>
  <c r="C1025" i="2"/>
  <c r="B1025" i="2"/>
  <c r="A1025" i="2"/>
  <c r="F1024" i="2"/>
  <c r="E1024" i="2"/>
  <c r="D1024" i="2"/>
  <c r="C1024" i="2"/>
  <c r="B1024" i="2"/>
  <c r="A1024" i="2"/>
  <c r="F1023" i="2"/>
  <c r="E1023" i="2"/>
  <c r="D1023" i="2"/>
  <c r="C1023" i="2"/>
  <c r="B1023" i="2"/>
  <c r="A1023" i="2"/>
  <c r="F1022" i="2"/>
  <c r="E1022" i="2"/>
  <c r="D1022" i="2"/>
  <c r="C1022" i="2"/>
  <c r="B1022" i="2"/>
  <c r="A1022" i="2"/>
  <c r="F1021" i="2"/>
  <c r="E1021" i="2"/>
  <c r="D1021" i="2"/>
  <c r="C1021" i="2"/>
  <c r="B1021" i="2"/>
  <c r="A1021" i="2"/>
  <c r="F1020" i="2"/>
  <c r="E1020" i="2"/>
  <c r="D1020" i="2"/>
  <c r="C1020" i="2"/>
  <c r="B1020" i="2"/>
  <c r="A1020" i="2"/>
  <c r="F1019" i="2"/>
  <c r="E1019" i="2"/>
  <c r="D1019" i="2"/>
  <c r="C1019" i="2"/>
  <c r="B1019" i="2"/>
  <c r="A1019" i="2"/>
  <c r="F1018" i="2"/>
  <c r="E1018" i="2"/>
  <c r="D1018" i="2"/>
  <c r="C1018" i="2"/>
  <c r="B1018" i="2"/>
  <c r="A1018" i="2"/>
  <c r="F1017" i="2"/>
  <c r="E1017" i="2"/>
  <c r="D1017" i="2"/>
  <c r="C1017" i="2"/>
  <c r="B1017" i="2"/>
  <c r="A1017" i="2"/>
  <c r="F1016" i="2"/>
  <c r="E1016" i="2"/>
  <c r="D1016" i="2"/>
  <c r="C1016" i="2"/>
  <c r="B1016" i="2"/>
  <c r="A1016" i="2"/>
  <c r="F1015" i="2"/>
  <c r="E1015" i="2"/>
  <c r="D1015" i="2"/>
  <c r="C1015" i="2"/>
  <c r="B1015" i="2"/>
  <c r="A1015" i="2"/>
  <c r="F1014" i="2"/>
  <c r="E1014" i="2"/>
  <c r="D1014" i="2"/>
  <c r="C1014" i="2"/>
  <c r="B1014" i="2"/>
  <c r="A1014" i="2"/>
  <c r="F1013" i="2"/>
  <c r="E1013" i="2"/>
  <c r="D1013" i="2"/>
  <c r="C1013" i="2"/>
  <c r="B1013" i="2"/>
  <c r="A1013" i="2"/>
  <c r="F1012" i="2"/>
  <c r="E1012" i="2"/>
  <c r="D1012" i="2"/>
  <c r="C1012" i="2"/>
  <c r="B1012" i="2"/>
  <c r="A1012" i="2"/>
  <c r="F1011" i="2"/>
  <c r="E1011" i="2"/>
  <c r="D1011" i="2"/>
  <c r="C1011" i="2"/>
  <c r="B1011" i="2"/>
  <c r="A1011" i="2"/>
  <c r="F1010" i="2"/>
  <c r="E1010" i="2"/>
  <c r="D1010" i="2"/>
  <c r="C1010" i="2"/>
  <c r="B1010" i="2"/>
  <c r="A1010" i="2"/>
  <c r="F1009" i="2"/>
  <c r="E1009" i="2"/>
  <c r="D1009" i="2"/>
  <c r="C1009" i="2"/>
  <c r="B1009" i="2"/>
  <c r="A1009" i="2"/>
  <c r="F1008" i="2"/>
  <c r="E1008" i="2"/>
  <c r="D1008" i="2"/>
  <c r="C1008" i="2"/>
  <c r="B1008" i="2"/>
  <c r="A1008" i="2"/>
  <c r="F1007" i="2"/>
  <c r="E1007" i="2"/>
  <c r="D1007" i="2"/>
  <c r="C1007" i="2"/>
  <c r="B1007" i="2"/>
  <c r="A1007" i="2"/>
  <c r="F1006" i="2"/>
  <c r="E1006" i="2"/>
  <c r="D1006" i="2"/>
  <c r="C1006" i="2"/>
  <c r="B1006" i="2"/>
  <c r="A1006" i="2"/>
  <c r="F1005" i="2"/>
  <c r="E1005" i="2"/>
  <c r="D1005" i="2"/>
  <c r="C1005" i="2"/>
  <c r="B1005" i="2"/>
  <c r="A1005" i="2"/>
  <c r="F1004" i="2"/>
  <c r="E1004" i="2"/>
  <c r="D1004" i="2"/>
  <c r="C1004" i="2"/>
  <c r="B1004" i="2"/>
  <c r="A1004" i="2"/>
  <c r="F1003" i="2"/>
  <c r="E1003" i="2"/>
  <c r="D1003" i="2"/>
  <c r="C1003" i="2"/>
  <c r="B1003" i="2"/>
  <c r="A1003" i="2"/>
  <c r="F1002" i="2"/>
  <c r="E1002" i="2"/>
  <c r="D1002" i="2"/>
  <c r="C1002" i="2"/>
  <c r="B1002" i="2"/>
  <c r="A1002" i="2"/>
  <c r="F1001" i="2"/>
  <c r="E1001" i="2"/>
  <c r="D1001" i="2"/>
  <c r="C1001" i="2"/>
  <c r="B1001" i="2"/>
  <c r="A1001" i="2"/>
  <c r="F1000" i="2"/>
  <c r="E1000" i="2"/>
  <c r="D1000" i="2"/>
  <c r="C1000" i="2"/>
  <c r="B1000" i="2"/>
  <c r="A1000" i="2"/>
  <c r="F999" i="2"/>
  <c r="E999" i="2"/>
  <c r="D999" i="2"/>
  <c r="C999" i="2"/>
  <c r="B999" i="2"/>
  <c r="A999" i="2"/>
  <c r="F998" i="2"/>
  <c r="E998" i="2"/>
  <c r="D998" i="2"/>
  <c r="C998" i="2"/>
  <c r="B998" i="2"/>
  <c r="A998" i="2"/>
  <c r="F997" i="2"/>
  <c r="E997" i="2"/>
  <c r="D997" i="2"/>
  <c r="C997" i="2"/>
  <c r="B997" i="2"/>
  <c r="A997" i="2"/>
  <c r="F996" i="2"/>
  <c r="E996" i="2"/>
  <c r="D996" i="2"/>
  <c r="C996" i="2"/>
  <c r="B996" i="2"/>
  <c r="A996" i="2"/>
  <c r="F995" i="2"/>
  <c r="E995" i="2"/>
  <c r="D995" i="2"/>
  <c r="C995" i="2"/>
  <c r="B995" i="2"/>
  <c r="A995" i="2"/>
  <c r="F994" i="2"/>
  <c r="E994" i="2"/>
  <c r="D994" i="2"/>
  <c r="C994" i="2"/>
  <c r="B994" i="2"/>
  <c r="A994" i="2"/>
  <c r="F993" i="2"/>
  <c r="E993" i="2"/>
  <c r="D993" i="2"/>
  <c r="C993" i="2"/>
  <c r="B993" i="2"/>
  <c r="A993" i="2"/>
  <c r="F992" i="2"/>
  <c r="E992" i="2"/>
  <c r="D992" i="2"/>
  <c r="C992" i="2"/>
  <c r="B992" i="2"/>
  <c r="A992" i="2"/>
  <c r="F991" i="2"/>
  <c r="E991" i="2"/>
  <c r="D991" i="2"/>
  <c r="C991" i="2"/>
  <c r="B991" i="2"/>
  <c r="A991" i="2"/>
  <c r="F990" i="2"/>
  <c r="E990" i="2"/>
  <c r="D990" i="2"/>
  <c r="C990" i="2"/>
  <c r="B990" i="2"/>
  <c r="A990" i="2"/>
  <c r="F989" i="2"/>
  <c r="E989" i="2"/>
  <c r="D989" i="2"/>
  <c r="C989" i="2"/>
  <c r="B989" i="2"/>
  <c r="A989" i="2"/>
  <c r="F988" i="2"/>
  <c r="E988" i="2"/>
  <c r="D988" i="2"/>
  <c r="C988" i="2"/>
  <c r="B988" i="2"/>
  <c r="A988" i="2"/>
  <c r="F987" i="2"/>
  <c r="E987" i="2"/>
  <c r="D987" i="2"/>
  <c r="C987" i="2"/>
  <c r="B987" i="2"/>
  <c r="A987" i="2"/>
  <c r="F986" i="2"/>
  <c r="E986" i="2"/>
  <c r="D986" i="2"/>
  <c r="C986" i="2"/>
  <c r="B986" i="2"/>
  <c r="A986" i="2"/>
  <c r="F985" i="2"/>
  <c r="E985" i="2"/>
  <c r="D985" i="2"/>
  <c r="C985" i="2"/>
  <c r="B985" i="2"/>
  <c r="A985" i="2"/>
  <c r="F984" i="2"/>
  <c r="E984" i="2"/>
  <c r="D984" i="2"/>
  <c r="C984" i="2"/>
  <c r="B984" i="2"/>
  <c r="A984" i="2"/>
  <c r="F983" i="2"/>
  <c r="E983" i="2"/>
  <c r="D983" i="2"/>
  <c r="C983" i="2"/>
  <c r="B983" i="2"/>
  <c r="A983" i="2"/>
  <c r="F982" i="2"/>
  <c r="E982" i="2"/>
  <c r="D982" i="2"/>
  <c r="C982" i="2"/>
  <c r="B982" i="2"/>
  <c r="A982" i="2"/>
  <c r="F981" i="2"/>
  <c r="E981" i="2"/>
  <c r="D981" i="2"/>
  <c r="C981" i="2"/>
  <c r="B981" i="2"/>
  <c r="A981" i="2"/>
  <c r="F980" i="2"/>
  <c r="E980" i="2"/>
  <c r="D980" i="2"/>
  <c r="C980" i="2"/>
  <c r="B980" i="2"/>
  <c r="A980" i="2"/>
  <c r="F979" i="2"/>
  <c r="E979" i="2"/>
  <c r="D979" i="2"/>
  <c r="C979" i="2"/>
  <c r="B979" i="2"/>
  <c r="A979" i="2"/>
  <c r="F978" i="2"/>
  <c r="E978" i="2"/>
  <c r="D978" i="2"/>
  <c r="C978" i="2"/>
  <c r="B978" i="2"/>
  <c r="A978" i="2"/>
  <c r="F977" i="2"/>
  <c r="E977" i="2"/>
  <c r="D977" i="2"/>
  <c r="C977" i="2"/>
  <c r="B977" i="2"/>
  <c r="A977" i="2"/>
  <c r="F976" i="2"/>
  <c r="E976" i="2"/>
  <c r="D976" i="2"/>
  <c r="C976" i="2"/>
  <c r="B976" i="2"/>
  <c r="A976" i="2"/>
  <c r="F975" i="2"/>
  <c r="E975" i="2"/>
  <c r="D975" i="2"/>
  <c r="C975" i="2"/>
  <c r="B975" i="2"/>
  <c r="A975" i="2"/>
  <c r="F974" i="2"/>
  <c r="E974" i="2"/>
  <c r="D974" i="2"/>
  <c r="C974" i="2"/>
  <c r="B974" i="2"/>
  <c r="A974" i="2"/>
  <c r="F973" i="2"/>
  <c r="E973" i="2"/>
  <c r="D973" i="2"/>
  <c r="C973" i="2"/>
  <c r="B973" i="2"/>
  <c r="A973" i="2"/>
  <c r="F972" i="2"/>
  <c r="E972" i="2"/>
  <c r="D972" i="2"/>
  <c r="C972" i="2"/>
  <c r="B972" i="2"/>
  <c r="A972" i="2"/>
  <c r="F971" i="2"/>
  <c r="E971" i="2"/>
  <c r="D971" i="2"/>
  <c r="C971" i="2"/>
  <c r="B971" i="2"/>
  <c r="A971" i="2"/>
  <c r="F970" i="2"/>
  <c r="E970" i="2"/>
  <c r="D970" i="2"/>
  <c r="C970" i="2"/>
  <c r="B970" i="2"/>
  <c r="A970" i="2"/>
  <c r="F969" i="2"/>
  <c r="E969" i="2"/>
  <c r="D969" i="2"/>
  <c r="C969" i="2"/>
  <c r="B969" i="2"/>
  <c r="A969" i="2"/>
  <c r="F968" i="2"/>
  <c r="E968" i="2"/>
  <c r="D968" i="2"/>
  <c r="C968" i="2"/>
  <c r="B968" i="2"/>
  <c r="A968" i="2"/>
  <c r="F967" i="2"/>
  <c r="E967" i="2"/>
  <c r="D967" i="2"/>
  <c r="C967" i="2"/>
  <c r="B967" i="2"/>
  <c r="A967" i="2"/>
  <c r="F966" i="2"/>
  <c r="E966" i="2"/>
  <c r="D966" i="2"/>
  <c r="C966" i="2"/>
  <c r="B966" i="2"/>
  <c r="A966" i="2"/>
  <c r="F965" i="2"/>
  <c r="E965" i="2"/>
  <c r="D965" i="2"/>
  <c r="C965" i="2"/>
  <c r="B965" i="2"/>
  <c r="A965" i="2"/>
  <c r="F964" i="2"/>
  <c r="E964" i="2"/>
  <c r="D964" i="2"/>
  <c r="C964" i="2"/>
  <c r="B964" i="2"/>
  <c r="A964" i="2"/>
  <c r="F963" i="2"/>
  <c r="E963" i="2"/>
  <c r="D963" i="2"/>
  <c r="C963" i="2"/>
  <c r="B963" i="2"/>
  <c r="A963" i="2"/>
  <c r="F962" i="2"/>
  <c r="E962" i="2"/>
  <c r="D962" i="2"/>
  <c r="C962" i="2"/>
  <c r="B962" i="2"/>
  <c r="A962" i="2"/>
  <c r="F961" i="2"/>
  <c r="E961" i="2"/>
  <c r="D961" i="2"/>
  <c r="C961" i="2"/>
  <c r="B961" i="2"/>
  <c r="A961" i="2"/>
  <c r="F960" i="2"/>
  <c r="E960" i="2"/>
  <c r="D960" i="2"/>
  <c r="C960" i="2"/>
  <c r="B960" i="2"/>
  <c r="A960" i="2"/>
  <c r="F959" i="2"/>
  <c r="E959" i="2"/>
  <c r="D959" i="2"/>
  <c r="C959" i="2"/>
  <c r="B959" i="2"/>
  <c r="A959" i="2"/>
  <c r="F958" i="2"/>
  <c r="E958" i="2"/>
  <c r="D958" i="2"/>
  <c r="C958" i="2"/>
  <c r="B958" i="2"/>
  <c r="A958" i="2"/>
  <c r="F957" i="2"/>
  <c r="E957" i="2"/>
  <c r="D957" i="2"/>
  <c r="C957" i="2"/>
  <c r="B957" i="2"/>
  <c r="A957" i="2"/>
  <c r="F956" i="2"/>
  <c r="E956" i="2"/>
  <c r="D956" i="2"/>
  <c r="C956" i="2"/>
  <c r="B956" i="2"/>
  <c r="A956" i="2"/>
  <c r="F955" i="2"/>
  <c r="E955" i="2"/>
  <c r="D955" i="2"/>
  <c r="C955" i="2"/>
  <c r="B955" i="2"/>
  <c r="A955" i="2"/>
  <c r="F954" i="2"/>
  <c r="E954" i="2"/>
  <c r="D954" i="2"/>
  <c r="C954" i="2"/>
  <c r="B954" i="2"/>
  <c r="A954" i="2"/>
  <c r="F953" i="2"/>
  <c r="E953" i="2"/>
  <c r="D953" i="2"/>
  <c r="C953" i="2"/>
  <c r="B953" i="2"/>
  <c r="A953" i="2"/>
  <c r="F952" i="2"/>
  <c r="E952" i="2"/>
  <c r="D952" i="2"/>
  <c r="C952" i="2"/>
  <c r="B952" i="2"/>
  <c r="A952" i="2"/>
  <c r="F951" i="2"/>
  <c r="E951" i="2"/>
  <c r="D951" i="2"/>
  <c r="C951" i="2"/>
  <c r="B951" i="2"/>
  <c r="A951" i="2"/>
  <c r="F950" i="2"/>
  <c r="E950" i="2"/>
  <c r="D950" i="2"/>
  <c r="C950" i="2"/>
  <c r="B950" i="2"/>
  <c r="A950" i="2"/>
  <c r="F949" i="2"/>
  <c r="E949" i="2"/>
  <c r="D949" i="2"/>
  <c r="C949" i="2"/>
  <c r="B949" i="2"/>
  <c r="A949" i="2"/>
  <c r="F948" i="2"/>
  <c r="E948" i="2"/>
  <c r="D948" i="2"/>
  <c r="C948" i="2"/>
  <c r="B948" i="2"/>
  <c r="A948" i="2"/>
  <c r="F947" i="2"/>
  <c r="E947" i="2"/>
  <c r="D947" i="2"/>
  <c r="C947" i="2"/>
  <c r="B947" i="2"/>
  <c r="A947" i="2"/>
  <c r="F946" i="2"/>
  <c r="E946" i="2"/>
  <c r="D946" i="2"/>
  <c r="C946" i="2"/>
  <c r="B946" i="2"/>
  <c r="A946" i="2"/>
  <c r="F945" i="2"/>
  <c r="E945" i="2"/>
  <c r="D945" i="2"/>
  <c r="C945" i="2"/>
  <c r="B945" i="2"/>
  <c r="A945" i="2"/>
  <c r="F944" i="2"/>
  <c r="E944" i="2"/>
  <c r="D944" i="2"/>
  <c r="C944" i="2"/>
  <c r="B944" i="2"/>
  <c r="A944" i="2"/>
  <c r="F943" i="2"/>
  <c r="E943" i="2"/>
  <c r="D943" i="2"/>
  <c r="C943" i="2"/>
  <c r="B943" i="2"/>
  <c r="A943" i="2"/>
  <c r="F942" i="2"/>
  <c r="E942" i="2"/>
  <c r="D942" i="2"/>
  <c r="C942" i="2"/>
  <c r="B942" i="2"/>
  <c r="A942" i="2"/>
  <c r="F941" i="2"/>
  <c r="E941" i="2"/>
  <c r="D941" i="2"/>
  <c r="C941" i="2"/>
  <c r="B941" i="2"/>
  <c r="A941" i="2"/>
  <c r="F940" i="2"/>
  <c r="E940" i="2"/>
  <c r="D940" i="2"/>
  <c r="C940" i="2"/>
  <c r="B940" i="2"/>
  <c r="A940" i="2"/>
  <c r="F939" i="2"/>
  <c r="E939" i="2"/>
  <c r="D939" i="2"/>
  <c r="C939" i="2"/>
  <c r="B939" i="2"/>
  <c r="A939" i="2"/>
  <c r="F938" i="2"/>
  <c r="E938" i="2"/>
  <c r="D938" i="2"/>
  <c r="C938" i="2"/>
  <c r="B938" i="2"/>
  <c r="A938" i="2"/>
  <c r="F937" i="2"/>
  <c r="E937" i="2"/>
  <c r="D937" i="2"/>
  <c r="C937" i="2"/>
  <c r="B937" i="2"/>
  <c r="A937" i="2"/>
  <c r="F936" i="2"/>
  <c r="E936" i="2"/>
  <c r="D936" i="2"/>
  <c r="C936" i="2"/>
  <c r="B936" i="2"/>
  <c r="A936" i="2"/>
  <c r="F935" i="2"/>
  <c r="E935" i="2"/>
  <c r="D935" i="2"/>
  <c r="C935" i="2"/>
  <c r="B935" i="2"/>
  <c r="A935" i="2"/>
  <c r="F934" i="2"/>
  <c r="E934" i="2"/>
  <c r="D934" i="2"/>
  <c r="C934" i="2"/>
  <c r="B934" i="2"/>
  <c r="A934" i="2"/>
  <c r="F933" i="2"/>
  <c r="E933" i="2"/>
  <c r="D933" i="2"/>
  <c r="C933" i="2"/>
  <c r="B933" i="2"/>
  <c r="A933" i="2"/>
  <c r="F932" i="2"/>
  <c r="E932" i="2"/>
  <c r="D932" i="2"/>
  <c r="C932" i="2"/>
  <c r="B932" i="2"/>
  <c r="A932" i="2"/>
  <c r="F931" i="2"/>
  <c r="E931" i="2"/>
  <c r="D931" i="2"/>
  <c r="C931" i="2"/>
  <c r="B931" i="2"/>
  <c r="A931" i="2"/>
  <c r="F930" i="2"/>
  <c r="E930" i="2"/>
  <c r="D930" i="2"/>
  <c r="C930" i="2"/>
  <c r="B930" i="2"/>
  <c r="A930" i="2"/>
  <c r="F929" i="2"/>
  <c r="E929" i="2"/>
  <c r="D929" i="2"/>
  <c r="C929" i="2"/>
  <c r="B929" i="2"/>
  <c r="A929" i="2"/>
  <c r="F928" i="2"/>
  <c r="E928" i="2"/>
  <c r="D928" i="2"/>
  <c r="C928" i="2"/>
  <c r="B928" i="2"/>
  <c r="A928" i="2"/>
  <c r="F927" i="2"/>
  <c r="E927" i="2"/>
  <c r="D927" i="2"/>
  <c r="C927" i="2"/>
  <c r="B927" i="2"/>
  <c r="A927" i="2"/>
  <c r="F926" i="2"/>
  <c r="E926" i="2"/>
  <c r="D926" i="2"/>
  <c r="C926" i="2"/>
  <c r="B926" i="2"/>
  <c r="A926" i="2"/>
  <c r="F925" i="2"/>
  <c r="E925" i="2"/>
  <c r="D925" i="2"/>
  <c r="C925" i="2"/>
  <c r="B925" i="2"/>
  <c r="A925" i="2"/>
  <c r="F924" i="2"/>
  <c r="E924" i="2"/>
  <c r="D924" i="2"/>
  <c r="C924" i="2"/>
  <c r="B924" i="2"/>
  <c r="A924" i="2"/>
  <c r="F923" i="2"/>
  <c r="E923" i="2"/>
  <c r="D923" i="2"/>
  <c r="C923" i="2"/>
  <c r="B923" i="2"/>
  <c r="A923" i="2"/>
  <c r="F922" i="2"/>
  <c r="E922" i="2"/>
  <c r="D922" i="2"/>
  <c r="C922" i="2"/>
  <c r="B922" i="2"/>
  <c r="A922" i="2"/>
  <c r="F921" i="2"/>
  <c r="E921" i="2"/>
  <c r="D921" i="2"/>
  <c r="C921" i="2"/>
  <c r="B921" i="2"/>
  <c r="A921" i="2"/>
  <c r="F920" i="2"/>
  <c r="E920" i="2"/>
  <c r="D920" i="2"/>
  <c r="C920" i="2"/>
  <c r="B920" i="2"/>
  <c r="A920" i="2"/>
  <c r="F919" i="2"/>
  <c r="E919" i="2"/>
  <c r="D919" i="2"/>
  <c r="C919" i="2"/>
  <c r="B919" i="2"/>
  <c r="A919" i="2"/>
  <c r="F918" i="2"/>
  <c r="E918" i="2"/>
  <c r="D918" i="2"/>
  <c r="C918" i="2"/>
  <c r="B918" i="2"/>
  <c r="A918" i="2"/>
  <c r="F917" i="2"/>
  <c r="E917" i="2"/>
  <c r="D917" i="2"/>
  <c r="C917" i="2"/>
  <c r="B917" i="2"/>
  <c r="A917" i="2"/>
  <c r="F916" i="2"/>
  <c r="E916" i="2"/>
  <c r="D916" i="2"/>
  <c r="C916" i="2"/>
  <c r="B916" i="2"/>
  <c r="A916" i="2"/>
  <c r="F915" i="2"/>
  <c r="E915" i="2"/>
  <c r="D915" i="2"/>
  <c r="C915" i="2"/>
  <c r="B915" i="2"/>
  <c r="A915" i="2"/>
  <c r="F914" i="2"/>
  <c r="E914" i="2"/>
  <c r="D914" i="2"/>
  <c r="C914" i="2"/>
  <c r="B914" i="2"/>
  <c r="A914" i="2"/>
  <c r="F913" i="2"/>
  <c r="E913" i="2"/>
  <c r="D913" i="2"/>
  <c r="C913" i="2"/>
  <c r="B913" i="2"/>
  <c r="A913" i="2"/>
  <c r="F912" i="2"/>
  <c r="E912" i="2"/>
  <c r="D912" i="2"/>
  <c r="C912" i="2"/>
  <c r="B912" i="2"/>
  <c r="A912" i="2"/>
  <c r="F911" i="2"/>
  <c r="E911" i="2"/>
  <c r="D911" i="2"/>
  <c r="C911" i="2"/>
  <c r="B911" i="2"/>
  <c r="A911" i="2"/>
  <c r="F910" i="2"/>
  <c r="E910" i="2"/>
  <c r="D910" i="2"/>
  <c r="C910" i="2"/>
  <c r="B910" i="2"/>
  <c r="A910" i="2"/>
  <c r="F909" i="2"/>
  <c r="E909" i="2"/>
  <c r="D909" i="2"/>
  <c r="C909" i="2"/>
  <c r="B909" i="2"/>
  <c r="A909" i="2"/>
  <c r="F908" i="2"/>
  <c r="E908" i="2"/>
  <c r="D908" i="2"/>
  <c r="C908" i="2"/>
  <c r="B908" i="2"/>
  <c r="A908" i="2"/>
  <c r="F907" i="2"/>
  <c r="E907" i="2"/>
  <c r="D907" i="2"/>
  <c r="C907" i="2"/>
  <c r="B907" i="2"/>
  <c r="A907" i="2"/>
  <c r="F906" i="2"/>
  <c r="E906" i="2"/>
  <c r="D906" i="2"/>
  <c r="C906" i="2"/>
  <c r="B906" i="2"/>
  <c r="A906" i="2"/>
  <c r="F905" i="2"/>
  <c r="E905" i="2"/>
  <c r="D905" i="2"/>
  <c r="C905" i="2"/>
  <c r="B905" i="2"/>
  <c r="A905" i="2"/>
  <c r="F904" i="2"/>
  <c r="E904" i="2"/>
  <c r="D904" i="2"/>
  <c r="C904" i="2"/>
  <c r="B904" i="2"/>
  <c r="A904" i="2"/>
  <c r="F903" i="2"/>
  <c r="E903" i="2"/>
  <c r="D903" i="2"/>
  <c r="C903" i="2"/>
  <c r="B903" i="2"/>
  <c r="A903" i="2"/>
  <c r="F902" i="2"/>
  <c r="E902" i="2"/>
  <c r="D902" i="2"/>
  <c r="C902" i="2"/>
  <c r="B902" i="2"/>
  <c r="A902" i="2"/>
  <c r="F901" i="2"/>
  <c r="E901" i="2"/>
  <c r="D901" i="2"/>
  <c r="C901" i="2"/>
  <c r="B901" i="2"/>
  <c r="A901" i="2"/>
  <c r="F900" i="2"/>
  <c r="E900" i="2"/>
  <c r="D900" i="2"/>
  <c r="C900" i="2"/>
  <c r="B900" i="2"/>
  <c r="A900" i="2"/>
  <c r="F899" i="2"/>
  <c r="E899" i="2"/>
  <c r="D899" i="2"/>
  <c r="C899" i="2"/>
  <c r="B899" i="2"/>
  <c r="A899" i="2"/>
  <c r="F898" i="2"/>
  <c r="E898" i="2"/>
  <c r="D898" i="2"/>
  <c r="C898" i="2"/>
  <c r="B898" i="2"/>
  <c r="A898" i="2"/>
  <c r="F897" i="2"/>
  <c r="E897" i="2"/>
  <c r="D897" i="2"/>
  <c r="C897" i="2"/>
  <c r="B897" i="2"/>
  <c r="A897" i="2"/>
  <c r="F896" i="2"/>
  <c r="E896" i="2"/>
  <c r="D896" i="2"/>
  <c r="C896" i="2"/>
  <c r="B896" i="2"/>
  <c r="A896" i="2"/>
  <c r="F895" i="2"/>
  <c r="E895" i="2"/>
  <c r="D895" i="2"/>
  <c r="C895" i="2"/>
  <c r="B895" i="2"/>
  <c r="A895" i="2"/>
  <c r="F894" i="2"/>
  <c r="E894" i="2"/>
  <c r="D894" i="2"/>
  <c r="C894" i="2"/>
  <c r="B894" i="2"/>
  <c r="A894" i="2"/>
  <c r="F893" i="2"/>
  <c r="E893" i="2"/>
  <c r="D893" i="2"/>
  <c r="C893" i="2"/>
  <c r="B893" i="2"/>
  <c r="A893" i="2"/>
  <c r="F892" i="2"/>
  <c r="E892" i="2"/>
  <c r="D892" i="2"/>
  <c r="C892" i="2"/>
  <c r="B892" i="2"/>
  <c r="A892" i="2"/>
  <c r="F891" i="2"/>
  <c r="E891" i="2"/>
  <c r="D891" i="2"/>
  <c r="C891" i="2"/>
  <c r="B891" i="2"/>
  <c r="A891" i="2"/>
  <c r="F890" i="2"/>
  <c r="E890" i="2"/>
  <c r="D890" i="2"/>
  <c r="C890" i="2"/>
  <c r="B890" i="2"/>
  <c r="A890" i="2"/>
  <c r="F889" i="2"/>
  <c r="E889" i="2"/>
  <c r="D889" i="2"/>
  <c r="C889" i="2"/>
  <c r="B889" i="2"/>
  <c r="A889" i="2"/>
  <c r="F888" i="2"/>
  <c r="E888" i="2"/>
  <c r="D888" i="2"/>
  <c r="C888" i="2"/>
  <c r="B888" i="2"/>
  <c r="A888" i="2"/>
  <c r="F887" i="2"/>
  <c r="E887" i="2"/>
  <c r="D887" i="2"/>
  <c r="C887" i="2"/>
  <c r="B887" i="2"/>
  <c r="A887" i="2"/>
  <c r="F886" i="2"/>
  <c r="E886" i="2"/>
  <c r="D886" i="2"/>
  <c r="C886" i="2"/>
  <c r="B886" i="2"/>
  <c r="A886" i="2"/>
  <c r="F885" i="2"/>
  <c r="E885" i="2"/>
  <c r="D885" i="2"/>
  <c r="C885" i="2"/>
  <c r="B885" i="2"/>
  <c r="A885" i="2"/>
  <c r="F884" i="2"/>
  <c r="E884" i="2"/>
  <c r="D884" i="2"/>
  <c r="C884" i="2"/>
  <c r="B884" i="2"/>
  <c r="A884" i="2"/>
  <c r="F883" i="2"/>
  <c r="E883" i="2"/>
  <c r="D883" i="2"/>
  <c r="C883" i="2"/>
  <c r="B883" i="2"/>
  <c r="A883" i="2"/>
  <c r="F882" i="2"/>
  <c r="E882" i="2"/>
  <c r="D882" i="2"/>
  <c r="C882" i="2"/>
  <c r="B882" i="2"/>
  <c r="A882" i="2"/>
  <c r="F881" i="2"/>
  <c r="E881" i="2"/>
  <c r="D881" i="2"/>
  <c r="C881" i="2"/>
  <c r="B881" i="2"/>
  <c r="A881" i="2"/>
  <c r="F880" i="2"/>
  <c r="E880" i="2"/>
  <c r="D880" i="2"/>
  <c r="C880" i="2"/>
  <c r="B880" i="2"/>
  <c r="A880" i="2"/>
  <c r="F879" i="2"/>
  <c r="E879" i="2"/>
  <c r="D879" i="2"/>
  <c r="C879" i="2"/>
  <c r="B879" i="2"/>
  <c r="A879" i="2"/>
  <c r="F878" i="2"/>
  <c r="E878" i="2"/>
  <c r="D878" i="2"/>
  <c r="C878" i="2"/>
  <c r="B878" i="2"/>
  <c r="A878" i="2"/>
  <c r="F877" i="2"/>
  <c r="E877" i="2"/>
  <c r="D877" i="2"/>
  <c r="C877" i="2"/>
  <c r="B877" i="2"/>
  <c r="A877" i="2"/>
  <c r="F876" i="2"/>
  <c r="E876" i="2"/>
  <c r="D876" i="2"/>
  <c r="C876" i="2"/>
  <c r="B876" i="2"/>
  <c r="A876" i="2"/>
  <c r="F875" i="2"/>
  <c r="E875" i="2"/>
  <c r="D875" i="2"/>
  <c r="C875" i="2"/>
  <c r="B875" i="2"/>
  <c r="A875" i="2"/>
  <c r="F874" i="2"/>
  <c r="E874" i="2"/>
  <c r="D874" i="2"/>
  <c r="C874" i="2"/>
  <c r="B874" i="2"/>
  <c r="A874" i="2"/>
  <c r="F873" i="2"/>
  <c r="E873" i="2"/>
  <c r="D873" i="2"/>
  <c r="C873" i="2"/>
  <c r="B873" i="2"/>
  <c r="A873" i="2"/>
  <c r="F872" i="2"/>
  <c r="E872" i="2"/>
  <c r="D872" i="2"/>
  <c r="C872" i="2"/>
  <c r="B872" i="2"/>
  <c r="A872" i="2"/>
  <c r="F871" i="2"/>
  <c r="E871" i="2"/>
  <c r="D871" i="2"/>
  <c r="C871" i="2"/>
  <c r="B871" i="2"/>
  <c r="A871" i="2"/>
  <c r="F870" i="2"/>
  <c r="E870" i="2"/>
  <c r="D870" i="2"/>
  <c r="C870" i="2"/>
  <c r="B870" i="2"/>
  <c r="A870" i="2"/>
  <c r="F869" i="2"/>
  <c r="E869" i="2"/>
  <c r="D869" i="2"/>
  <c r="C869" i="2"/>
  <c r="B869" i="2"/>
  <c r="A869" i="2"/>
  <c r="F868" i="2"/>
  <c r="E868" i="2"/>
  <c r="D868" i="2"/>
  <c r="C868" i="2"/>
  <c r="B868" i="2"/>
  <c r="A868" i="2"/>
  <c r="F867" i="2"/>
  <c r="E867" i="2"/>
  <c r="D867" i="2"/>
  <c r="C867" i="2"/>
  <c r="B867" i="2"/>
  <c r="A867" i="2"/>
  <c r="F866" i="2"/>
  <c r="E866" i="2"/>
  <c r="D866" i="2"/>
  <c r="C866" i="2"/>
  <c r="B866" i="2"/>
  <c r="A866" i="2"/>
  <c r="F865" i="2"/>
  <c r="E865" i="2"/>
  <c r="D865" i="2"/>
  <c r="C865" i="2"/>
  <c r="B865" i="2"/>
  <c r="A865" i="2"/>
  <c r="F864" i="2"/>
  <c r="E864" i="2"/>
  <c r="D864" i="2"/>
  <c r="C864" i="2"/>
  <c r="B864" i="2"/>
  <c r="A864" i="2"/>
  <c r="F863" i="2"/>
  <c r="E863" i="2"/>
  <c r="D863" i="2"/>
  <c r="C863" i="2"/>
  <c r="B863" i="2"/>
  <c r="A863" i="2"/>
  <c r="F862" i="2"/>
  <c r="E862" i="2"/>
  <c r="D862" i="2"/>
  <c r="C862" i="2"/>
  <c r="B862" i="2"/>
  <c r="A862" i="2"/>
  <c r="F861" i="2"/>
  <c r="E861" i="2"/>
  <c r="D861" i="2"/>
  <c r="C861" i="2"/>
  <c r="B861" i="2"/>
  <c r="A861" i="2"/>
  <c r="F860" i="2"/>
  <c r="E860" i="2"/>
  <c r="D860" i="2"/>
  <c r="C860" i="2"/>
  <c r="B860" i="2"/>
  <c r="A860" i="2"/>
  <c r="F859" i="2"/>
  <c r="E859" i="2"/>
  <c r="D859" i="2"/>
  <c r="C859" i="2"/>
  <c r="B859" i="2"/>
  <c r="A859" i="2"/>
  <c r="F858" i="2"/>
  <c r="E858" i="2"/>
  <c r="D858" i="2"/>
  <c r="C858" i="2"/>
  <c r="B858" i="2"/>
  <c r="A858" i="2"/>
  <c r="F857" i="2"/>
  <c r="E857" i="2"/>
  <c r="D857" i="2"/>
  <c r="C857" i="2"/>
  <c r="B857" i="2"/>
  <c r="A857" i="2"/>
  <c r="F856" i="2"/>
  <c r="E856" i="2"/>
  <c r="D856" i="2"/>
  <c r="C856" i="2"/>
  <c r="B856" i="2"/>
  <c r="A856" i="2"/>
  <c r="F855" i="2"/>
  <c r="E855" i="2"/>
  <c r="D855" i="2"/>
  <c r="C855" i="2"/>
  <c r="B855" i="2"/>
  <c r="A855" i="2"/>
  <c r="F854" i="2"/>
  <c r="E854" i="2"/>
  <c r="D854" i="2"/>
  <c r="C854" i="2"/>
  <c r="B854" i="2"/>
  <c r="A854" i="2"/>
  <c r="F853" i="2"/>
  <c r="E853" i="2"/>
  <c r="D853" i="2"/>
  <c r="C853" i="2"/>
  <c r="B853" i="2"/>
  <c r="A853" i="2"/>
  <c r="F852" i="2"/>
  <c r="E852" i="2"/>
  <c r="D852" i="2"/>
  <c r="C852" i="2"/>
  <c r="B852" i="2"/>
  <c r="A852" i="2"/>
  <c r="F851" i="2"/>
  <c r="E851" i="2"/>
  <c r="D851" i="2"/>
  <c r="C851" i="2"/>
  <c r="B851" i="2"/>
  <c r="A851" i="2"/>
  <c r="F850" i="2"/>
  <c r="E850" i="2"/>
  <c r="D850" i="2"/>
  <c r="C850" i="2"/>
  <c r="B850" i="2"/>
  <c r="A850" i="2"/>
  <c r="F849" i="2"/>
  <c r="E849" i="2"/>
  <c r="D849" i="2"/>
  <c r="C849" i="2"/>
  <c r="B849" i="2"/>
  <c r="A849" i="2"/>
  <c r="F848" i="2"/>
  <c r="E848" i="2"/>
  <c r="D848" i="2"/>
  <c r="C848" i="2"/>
  <c r="B848" i="2"/>
  <c r="A848" i="2"/>
  <c r="F847" i="2"/>
  <c r="E847" i="2"/>
  <c r="D847" i="2"/>
  <c r="C847" i="2"/>
  <c r="B847" i="2"/>
  <c r="A847" i="2"/>
  <c r="F846" i="2"/>
  <c r="E846" i="2"/>
  <c r="D846" i="2"/>
  <c r="C846" i="2"/>
  <c r="B846" i="2"/>
  <c r="A846" i="2"/>
  <c r="F845" i="2"/>
  <c r="E845" i="2"/>
  <c r="D845" i="2"/>
  <c r="C845" i="2"/>
  <c r="B845" i="2"/>
  <c r="A845" i="2"/>
  <c r="F844" i="2"/>
  <c r="E844" i="2"/>
  <c r="D844" i="2"/>
  <c r="C844" i="2"/>
  <c r="B844" i="2"/>
  <c r="A844" i="2"/>
  <c r="F843" i="2"/>
  <c r="E843" i="2"/>
  <c r="D843" i="2"/>
  <c r="C843" i="2"/>
  <c r="B843" i="2"/>
  <c r="A843" i="2"/>
  <c r="F842" i="2"/>
  <c r="E842" i="2"/>
  <c r="D842" i="2"/>
  <c r="C842" i="2"/>
  <c r="B842" i="2"/>
  <c r="A842" i="2"/>
  <c r="F841" i="2"/>
  <c r="E841" i="2"/>
  <c r="D841" i="2"/>
  <c r="C841" i="2"/>
  <c r="B841" i="2"/>
  <c r="A841" i="2"/>
  <c r="F840" i="2"/>
  <c r="E840" i="2"/>
  <c r="D840" i="2"/>
  <c r="C840" i="2"/>
  <c r="B840" i="2"/>
  <c r="A840" i="2"/>
  <c r="F839" i="2"/>
  <c r="E839" i="2"/>
  <c r="D839" i="2"/>
  <c r="C839" i="2"/>
  <c r="B839" i="2"/>
  <c r="A839" i="2"/>
  <c r="F838" i="2"/>
  <c r="E838" i="2"/>
  <c r="D838" i="2"/>
  <c r="C838" i="2"/>
  <c r="B838" i="2"/>
  <c r="A838" i="2"/>
  <c r="F837" i="2"/>
  <c r="E837" i="2"/>
  <c r="D837" i="2"/>
  <c r="C837" i="2"/>
  <c r="B837" i="2"/>
  <c r="A837" i="2"/>
  <c r="F836" i="2"/>
  <c r="E836" i="2"/>
  <c r="D836" i="2"/>
  <c r="C836" i="2"/>
  <c r="B836" i="2"/>
  <c r="A836" i="2"/>
  <c r="F835" i="2"/>
  <c r="E835" i="2"/>
  <c r="D835" i="2"/>
  <c r="C835" i="2"/>
  <c r="B835" i="2"/>
  <c r="A835" i="2"/>
  <c r="F834" i="2"/>
  <c r="E834" i="2"/>
  <c r="D834" i="2"/>
  <c r="C834" i="2"/>
  <c r="B834" i="2"/>
  <c r="A834" i="2"/>
  <c r="F833" i="2"/>
  <c r="E833" i="2"/>
  <c r="D833" i="2"/>
  <c r="C833" i="2"/>
  <c r="B833" i="2"/>
  <c r="A833" i="2"/>
  <c r="F832" i="2"/>
  <c r="E832" i="2"/>
  <c r="D832" i="2"/>
  <c r="C832" i="2"/>
  <c r="B832" i="2"/>
  <c r="A832" i="2"/>
  <c r="F831" i="2"/>
  <c r="E831" i="2"/>
  <c r="D831" i="2"/>
  <c r="C831" i="2"/>
  <c r="B831" i="2"/>
  <c r="A831" i="2"/>
  <c r="F830" i="2"/>
  <c r="E830" i="2"/>
  <c r="D830" i="2"/>
  <c r="C830" i="2"/>
  <c r="B830" i="2"/>
  <c r="A830" i="2"/>
  <c r="F829" i="2"/>
  <c r="E829" i="2"/>
  <c r="D829" i="2"/>
  <c r="C829" i="2"/>
  <c r="B829" i="2"/>
  <c r="A829" i="2"/>
  <c r="F828" i="2"/>
  <c r="E828" i="2"/>
  <c r="D828" i="2"/>
  <c r="C828" i="2"/>
  <c r="B828" i="2"/>
  <c r="A828" i="2"/>
  <c r="F827" i="2"/>
  <c r="E827" i="2"/>
  <c r="D827" i="2"/>
  <c r="C827" i="2"/>
  <c r="B827" i="2"/>
  <c r="A827" i="2"/>
  <c r="F826" i="2"/>
  <c r="E826" i="2"/>
  <c r="D826" i="2"/>
  <c r="C826" i="2"/>
  <c r="B826" i="2"/>
  <c r="A826" i="2"/>
  <c r="F825" i="2"/>
  <c r="E825" i="2"/>
  <c r="D825" i="2"/>
  <c r="C825" i="2"/>
  <c r="B825" i="2"/>
  <c r="A825" i="2"/>
  <c r="F824" i="2"/>
  <c r="E824" i="2"/>
  <c r="D824" i="2"/>
  <c r="C824" i="2"/>
  <c r="B824" i="2"/>
  <c r="A824" i="2"/>
  <c r="F823" i="2"/>
  <c r="E823" i="2"/>
  <c r="D823" i="2"/>
  <c r="C823" i="2"/>
  <c r="B823" i="2"/>
  <c r="A823" i="2"/>
  <c r="F822" i="2"/>
  <c r="E822" i="2"/>
  <c r="D822" i="2"/>
  <c r="C822" i="2"/>
  <c r="B822" i="2"/>
  <c r="A822" i="2"/>
  <c r="F821" i="2"/>
  <c r="E821" i="2"/>
  <c r="D821" i="2"/>
  <c r="C821" i="2"/>
  <c r="B821" i="2"/>
  <c r="A821" i="2"/>
  <c r="F820" i="2"/>
  <c r="E820" i="2"/>
  <c r="D820" i="2"/>
  <c r="C820" i="2"/>
  <c r="B820" i="2"/>
  <c r="A820" i="2"/>
  <c r="F819" i="2"/>
  <c r="E819" i="2"/>
  <c r="D819" i="2"/>
  <c r="C819" i="2"/>
  <c r="B819" i="2"/>
  <c r="A819" i="2"/>
  <c r="F818" i="2"/>
  <c r="E818" i="2"/>
  <c r="D818" i="2"/>
  <c r="C818" i="2"/>
  <c r="B818" i="2"/>
  <c r="A818" i="2"/>
  <c r="F817" i="2"/>
  <c r="E817" i="2"/>
  <c r="D817" i="2"/>
  <c r="C817" i="2"/>
  <c r="B817" i="2"/>
  <c r="A817" i="2"/>
  <c r="F816" i="2"/>
  <c r="E816" i="2"/>
  <c r="D816" i="2"/>
  <c r="C816" i="2"/>
  <c r="B816" i="2"/>
  <c r="A816" i="2"/>
  <c r="F815" i="2"/>
  <c r="E815" i="2"/>
  <c r="D815" i="2"/>
  <c r="C815" i="2"/>
  <c r="B815" i="2"/>
  <c r="A815" i="2"/>
  <c r="F814" i="2"/>
  <c r="E814" i="2"/>
  <c r="D814" i="2"/>
  <c r="C814" i="2"/>
  <c r="B814" i="2"/>
  <c r="A814" i="2"/>
  <c r="F813" i="2"/>
  <c r="E813" i="2"/>
  <c r="D813" i="2"/>
  <c r="C813" i="2"/>
  <c r="B813" i="2"/>
  <c r="A813" i="2"/>
  <c r="F812" i="2"/>
  <c r="E812" i="2"/>
  <c r="D812" i="2"/>
  <c r="C812" i="2"/>
  <c r="B812" i="2"/>
  <c r="A812" i="2"/>
  <c r="F811" i="2"/>
  <c r="E811" i="2"/>
  <c r="D811" i="2"/>
  <c r="C811" i="2"/>
  <c r="B811" i="2"/>
  <c r="A811" i="2"/>
  <c r="F810" i="2"/>
  <c r="E810" i="2"/>
  <c r="D810" i="2"/>
  <c r="C810" i="2"/>
  <c r="B810" i="2"/>
  <c r="A810" i="2"/>
  <c r="F809" i="2"/>
  <c r="E809" i="2"/>
  <c r="D809" i="2"/>
  <c r="C809" i="2"/>
  <c r="B809" i="2"/>
  <c r="A809" i="2"/>
  <c r="F808" i="2"/>
  <c r="E808" i="2"/>
  <c r="D808" i="2"/>
  <c r="C808" i="2"/>
  <c r="B808" i="2"/>
  <c r="A808" i="2"/>
  <c r="F807" i="2"/>
  <c r="E807" i="2"/>
  <c r="D807" i="2"/>
  <c r="C807" i="2"/>
  <c r="B807" i="2"/>
  <c r="A807" i="2"/>
  <c r="F806" i="2"/>
  <c r="E806" i="2"/>
  <c r="D806" i="2"/>
  <c r="C806" i="2"/>
  <c r="B806" i="2"/>
  <c r="A806" i="2"/>
  <c r="F805" i="2"/>
  <c r="E805" i="2"/>
  <c r="D805" i="2"/>
  <c r="C805" i="2"/>
  <c r="B805" i="2"/>
  <c r="A805" i="2"/>
  <c r="F804" i="2"/>
  <c r="E804" i="2"/>
  <c r="D804" i="2"/>
  <c r="C804" i="2"/>
  <c r="B804" i="2"/>
  <c r="A804" i="2"/>
  <c r="F803" i="2"/>
  <c r="E803" i="2"/>
  <c r="D803" i="2"/>
  <c r="C803" i="2"/>
  <c r="B803" i="2"/>
  <c r="A803" i="2"/>
  <c r="F802" i="2"/>
  <c r="E802" i="2"/>
  <c r="D802" i="2"/>
  <c r="C802" i="2"/>
  <c r="B802" i="2"/>
  <c r="A802" i="2"/>
  <c r="F801" i="2"/>
  <c r="E801" i="2"/>
  <c r="D801" i="2"/>
  <c r="C801" i="2"/>
  <c r="B801" i="2"/>
  <c r="A801" i="2"/>
  <c r="F800" i="2"/>
  <c r="E800" i="2"/>
  <c r="D800" i="2"/>
  <c r="C800" i="2"/>
  <c r="B800" i="2"/>
  <c r="A800" i="2"/>
  <c r="F799" i="2"/>
  <c r="E799" i="2"/>
  <c r="D799" i="2"/>
  <c r="C799" i="2"/>
  <c r="B799" i="2"/>
  <c r="A799" i="2"/>
  <c r="F798" i="2"/>
  <c r="E798" i="2"/>
  <c r="D798" i="2"/>
  <c r="C798" i="2"/>
  <c r="B798" i="2"/>
  <c r="A798" i="2"/>
  <c r="F797" i="2"/>
  <c r="E797" i="2"/>
  <c r="D797" i="2"/>
  <c r="C797" i="2"/>
  <c r="B797" i="2"/>
  <c r="A797" i="2"/>
  <c r="F796" i="2"/>
  <c r="E796" i="2"/>
  <c r="D796" i="2"/>
  <c r="C796" i="2"/>
  <c r="B796" i="2"/>
  <c r="A796" i="2"/>
  <c r="F795" i="2"/>
  <c r="E795" i="2"/>
  <c r="D795" i="2"/>
  <c r="C795" i="2"/>
  <c r="B795" i="2"/>
  <c r="A795" i="2"/>
  <c r="F794" i="2"/>
  <c r="E794" i="2"/>
  <c r="D794" i="2"/>
  <c r="C794" i="2"/>
  <c r="B794" i="2"/>
  <c r="A794" i="2"/>
  <c r="F793" i="2"/>
  <c r="E793" i="2"/>
  <c r="D793" i="2"/>
  <c r="C793" i="2"/>
  <c r="B793" i="2"/>
  <c r="A793" i="2"/>
  <c r="F792" i="2"/>
  <c r="E792" i="2"/>
  <c r="D792" i="2"/>
  <c r="C792" i="2"/>
  <c r="B792" i="2"/>
  <c r="A792" i="2"/>
  <c r="F791" i="2"/>
  <c r="E791" i="2"/>
  <c r="D791" i="2"/>
  <c r="C791" i="2"/>
  <c r="B791" i="2"/>
  <c r="A791" i="2"/>
  <c r="F790" i="2"/>
  <c r="E790" i="2"/>
  <c r="D790" i="2"/>
  <c r="C790" i="2"/>
  <c r="B790" i="2"/>
  <c r="A790" i="2"/>
  <c r="F789" i="2"/>
  <c r="E789" i="2"/>
  <c r="D789" i="2"/>
  <c r="C789" i="2"/>
  <c r="B789" i="2"/>
  <c r="A789" i="2"/>
  <c r="F788" i="2"/>
  <c r="E788" i="2"/>
  <c r="D788" i="2"/>
  <c r="C788" i="2"/>
  <c r="B788" i="2"/>
  <c r="A788" i="2"/>
  <c r="F787" i="2"/>
  <c r="E787" i="2"/>
  <c r="D787" i="2"/>
  <c r="C787" i="2"/>
  <c r="B787" i="2"/>
  <c r="A787" i="2"/>
  <c r="F786" i="2"/>
  <c r="E786" i="2"/>
  <c r="D786" i="2"/>
  <c r="C786" i="2"/>
  <c r="B786" i="2"/>
  <c r="A786" i="2"/>
  <c r="F785" i="2"/>
  <c r="E785" i="2"/>
  <c r="D785" i="2"/>
  <c r="C785" i="2"/>
  <c r="B785" i="2"/>
  <c r="A785" i="2"/>
  <c r="F784" i="2"/>
  <c r="E784" i="2"/>
  <c r="D784" i="2"/>
  <c r="C784" i="2"/>
  <c r="B784" i="2"/>
  <c r="A784" i="2"/>
  <c r="F783" i="2"/>
  <c r="E783" i="2"/>
  <c r="D783" i="2"/>
  <c r="C783" i="2"/>
  <c r="B783" i="2"/>
  <c r="A783" i="2"/>
  <c r="F782" i="2"/>
  <c r="E782" i="2"/>
  <c r="D782" i="2"/>
  <c r="C782" i="2"/>
  <c r="B782" i="2"/>
  <c r="A782" i="2"/>
  <c r="F781" i="2"/>
  <c r="E781" i="2"/>
  <c r="D781" i="2"/>
  <c r="C781" i="2"/>
  <c r="B781" i="2"/>
  <c r="A781" i="2"/>
  <c r="F780" i="2"/>
  <c r="E780" i="2"/>
  <c r="D780" i="2"/>
  <c r="C780" i="2"/>
  <c r="B780" i="2"/>
  <c r="A780" i="2"/>
  <c r="F779" i="2"/>
  <c r="E779" i="2"/>
  <c r="D779" i="2"/>
  <c r="C779" i="2"/>
  <c r="B779" i="2"/>
  <c r="A779" i="2"/>
  <c r="F778" i="2"/>
  <c r="E778" i="2"/>
  <c r="D778" i="2"/>
  <c r="C778" i="2"/>
  <c r="B778" i="2"/>
  <c r="A778" i="2"/>
  <c r="F777" i="2"/>
  <c r="E777" i="2"/>
  <c r="D777" i="2"/>
  <c r="C777" i="2"/>
  <c r="B777" i="2"/>
  <c r="A777" i="2"/>
  <c r="F776" i="2"/>
  <c r="E776" i="2"/>
  <c r="D776" i="2"/>
  <c r="C776" i="2"/>
  <c r="B776" i="2"/>
  <c r="A776" i="2"/>
  <c r="F775" i="2"/>
  <c r="E775" i="2"/>
  <c r="D775" i="2"/>
  <c r="C775" i="2"/>
  <c r="B775" i="2"/>
  <c r="A775" i="2"/>
  <c r="F774" i="2"/>
  <c r="E774" i="2"/>
  <c r="D774" i="2"/>
  <c r="C774" i="2"/>
  <c r="B774" i="2"/>
  <c r="A774" i="2"/>
  <c r="F773" i="2"/>
  <c r="E773" i="2"/>
  <c r="D773" i="2"/>
  <c r="C773" i="2"/>
  <c r="B773" i="2"/>
  <c r="A773" i="2"/>
  <c r="F772" i="2"/>
  <c r="E772" i="2"/>
  <c r="D772" i="2"/>
  <c r="C772" i="2"/>
  <c r="B772" i="2"/>
  <c r="A772" i="2"/>
  <c r="F771" i="2"/>
  <c r="E771" i="2"/>
  <c r="D771" i="2"/>
  <c r="C771" i="2"/>
  <c r="B771" i="2"/>
  <c r="A771" i="2"/>
  <c r="F770" i="2"/>
  <c r="E770" i="2"/>
  <c r="D770" i="2"/>
  <c r="C770" i="2"/>
  <c r="B770" i="2"/>
  <c r="A770" i="2"/>
  <c r="F769" i="2"/>
  <c r="E769" i="2"/>
  <c r="D769" i="2"/>
  <c r="C769" i="2"/>
  <c r="B769" i="2"/>
  <c r="A769" i="2"/>
  <c r="F768" i="2"/>
  <c r="E768" i="2"/>
  <c r="D768" i="2"/>
  <c r="C768" i="2"/>
  <c r="B768" i="2"/>
  <c r="A768" i="2"/>
  <c r="F767" i="2"/>
  <c r="E767" i="2"/>
  <c r="D767" i="2"/>
  <c r="C767" i="2"/>
  <c r="B767" i="2"/>
  <c r="A767" i="2"/>
  <c r="F766" i="2"/>
  <c r="E766" i="2"/>
  <c r="D766" i="2"/>
  <c r="C766" i="2"/>
  <c r="B766" i="2"/>
  <c r="A766" i="2"/>
  <c r="F765" i="2"/>
  <c r="E765" i="2"/>
  <c r="D765" i="2"/>
  <c r="C765" i="2"/>
  <c r="B765" i="2"/>
  <c r="A765" i="2"/>
  <c r="F764" i="2"/>
  <c r="E764" i="2"/>
  <c r="D764" i="2"/>
  <c r="C764" i="2"/>
  <c r="B764" i="2"/>
  <c r="A764" i="2"/>
  <c r="F763" i="2"/>
  <c r="E763" i="2"/>
  <c r="D763" i="2"/>
  <c r="C763" i="2"/>
  <c r="B763" i="2"/>
  <c r="A763" i="2"/>
  <c r="F762" i="2"/>
  <c r="E762" i="2"/>
  <c r="D762" i="2"/>
  <c r="C762" i="2"/>
  <c r="B762" i="2"/>
  <c r="A762" i="2"/>
  <c r="F761" i="2"/>
  <c r="E761" i="2"/>
  <c r="D761" i="2"/>
  <c r="C761" i="2"/>
  <c r="B761" i="2"/>
  <c r="A761" i="2"/>
  <c r="F760" i="2"/>
  <c r="E760" i="2"/>
  <c r="D760" i="2"/>
  <c r="C760" i="2"/>
  <c r="B760" i="2"/>
  <c r="A760" i="2"/>
  <c r="F759" i="2"/>
  <c r="E759" i="2"/>
  <c r="D759" i="2"/>
  <c r="C759" i="2"/>
  <c r="B759" i="2"/>
  <c r="A759" i="2"/>
  <c r="F758" i="2"/>
  <c r="E758" i="2"/>
  <c r="D758" i="2"/>
  <c r="C758" i="2"/>
  <c r="B758" i="2"/>
  <c r="A758" i="2"/>
  <c r="F757" i="2"/>
  <c r="E757" i="2"/>
  <c r="D757" i="2"/>
  <c r="C757" i="2"/>
  <c r="B757" i="2"/>
  <c r="A757" i="2"/>
  <c r="F756" i="2"/>
  <c r="E756" i="2"/>
  <c r="D756" i="2"/>
  <c r="C756" i="2"/>
  <c r="B756" i="2"/>
  <c r="A756" i="2"/>
  <c r="F755" i="2"/>
  <c r="E755" i="2"/>
  <c r="D755" i="2"/>
  <c r="C755" i="2"/>
  <c r="B755" i="2"/>
  <c r="A755" i="2"/>
  <c r="F754" i="2"/>
  <c r="E754" i="2"/>
  <c r="D754" i="2"/>
  <c r="C754" i="2"/>
  <c r="B754" i="2"/>
  <c r="A754" i="2"/>
  <c r="F753" i="2"/>
  <c r="E753" i="2"/>
  <c r="D753" i="2"/>
  <c r="C753" i="2"/>
  <c r="B753" i="2"/>
  <c r="A753" i="2"/>
  <c r="F752" i="2"/>
  <c r="E752" i="2"/>
  <c r="D752" i="2"/>
  <c r="C752" i="2"/>
  <c r="B752" i="2"/>
  <c r="A752" i="2"/>
  <c r="F751" i="2"/>
  <c r="E751" i="2"/>
  <c r="D751" i="2"/>
  <c r="C751" i="2"/>
  <c r="B751" i="2"/>
  <c r="A751" i="2"/>
  <c r="F750" i="2"/>
  <c r="E750" i="2"/>
  <c r="D750" i="2"/>
  <c r="C750" i="2"/>
  <c r="B750" i="2"/>
  <c r="A750" i="2"/>
  <c r="F749" i="2"/>
  <c r="E749" i="2"/>
  <c r="D749" i="2"/>
  <c r="C749" i="2"/>
  <c r="B749" i="2"/>
  <c r="A749" i="2"/>
  <c r="F748" i="2"/>
  <c r="E748" i="2"/>
  <c r="D748" i="2"/>
  <c r="C748" i="2"/>
  <c r="B748" i="2"/>
  <c r="A748" i="2"/>
  <c r="F747" i="2"/>
  <c r="E747" i="2"/>
  <c r="D747" i="2"/>
  <c r="C747" i="2"/>
  <c r="B747" i="2"/>
  <c r="A747" i="2"/>
  <c r="F746" i="2"/>
  <c r="E746" i="2"/>
  <c r="D746" i="2"/>
  <c r="C746" i="2"/>
  <c r="B746" i="2"/>
  <c r="A746" i="2"/>
  <c r="F745" i="2"/>
  <c r="E745" i="2"/>
  <c r="D745" i="2"/>
  <c r="C745" i="2"/>
  <c r="B745" i="2"/>
  <c r="A745" i="2"/>
  <c r="F744" i="2"/>
  <c r="E744" i="2"/>
  <c r="D744" i="2"/>
  <c r="C744" i="2"/>
  <c r="B744" i="2"/>
  <c r="A744" i="2"/>
  <c r="F743" i="2"/>
  <c r="E743" i="2"/>
  <c r="D743" i="2"/>
  <c r="C743" i="2"/>
  <c r="B743" i="2"/>
  <c r="A743" i="2"/>
  <c r="F742" i="2"/>
  <c r="E742" i="2"/>
  <c r="D742" i="2"/>
  <c r="C742" i="2"/>
  <c r="B742" i="2"/>
  <c r="A742" i="2"/>
  <c r="F741" i="2"/>
  <c r="E741" i="2"/>
  <c r="D741" i="2"/>
  <c r="C741" i="2"/>
  <c r="B741" i="2"/>
  <c r="A741" i="2"/>
  <c r="F740" i="2"/>
  <c r="E740" i="2"/>
  <c r="D740" i="2"/>
  <c r="C740" i="2"/>
  <c r="B740" i="2"/>
  <c r="A740" i="2"/>
  <c r="F739" i="2"/>
  <c r="E739" i="2"/>
  <c r="D739" i="2"/>
  <c r="C739" i="2"/>
  <c r="B739" i="2"/>
  <c r="A739" i="2"/>
  <c r="F738" i="2"/>
  <c r="E738" i="2"/>
  <c r="D738" i="2"/>
  <c r="C738" i="2"/>
  <c r="B738" i="2"/>
  <c r="A738" i="2"/>
  <c r="F737" i="2"/>
  <c r="E737" i="2"/>
  <c r="D737" i="2"/>
  <c r="C737" i="2"/>
  <c r="B737" i="2"/>
  <c r="A737" i="2"/>
  <c r="F736" i="2"/>
  <c r="E736" i="2"/>
  <c r="D736" i="2"/>
  <c r="C736" i="2"/>
  <c r="B736" i="2"/>
  <c r="A736" i="2"/>
  <c r="F735" i="2"/>
  <c r="E735" i="2"/>
  <c r="D735" i="2"/>
  <c r="C735" i="2"/>
  <c r="B735" i="2"/>
  <c r="A735" i="2"/>
  <c r="F734" i="2"/>
  <c r="E734" i="2"/>
  <c r="D734" i="2"/>
  <c r="C734" i="2"/>
  <c r="B734" i="2"/>
  <c r="A734" i="2"/>
  <c r="F733" i="2"/>
  <c r="E733" i="2"/>
  <c r="D733" i="2"/>
  <c r="C733" i="2"/>
  <c r="B733" i="2"/>
  <c r="A733" i="2"/>
  <c r="F732" i="2"/>
  <c r="E732" i="2"/>
  <c r="D732" i="2"/>
  <c r="C732" i="2"/>
  <c r="B732" i="2"/>
  <c r="A732" i="2"/>
  <c r="F731" i="2"/>
  <c r="E731" i="2"/>
  <c r="D731" i="2"/>
  <c r="C731" i="2"/>
  <c r="B731" i="2"/>
  <c r="A731" i="2"/>
  <c r="F730" i="2"/>
  <c r="E730" i="2"/>
  <c r="D730" i="2"/>
  <c r="C730" i="2"/>
  <c r="B730" i="2"/>
  <c r="A730" i="2"/>
  <c r="F729" i="2"/>
  <c r="E729" i="2"/>
  <c r="D729" i="2"/>
  <c r="C729" i="2"/>
  <c r="B729" i="2"/>
  <c r="A729" i="2"/>
  <c r="F728" i="2"/>
  <c r="E728" i="2"/>
  <c r="D728" i="2"/>
  <c r="C728" i="2"/>
  <c r="B728" i="2"/>
  <c r="A728" i="2"/>
  <c r="F727" i="2"/>
  <c r="E727" i="2"/>
  <c r="D727" i="2"/>
  <c r="C727" i="2"/>
  <c r="B727" i="2"/>
  <c r="A727" i="2"/>
  <c r="F726" i="2"/>
  <c r="E726" i="2"/>
  <c r="D726" i="2"/>
  <c r="C726" i="2"/>
  <c r="B726" i="2"/>
  <c r="A726" i="2"/>
  <c r="F725" i="2"/>
  <c r="E725" i="2"/>
  <c r="D725" i="2"/>
  <c r="C725" i="2"/>
  <c r="B725" i="2"/>
  <c r="A725" i="2"/>
  <c r="F724" i="2"/>
  <c r="E724" i="2"/>
  <c r="D724" i="2"/>
  <c r="C724" i="2"/>
  <c r="B724" i="2"/>
  <c r="A724" i="2"/>
  <c r="F723" i="2"/>
  <c r="E723" i="2"/>
  <c r="D723" i="2"/>
  <c r="C723" i="2"/>
  <c r="B723" i="2"/>
  <c r="A723" i="2"/>
  <c r="F722" i="2"/>
  <c r="E722" i="2"/>
  <c r="D722" i="2"/>
  <c r="C722" i="2"/>
  <c r="B722" i="2"/>
  <c r="A722" i="2"/>
  <c r="F721" i="2"/>
  <c r="E721" i="2"/>
  <c r="D721" i="2"/>
  <c r="C721" i="2"/>
  <c r="B721" i="2"/>
  <c r="A721" i="2"/>
  <c r="F720" i="2"/>
  <c r="E720" i="2"/>
  <c r="D720" i="2"/>
  <c r="C720" i="2"/>
  <c r="B720" i="2"/>
  <c r="A720" i="2"/>
  <c r="F719" i="2"/>
  <c r="E719" i="2"/>
  <c r="D719" i="2"/>
  <c r="C719" i="2"/>
  <c r="B719" i="2"/>
  <c r="A719" i="2"/>
  <c r="F718" i="2"/>
  <c r="E718" i="2"/>
  <c r="D718" i="2"/>
  <c r="C718" i="2"/>
  <c r="B718" i="2"/>
  <c r="A718" i="2"/>
  <c r="F717" i="2"/>
  <c r="E717" i="2"/>
  <c r="D717" i="2"/>
  <c r="C717" i="2"/>
  <c r="B717" i="2"/>
  <c r="A717" i="2"/>
  <c r="F716" i="2"/>
  <c r="E716" i="2"/>
  <c r="D716" i="2"/>
  <c r="C716" i="2"/>
  <c r="B716" i="2"/>
  <c r="A716" i="2"/>
  <c r="F715" i="2"/>
  <c r="E715" i="2"/>
  <c r="D715" i="2"/>
  <c r="C715" i="2"/>
  <c r="B715" i="2"/>
  <c r="A715" i="2"/>
  <c r="F714" i="2"/>
  <c r="E714" i="2"/>
  <c r="D714" i="2"/>
  <c r="C714" i="2"/>
  <c r="B714" i="2"/>
  <c r="A714" i="2"/>
  <c r="F713" i="2"/>
  <c r="E713" i="2"/>
  <c r="D713" i="2"/>
  <c r="C713" i="2"/>
  <c r="B713" i="2"/>
  <c r="A713" i="2"/>
  <c r="F712" i="2"/>
  <c r="E712" i="2"/>
  <c r="D712" i="2"/>
  <c r="C712" i="2"/>
  <c r="B712" i="2"/>
  <c r="A712" i="2"/>
  <c r="F711" i="2"/>
  <c r="E711" i="2"/>
  <c r="D711" i="2"/>
  <c r="C711" i="2"/>
  <c r="B711" i="2"/>
  <c r="A711" i="2"/>
  <c r="F710" i="2"/>
  <c r="E710" i="2"/>
  <c r="D710" i="2"/>
  <c r="C710" i="2"/>
  <c r="B710" i="2"/>
  <c r="A710" i="2"/>
  <c r="F709" i="2"/>
  <c r="E709" i="2"/>
  <c r="D709" i="2"/>
  <c r="C709" i="2"/>
  <c r="B709" i="2"/>
  <c r="A709" i="2"/>
  <c r="F708" i="2"/>
  <c r="E708" i="2"/>
  <c r="D708" i="2"/>
  <c r="C708" i="2"/>
  <c r="B708" i="2"/>
  <c r="A708" i="2"/>
  <c r="F707" i="2"/>
  <c r="E707" i="2"/>
  <c r="D707" i="2"/>
  <c r="C707" i="2"/>
  <c r="B707" i="2"/>
  <c r="A707" i="2"/>
  <c r="F706" i="2"/>
  <c r="E706" i="2"/>
  <c r="D706" i="2"/>
  <c r="C706" i="2"/>
  <c r="B706" i="2"/>
  <c r="A706" i="2"/>
  <c r="F705" i="2"/>
  <c r="E705" i="2"/>
  <c r="D705" i="2"/>
  <c r="C705" i="2"/>
  <c r="B705" i="2"/>
  <c r="A705" i="2"/>
  <c r="F704" i="2"/>
  <c r="E704" i="2"/>
  <c r="D704" i="2"/>
  <c r="C704" i="2"/>
  <c r="B704" i="2"/>
  <c r="A704" i="2"/>
  <c r="F703" i="2"/>
  <c r="E703" i="2"/>
  <c r="D703" i="2"/>
  <c r="C703" i="2"/>
  <c r="B703" i="2"/>
  <c r="A703" i="2"/>
  <c r="F702" i="2"/>
  <c r="E702" i="2"/>
  <c r="D702" i="2"/>
  <c r="C702" i="2"/>
  <c r="B702" i="2"/>
  <c r="A702" i="2"/>
  <c r="F701" i="2"/>
  <c r="E701" i="2"/>
  <c r="D701" i="2"/>
  <c r="C701" i="2"/>
  <c r="B701" i="2"/>
  <c r="A701" i="2"/>
  <c r="F700" i="2"/>
  <c r="E700" i="2"/>
  <c r="D700" i="2"/>
  <c r="C700" i="2"/>
  <c r="B700" i="2"/>
  <c r="A700" i="2"/>
  <c r="F699" i="2"/>
  <c r="E699" i="2"/>
  <c r="D699" i="2"/>
  <c r="C699" i="2"/>
  <c r="B699" i="2"/>
  <c r="A699" i="2"/>
  <c r="F698" i="2"/>
  <c r="E698" i="2"/>
  <c r="D698" i="2"/>
  <c r="C698" i="2"/>
  <c r="B698" i="2"/>
  <c r="A698" i="2"/>
  <c r="F697" i="2"/>
  <c r="E697" i="2"/>
  <c r="D697" i="2"/>
  <c r="C697" i="2"/>
  <c r="B697" i="2"/>
  <c r="A697" i="2"/>
  <c r="F696" i="2"/>
  <c r="E696" i="2"/>
  <c r="D696" i="2"/>
  <c r="C696" i="2"/>
  <c r="B696" i="2"/>
  <c r="A696" i="2"/>
  <c r="F695" i="2"/>
  <c r="E695" i="2"/>
  <c r="D695" i="2"/>
  <c r="C695" i="2"/>
  <c r="B695" i="2"/>
  <c r="A695" i="2"/>
  <c r="F694" i="2"/>
  <c r="E694" i="2"/>
  <c r="D694" i="2"/>
  <c r="C694" i="2"/>
  <c r="B694" i="2"/>
  <c r="A694" i="2"/>
  <c r="F693" i="2"/>
  <c r="E693" i="2"/>
  <c r="D693" i="2"/>
  <c r="C693" i="2"/>
  <c r="B693" i="2"/>
  <c r="A693" i="2"/>
  <c r="F692" i="2"/>
  <c r="E692" i="2"/>
  <c r="D692" i="2"/>
  <c r="C692" i="2"/>
  <c r="B692" i="2"/>
  <c r="A692" i="2"/>
  <c r="F691" i="2"/>
  <c r="E691" i="2"/>
  <c r="D691" i="2"/>
  <c r="C691" i="2"/>
  <c r="B691" i="2"/>
  <c r="A691" i="2"/>
  <c r="F690" i="2"/>
  <c r="E690" i="2"/>
  <c r="D690" i="2"/>
  <c r="C690" i="2"/>
  <c r="B690" i="2"/>
  <c r="A690" i="2"/>
  <c r="F689" i="2"/>
  <c r="E689" i="2"/>
  <c r="D689" i="2"/>
  <c r="C689" i="2"/>
  <c r="B689" i="2"/>
  <c r="A689" i="2"/>
  <c r="F688" i="2"/>
  <c r="E688" i="2"/>
  <c r="D688" i="2"/>
  <c r="C688" i="2"/>
  <c r="B688" i="2"/>
  <c r="A688" i="2"/>
  <c r="F687" i="2"/>
  <c r="E687" i="2"/>
  <c r="D687" i="2"/>
  <c r="C687" i="2"/>
  <c r="B687" i="2"/>
  <c r="A687" i="2"/>
  <c r="F686" i="2"/>
  <c r="E686" i="2"/>
  <c r="D686" i="2"/>
  <c r="C686" i="2"/>
  <c r="B686" i="2"/>
  <c r="A686" i="2"/>
  <c r="F685" i="2"/>
  <c r="E685" i="2"/>
  <c r="D685" i="2"/>
  <c r="C685" i="2"/>
  <c r="B685" i="2"/>
  <c r="A685" i="2"/>
  <c r="F684" i="2"/>
  <c r="E684" i="2"/>
  <c r="D684" i="2"/>
  <c r="C684" i="2"/>
  <c r="B684" i="2"/>
  <c r="A684" i="2"/>
  <c r="F683" i="2"/>
  <c r="E683" i="2"/>
  <c r="D683" i="2"/>
  <c r="C683" i="2"/>
  <c r="B683" i="2"/>
  <c r="A683" i="2"/>
  <c r="F682" i="2"/>
  <c r="E682" i="2"/>
  <c r="D682" i="2"/>
  <c r="C682" i="2"/>
  <c r="B682" i="2"/>
  <c r="A682" i="2"/>
  <c r="F681" i="2"/>
  <c r="E681" i="2"/>
  <c r="D681" i="2"/>
  <c r="C681" i="2"/>
  <c r="B681" i="2"/>
  <c r="A681" i="2"/>
  <c r="F680" i="2"/>
  <c r="E680" i="2"/>
  <c r="D680" i="2"/>
  <c r="C680" i="2"/>
  <c r="B680" i="2"/>
  <c r="A680" i="2"/>
  <c r="F679" i="2"/>
  <c r="E679" i="2"/>
  <c r="D679" i="2"/>
  <c r="C679" i="2"/>
  <c r="B679" i="2"/>
  <c r="A679" i="2"/>
  <c r="F678" i="2"/>
  <c r="E678" i="2"/>
  <c r="D678" i="2"/>
  <c r="C678" i="2"/>
  <c r="B678" i="2"/>
  <c r="A678" i="2"/>
  <c r="F677" i="2"/>
  <c r="E677" i="2"/>
  <c r="D677" i="2"/>
  <c r="C677" i="2"/>
  <c r="B677" i="2"/>
  <c r="A677" i="2"/>
  <c r="F676" i="2"/>
  <c r="E676" i="2"/>
  <c r="D676" i="2"/>
  <c r="C676" i="2"/>
  <c r="B676" i="2"/>
  <c r="A676" i="2"/>
  <c r="F675" i="2"/>
  <c r="E675" i="2"/>
  <c r="D675" i="2"/>
  <c r="C675" i="2"/>
  <c r="B675" i="2"/>
  <c r="A675" i="2"/>
  <c r="F674" i="2"/>
  <c r="E674" i="2"/>
  <c r="D674" i="2"/>
  <c r="C674" i="2"/>
  <c r="B674" i="2"/>
  <c r="A674" i="2"/>
  <c r="F673" i="2"/>
  <c r="E673" i="2"/>
  <c r="D673" i="2"/>
  <c r="C673" i="2"/>
  <c r="B673" i="2"/>
  <c r="A673" i="2"/>
  <c r="F672" i="2"/>
  <c r="E672" i="2"/>
  <c r="D672" i="2"/>
  <c r="C672" i="2"/>
  <c r="B672" i="2"/>
  <c r="A672" i="2"/>
  <c r="F671" i="2"/>
  <c r="E671" i="2"/>
  <c r="D671" i="2"/>
  <c r="C671" i="2"/>
  <c r="B671" i="2"/>
  <c r="A671" i="2"/>
  <c r="F670" i="2"/>
  <c r="E670" i="2"/>
  <c r="D670" i="2"/>
  <c r="C670" i="2"/>
  <c r="B670" i="2"/>
  <c r="A670" i="2"/>
  <c r="F669" i="2"/>
  <c r="E669" i="2"/>
  <c r="D669" i="2"/>
  <c r="C669" i="2"/>
  <c r="B669" i="2"/>
  <c r="A669" i="2"/>
  <c r="F668" i="2"/>
  <c r="E668" i="2"/>
  <c r="D668" i="2"/>
  <c r="C668" i="2"/>
  <c r="B668" i="2"/>
  <c r="A668" i="2"/>
  <c r="F667" i="2"/>
  <c r="E667" i="2"/>
  <c r="D667" i="2"/>
  <c r="C667" i="2"/>
  <c r="B667" i="2"/>
  <c r="A667" i="2"/>
  <c r="F666" i="2"/>
  <c r="E666" i="2"/>
  <c r="D666" i="2"/>
  <c r="C666" i="2"/>
  <c r="B666" i="2"/>
  <c r="A666" i="2"/>
  <c r="F665" i="2"/>
  <c r="E665" i="2"/>
  <c r="D665" i="2"/>
  <c r="C665" i="2"/>
  <c r="B665" i="2"/>
  <c r="A665" i="2"/>
  <c r="F664" i="2"/>
  <c r="E664" i="2"/>
  <c r="D664" i="2"/>
  <c r="C664" i="2"/>
  <c r="B664" i="2"/>
  <c r="A664" i="2"/>
  <c r="F663" i="2"/>
  <c r="E663" i="2"/>
  <c r="D663" i="2"/>
  <c r="C663" i="2"/>
  <c r="B663" i="2"/>
  <c r="A663" i="2"/>
  <c r="F662" i="2"/>
  <c r="E662" i="2"/>
  <c r="D662" i="2"/>
  <c r="C662" i="2"/>
  <c r="B662" i="2"/>
  <c r="A662" i="2"/>
  <c r="F661" i="2"/>
  <c r="E661" i="2"/>
  <c r="D661" i="2"/>
  <c r="C661" i="2"/>
  <c r="B661" i="2"/>
  <c r="A661" i="2"/>
  <c r="F660" i="2"/>
  <c r="E660" i="2"/>
  <c r="D660" i="2"/>
  <c r="C660" i="2"/>
  <c r="B660" i="2"/>
  <c r="A660" i="2"/>
  <c r="F659" i="2"/>
  <c r="E659" i="2"/>
  <c r="D659" i="2"/>
  <c r="C659" i="2"/>
  <c r="B659" i="2"/>
  <c r="A659" i="2"/>
  <c r="F658" i="2"/>
  <c r="E658" i="2"/>
  <c r="D658" i="2"/>
  <c r="C658" i="2"/>
  <c r="B658" i="2"/>
  <c r="A658" i="2"/>
  <c r="F657" i="2"/>
  <c r="E657" i="2"/>
  <c r="D657" i="2"/>
  <c r="C657" i="2"/>
  <c r="B657" i="2"/>
  <c r="A657" i="2"/>
  <c r="F656" i="2"/>
  <c r="E656" i="2"/>
  <c r="D656" i="2"/>
  <c r="C656" i="2"/>
  <c r="B656" i="2"/>
  <c r="A656" i="2"/>
  <c r="F655" i="2"/>
  <c r="E655" i="2"/>
  <c r="D655" i="2"/>
  <c r="C655" i="2"/>
  <c r="B655" i="2"/>
  <c r="A655" i="2"/>
  <c r="F654" i="2"/>
  <c r="E654" i="2"/>
  <c r="D654" i="2"/>
  <c r="C654" i="2"/>
  <c r="B654" i="2"/>
  <c r="A654" i="2"/>
  <c r="F653" i="2"/>
  <c r="E653" i="2"/>
  <c r="D653" i="2"/>
  <c r="C653" i="2"/>
  <c r="B653" i="2"/>
  <c r="A653" i="2"/>
  <c r="F652" i="2"/>
  <c r="E652" i="2"/>
  <c r="D652" i="2"/>
  <c r="C652" i="2"/>
  <c r="B652" i="2"/>
  <c r="A652" i="2"/>
  <c r="F651" i="2"/>
  <c r="E651" i="2"/>
  <c r="D651" i="2"/>
  <c r="C651" i="2"/>
  <c r="B651" i="2"/>
  <c r="A651" i="2"/>
  <c r="F650" i="2"/>
  <c r="E650" i="2"/>
  <c r="D650" i="2"/>
  <c r="C650" i="2"/>
  <c r="B650" i="2"/>
  <c r="A650" i="2"/>
  <c r="F649" i="2"/>
  <c r="E649" i="2"/>
  <c r="D649" i="2"/>
  <c r="C649" i="2"/>
  <c r="B649" i="2"/>
  <c r="A649" i="2"/>
  <c r="F648" i="2"/>
  <c r="E648" i="2"/>
  <c r="D648" i="2"/>
  <c r="C648" i="2"/>
  <c r="B648" i="2"/>
  <c r="A648" i="2"/>
  <c r="F647" i="2"/>
  <c r="E647" i="2"/>
  <c r="D647" i="2"/>
  <c r="C647" i="2"/>
  <c r="B647" i="2"/>
  <c r="A647" i="2"/>
  <c r="F646" i="2"/>
  <c r="E646" i="2"/>
  <c r="D646" i="2"/>
  <c r="C646" i="2"/>
  <c r="B646" i="2"/>
  <c r="A646" i="2"/>
  <c r="F645" i="2"/>
  <c r="E645" i="2"/>
  <c r="D645" i="2"/>
  <c r="C645" i="2"/>
  <c r="B645" i="2"/>
  <c r="A645" i="2"/>
  <c r="F644" i="2"/>
  <c r="E644" i="2"/>
  <c r="D644" i="2"/>
  <c r="C644" i="2"/>
  <c r="B644" i="2"/>
  <c r="A644" i="2"/>
  <c r="F643" i="2"/>
  <c r="E643" i="2"/>
  <c r="D643" i="2"/>
  <c r="C643" i="2"/>
  <c r="B643" i="2"/>
  <c r="A643" i="2"/>
  <c r="F642" i="2"/>
  <c r="E642" i="2"/>
  <c r="D642" i="2"/>
  <c r="C642" i="2"/>
  <c r="B642" i="2"/>
  <c r="A642" i="2"/>
  <c r="F641" i="2"/>
  <c r="E641" i="2"/>
  <c r="D641" i="2"/>
  <c r="C641" i="2"/>
  <c r="B641" i="2"/>
  <c r="A641" i="2"/>
  <c r="F640" i="2"/>
  <c r="E640" i="2"/>
  <c r="D640" i="2"/>
  <c r="C640" i="2"/>
  <c r="B640" i="2"/>
  <c r="A640" i="2"/>
  <c r="F639" i="2"/>
  <c r="E639" i="2"/>
  <c r="D639" i="2"/>
  <c r="C639" i="2"/>
  <c r="B639" i="2"/>
  <c r="A639" i="2"/>
  <c r="F638" i="2"/>
  <c r="E638" i="2"/>
  <c r="D638" i="2"/>
  <c r="C638" i="2"/>
  <c r="B638" i="2"/>
  <c r="A638" i="2"/>
  <c r="F637" i="2"/>
  <c r="E637" i="2"/>
  <c r="D637" i="2"/>
  <c r="C637" i="2"/>
  <c r="B637" i="2"/>
  <c r="A637" i="2"/>
  <c r="F636" i="2"/>
  <c r="E636" i="2"/>
  <c r="D636" i="2"/>
  <c r="C636" i="2"/>
  <c r="B636" i="2"/>
  <c r="A636" i="2"/>
  <c r="F635" i="2"/>
  <c r="E635" i="2"/>
  <c r="D635" i="2"/>
  <c r="C635" i="2"/>
  <c r="B635" i="2"/>
  <c r="A635" i="2"/>
  <c r="F634" i="2"/>
  <c r="E634" i="2"/>
  <c r="D634" i="2"/>
  <c r="C634" i="2"/>
  <c r="B634" i="2"/>
  <c r="A634" i="2"/>
  <c r="F633" i="2"/>
  <c r="E633" i="2"/>
  <c r="D633" i="2"/>
  <c r="C633" i="2"/>
  <c r="B633" i="2"/>
  <c r="A633" i="2"/>
  <c r="F632" i="2"/>
  <c r="E632" i="2"/>
  <c r="D632" i="2"/>
  <c r="C632" i="2"/>
  <c r="B632" i="2"/>
  <c r="A632" i="2"/>
  <c r="F631" i="2"/>
  <c r="E631" i="2"/>
  <c r="D631" i="2"/>
  <c r="C631" i="2"/>
  <c r="B631" i="2"/>
  <c r="A631" i="2"/>
  <c r="F630" i="2"/>
  <c r="E630" i="2"/>
  <c r="D630" i="2"/>
  <c r="C630" i="2"/>
  <c r="B630" i="2"/>
  <c r="A630" i="2"/>
  <c r="F629" i="2"/>
  <c r="E629" i="2"/>
  <c r="D629" i="2"/>
  <c r="C629" i="2"/>
  <c r="B629" i="2"/>
  <c r="A629" i="2"/>
  <c r="F628" i="2"/>
  <c r="E628" i="2"/>
  <c r="D628" i="2"/>
  <c r="C628" i="2"/>
  <c r="B628" i="2"/>
  <c r="A628" i="2"/>
  <c r="F627" i="2"/>
  <c r="E627" i="2"/>
  <c r="D627" i="2"/>
  <c r="C627" i="2"/>
  <c r="B627" i="2"/>
  <c r="A627" i="2"/>
  <c r="F626" i="2"/>
  <c r="E626" i="2"/>
  <c r="D626" i="2"/>
  <c r="C626" i="2"/>
  <c r="B626" i="2"/>
  <c r="A626" i="2"/>
  <c r="F625" i="2"/>
  <c r="E625" i="2"/>
  <c r="D625" i="2"/>
  <c r="C625" i="2"/>
  <c r="B625" i="2"/>
  <c r="A625" i="2"/>
  <c r="F624" i="2"/>
  <c r="E624" i="2"/>
  <c r="D624" i="2"/>
  <c r="C624" i="2"/>
  <c r="B624" i="2"/>
  <c r="A624" i="2"/>
  <c r="F623" i="2"/>
  <c r="E623" i="2"/>
  <c r="D623" i="2"/>
  <c r="C623" i="2"/>
  <c r="B623" i="2"/>
  <c r="A623" i="2"/>
  <c r="F622" i="2"/>
  <c r="E622" i="2"/>
  <c r="D622" i="2"/>
  <c r="C622" i="2"/>
  <c r="B622" i="2"/>
  <c r="A622" i="2"/>
  <c r="F621" i="2"/>
  <c r="E621" i="2"/>
  <c r="D621" i="2"/>
  <c r="C621" i="2"/>
  <c r="B621" i="2"/>
  <c r="A621" i="2"/>
  <c r="F620" i="2"/>
  <c r="E620" i="2"/>
  <c r="D620" i="2"/>
  <c r="C620" i="2"/>
  <c r="B620" i="2"/>
  <c r="A620" i="2"/>
  <c r="F619" i="2"/>
  <c r="E619" i="2"/>
  <c r="D619" i="2"/>
  <c r="C619" i="2"/>
  <c r="B619" i="2"/>
  <c r="A619" i="2"/>
  <c r="F618" i="2"/>
  <c r="E618" i="2"/>
  <c r="D618" i="2"/>
  <c r="C618" i="2"/>
  <c r="B618" i="2"/>
  <c r="A618" i="2"/>
  <c r="F617" i="2"/>
  <c r="E617" i="2"/>
  <c r="D617" i="2"/>
  <c r="C617" i="2"/>
  <c r="B617" i="2"/>
  <c r="A617" i="2"/>
  <c r="F616" i="2"/>
  <c r="E616" i="2"/>
  <c r="D616" i="2"/>
  <c r="C616" i="2"/>
  <c r="B616" i="2"/>
  <c r="A616" i="2"/>
  <c r="F615" i="2"/>
  <c r="E615" i="2"/>
  <c r="D615" i="2"/>
  <c r="C615" i="2"/>
  <c r="B615" i="2"/>
  <c r="A615" i="2"/>
  <c r="F614" i="2"/>
  <c r="E614" i="2"/>
  <c r="D614" i="2"/>
  <c r="C614" i="2"/>
  <c r="B614" i="2"/>
  <c r="A614" i="2"/>
  <c r="F613" i="2"/>
  <c r="E613" i="2"/>
  <c r="D613" i="2"/>
  <c r="C613" i="2"/>
  <c r="B613" i="2"/>
  <c r="A613" i="2"/>
  <c r="F612" i="2"/>
  <c r="E612" i="2"/>
  <c r="D612" i="2"/>
  <c r="C612" i="2"/>
  <c r="B612" i="2"/>
  <c r="A612" i="2"/>
  <c r="F611" i="2"/>
  <c r="E611" i="2"/>
  <c r="D611" i="2"/>
  <c r="C611" i="2"/>
  <c r="B611" i="2"/>
  <c r="A611" i="2"/>
  <c r="F610" i="2"/>
  <c r="E610" i="2"/>
  <c r="D610" i="2"/>
  <c r="C610" i="2"/>
  <c r="B610" i="2"/>
  <c r="A610" i="2"/>
  <c r="F609" i="2"/>
  <c r="E609" i="2"/>
  <c r="D609" i="2"/>
  <c r="C609" i="2"/>
  <c r="B609" i="2"/>
  <c r="A609" i="2"/>
  <c r="F608" i="2"/>
  <c r="E608" i="2"/>
  <c r="D608" i="2"/>
  <c r="C608" i="2"/>
  <c r="B608" i="2"/>
  <c r="A608" i="2"/>
  <c r="F607" i="2"/>
  <c r="E607" i="2"/>
  <c r="D607" i="2"/>
  <c r="C607" i="2"/>
  <c r="B607" i="2"/>
  <c r="A607" i="2"/>
  <c r="F606" i="2"/>
  <c r="E606" i="2"/>
  <c r="D606" i="2"/>
  <c r="C606" i="2"/>
  <c r="B606" i="2"/>
  <c r="A606" i="2"/>
  <c r="F605" i="2"/>
  <c r="E605" i="2"/>
  <c r="D605" i="2"/>
  <c r="C605" i="2"/>
  <c r="B605" i="2"/>
  <c r="A605" i="2"/>
  <c r="F604" i="2"/>
  <c r="E604" i="2"/>
  <c r="D604" i="2"/>
  <c r="C604" i="2"/>
  <c r="B604" i="2"/>
  <c r="A604" i="2"/>
  <c r="F603" i="2"/>
  <c r="E603" i="2"/>
  <c r="D603" i="2"/>
  <c r="C603" i="2"/>
  <c r="B603" i="2"/>
  <c r="A603" i="2"/>
  <c r="F602" i="2"/>
  <c r="E602" i="2"/>
  <c r="D602" i="2"/>
  <c r="C602" i="2"/>
  <c r="B602" i="2"/>
  <c r="A602" i="2"/>
  <c r="F601" i="2"/>
  <c r="E601" i="2"/>
  <c r="D601" i="2"/>
  <c r="C601" i="2"/>
  <c r="B601" i="2"/>
  <c r="A601" i="2"/>
  <c r="F600" i="2"/>
  <c r="E600" i="2"/>
  <c r="D600" i="2"/>
  <c r="C600" i="2"/>
  <c r="B600" i="2"/>
  <c r="A600" i="2"/>
  <c r="F599" i="2"/>
  <c r="E599" i="2"/>
  <c r="D599" i="2"/>
  <c r="C599" i="2"/>
  <c r="B599" i="2"/>
  <c r="A599" i="2"/>
  <c r="F598" i="2"/>
  <c r="E598" i="2"/>
  <c r="D598" i="2"/>
  <c r="C598" i="2"/>
  <c r="B598" i="2"/>
  <c r="A598" i="2"/>
  <c r="F597" i="2"/>
  <c r="E597" i="2"/>
  <c r="D597" i="2"/>
  <c r="C597" i="2"/>
  <c r="B597" i="2"/>
  <c r="A597" i="2"/>
  <c r="F596" i="2"/>
  <c r="E596" i="2"/>
  <c r="D596" i="2"/>
  <c r="C596" i="2"/>
  <c r="B596" i="2"/>
  <c r="A596" i="2"/>
  <c r="F595" i="2"/>
  <c r="E595" i="2"/>
  <c r="D595" i="2"/>
  <c r="C595" i="2"/>
  <c r="B595" i="2"/>
  <c r="A595" i="2"/>
  <c r="F594" i="2"/>
  <c r="E594" i="2"/>
  <c r="D594" i="2"/>
  <c r="C594" i="2"/>
  <c r="B594" i="2"/>
  <c r="A594" i="2"/>
  <c r="F593" i="2"/>
  <c r="E593" i="2"/>
  <c r="D593" i="2"/>
  <c r="C593" i="2"/>
  <c r="B593" i="2"/>
  <c r="A593" i="2"/>
  <c r="F592" i="2"/>
  <c r="E592" i="2"/>
  <c r="D592" i="2"/>
  <c r="C592" i="2"/>
  <c r="B592" i="2"/>
  <c r="A592" i="2"/>
  <c r="F591" i="2"/>
  <c r="E591" i="2"/>
  <c r="D591" i="2"/>
  <c r="C591" i="2"/>
  <c r="B591" i="2"/>
  <c r="A591" i="2"/>
  <c r="F590" i="2"/>
  <c r="E590" i="2"/>
  <c r="D590" i="2"/>
  <c r="C590" i="2"/>
  <c r="B590" i="2"/>
  <c r="A590" i="2"/>
  <c r="F589" i="2"/>
  <c r="E589" i="2"/>
  <c r="D589" i="2"/>
  <c r="C589" i="2"/>
  <c r="B589" i="2"/>
  <c r="A589" i="2"/>
  <c r="F588" i="2"/>
  <c r="E588" i="2"/>
  <c r="D588" i="2"/>
  <c r="C588" i="2"/>
  <c r="B588" i="2"/>
  <c r="A588" i="2"/>
  <c r="F587" i="2"/>
  <c r="E587" i="2"/>
  <c r="D587" i="2"/>
  <c r="C587" i="2"/>
  <c r="B587" i="2"/>
  <c r="A587" i="2"/>
  <c r="F586" i="2"/>
  <c r="E586" i="2"/>
  <c r="D586" i="2"/>
  <c r="C586" i="2"/>
  <c r="B586" i="2"/>
  <c r="A586" i="2"/>
  <c r="F585" i="2"/>
  <c r="E585" i="2"/>
  <c r="D585" i="2"/>
  <c r="C585" i="2"/>
  <c r="B585" i="2"/>
  <c r="A585" i="2"/>
  <c r="F584" i="2"/>
  <c r="E584" i="2"/>
  <c r="D584" i="2"/>
  <c r="C584" i="2"/>
  <c r="B584" i="2"/>
  <c r="A584" i="2"/>
  <c r="F583" i="2"/>
  <c r="E583" i="2"/>
  <c r="D583" i="2"/>
  <c r="C583" i="2"/>
  <c r="B583" i="2"/>
  <c r="A583" i="2"/>
  <c r="F582" i="2"/>
  <c r="E582" i="2"/>
  <c r="D582" i="2"/>
  <c r="C582" i="2"/>
  <c r="B582" i="2"/>
  <c r="A582" i="2"/>
  <c r="F581" i="2"/>
  <c r="E581" i="2"/>
  <c r="D581" i="2"/>
  <c r="C581" i="2"/>
  <c r="B581" i="2"/>
  <c r="A581" i="2"/>
  <c r="F580" i="2"/>
  <c r="E580" i="2"/>
  <c r="D580" i="2"/>
  <c r="C580" i="2"/>
  <c r="B580" i="2"/>
  <c r="A580" i="2"/>
  <c r="F579" i="2"/>
  <c r="E579" i="2"/>
  <c r="D579" i="2"/>
  <c r="C579" i="2"/>
  <c r="B579" i="2"/>
  <c r="A579" i="2"/>
  <c r="F578" i="2"/>
  <c r="E578" i="2"/>
  <c r="D578" i="2"/>
  <c r="C578" i="2"/>
  <c r="B578" i="2"/>
  <c r="A578" i="2"/>
  <c r="F577" i="2"/>
  <c r="E577" i="2"/>
  <c r="D577" i="2"/>
  <c r="C577" i="2"/>
  <c r="B577" i="2"/>
  <c r="A577" i="2"/>
  <c r="F576" i="2"/>
  <c r="E576" i="2"/>
  <c r="D576" i="2"/>
  <c r="C576" i="2"/>
  <c r="B576" i="2"/>
  <c r="A576" i="2"/>
  <c r="F575" i="2"/>
  <c r="E575" i="2"/>
  <c r="D575" i="2"/>
  <c r="C575" i="2"/>
  <c r="B575" i="2"/>
  <c r="A575" i="2"/>
  <c r="F574" i="2"/>
  <c r="E574" i="2"/>
  <c r="D574" i="2"/>
  <c r="C574" i="2"/>
  <c r="B574" i="2"/>
  <c r="A574" i="2"/>
  <c r="F573" i="2"/>
  <c r="E573" i="2"/>
  <c r="D573" i="2"/>
  <c r="C573" i="2"/>
  <c r="B573" i="2"/>
  <c r="A573" i="2"/>
  <c r="F572" i="2"/>
  <c r="E572" i="2"/>
  <c r="D572" i="2"/>
  <c r="C572" i="2"/>
  <c r="B572" i="2"/>
  <c r="A572" i="2"/>
  <c r="F571" i="2"/>
  <c r="E571" i="2"/>
  <c r="D571" i="2"/>
  <c r="C571" i="2"/>
  <c r="B571" i="2"/>
  <c r="A571" i="2"/>
  <c r="F570" i="2"/>
  <c r="E570" i="2"/>
  <c r="D570" i="2"/>
  <c r="C570" i="2"/>
  <c r="B570" i="2"/>
  <c r="A570" i="2"/>
  <c r="F569" i="2"/>
  <c r="E569" i="2"/>
  <c r="D569" i="2"/>
  <c r="C569" i="2"/>
  <c r="B569" i="2"/>
  <c r="A569" i="2"/>
  <c r="F568" i="2"/>
  <c r="E568" i="2"/>
  <c r="D568" i="2"/>
  <c r="C568" i="2"/>
  <c r="B568" i="2"/>
  <c r="A568" i="2"/>
  <c r="F567" i="2"/>
  <c r="E567" i="2"/>
  <c r="D567" i="2"/>
  <c r="C567" i="2"/>
  <c r="B567" i="2"/>
  <c r="A567" i="2"/>
  <c r="F566" i="2"/>
  <c r="E566" i="2"/>
  <c r="D566" i="2"/>
  <c r="C566" i="2"/>
  <c r="B566" i="2"/>
  <c r="A566" i="2"/>
  <c r="F565" i="2"/>
  <c r="E565" i="2"/>
  <c r="D565" i="2"/>
  <c r="C565" i="2"/>
  <c r="B565" i="2"/>
  <c r="A565" i="2"/>
  <c r="F564" i="2"/>
  <c r="E564" i="2"/>
  <c r="D564" i="2"/>
  <c r="C564" i="2"/>
  <c r="B564" i="2"/>
  <c r="A564" i="2"/>
  <c r="F563" i="2"/>
  <c r="E563" i="2"/>
  <c r="D563" i="2"/>
  <c r="C563" i="2"/>
  <c r="B563" i="2"/>
  <c r="A563" i="2"/>
  <c r="F562" i="2"/>
  <c r="E562" i="2"/>
  <c r="D562" i="2"/>
  <c r="C562" i="2"/>
  <c r="B562" i="2"/>
  <c r="A562" i="2"/>
  <c r="F561" i="2"/>
  <c r="E561" i="2"/>
  <c r="D561" i="2"/>
  <c r="C561" i="2"/>
  <c r="B561" i="2"/>
  <c r="A561" i="2"/>
  <c r="F560" i="2"/>
  <c r="E560" i="2"/>
  <c r="D560" i="2"/>
  <c r="C560" i="2"/>
  <c r="B560" i="2"/>
  <c r="A560" i="2"/>
  <c r="F559" i="2"/>
  <c r="E559" i="2"/>
  <c r="D559" i="2"/>
  <c r="C559" i="2"/>
  <c r="B559" i="2"/>
  <c r="A559" i="2"/>
  <c r="F558" i="2"/>
  <c r="E558" i="2"/>
  <c r="D558" i="2"/>
  <c r="C558" i="2"/>
  <c r="B558" i="2"/>
  <c r="A558" i="2"/>
  <c r="F557" i="2"/>
  <c r="E557" i="2"/>
  <c r="D557" i="2"/>
  <c r="C557" i="2"/>
  <c r="B557" i="2"/>
  <c r="A557" i="2"/>
  <c r="F556" i="2"/>
  <c r="E556" i="2"/>
  <c r="D556" i="2"/>
  <c r="C556" i="2"/>
  <c r="B556" i="2"/>
  <c r="A556" i="2"/>
  <c r="F555" i="2"/>
  <c r="E555" i="2"/>
  <c r="D555" i="2"/>
  <c r="C555" i="2"/>
  <c r="B555" i="2"/>
  <c r="A555" i="2"/>
  <c r="F554" i="2"/>
  <c r="E554" i="2"/>
  <c r="D554" i="2"/>
  <c r="C554" i="2"/>
  <c r="B554" i="2"/>
  <c r="A554" i="2"/>
  <c r="F553" i="2"/>
  <c r="E553" i="2"/>
  <c r="D553" i="2"/>
  <c r="C553" i="2"/>
  <c r="B553" i="2"/>
  <c r="A553" i="2"/>
  <c r="F552" i="2"/>
  <c r="E552" i="2"/>
  <c r="D552" i="2"/>
  <c r="C552" i="2"/>
  <c r="B552" i="2"/>
  <c r="A552" i="2"/>
  <c r="F551" i="2"/>
  <c r="E551" i="2"/>
  <c r="D551" i="2"/>
  <c r="C551" i="2"/>
  <c r="B551" i="2"/>
  <c r="A551" i="2"/>
  <c r="F550" i="2"/>
  <c r="E550" i="2"/>
  <c r="D550" i="2"/>
  <c r="C550" i="2"/>
  <c r="B550" i="2"/>
  <c r="A550" i="2"/>
  <c r="F549" i="2"/>
  <c r="E549" i="2"/>
  <c r="D549" i="2"/>
  <c r="C549" i="2"/>
  <c r="B549" i="2"/>
  <c r="A549" i="2"/>
  <c r="F548" i="2"/>
  <c r="E548" i="2"/>
  <c r="D548" i="2"/>
  <c r="C548" i="2"/>
  <c r="B548" i="2"/>
  <c r="A548" i="2"/>
  <c r="F547" i="2"/>
  <c r="E547" i="2"/>
  <c r="D547" i="2"/>
  <c r="C547" i="2"/>
  <c r="B547" i="2"/>
  <c r="A547" i="2"/>
  <c r="F546" i="2"/>
  <c r="E546" i="2"/>
  <c r="D546" i="2"/>
  <c r="C546" i="2"/>
  <c r="B546" i="2"/>
  <c r="A546" i="2"/>
  <c r="F545" i="2"/>
  <c r="E545" i="2"/>
  <c r="D545" i="2"/>
  <c r="C545" i="2"/>
  <c r="B545" i="2"/>
  <c r="A545" i="2"/>
  <c r="F544" i="2"/>
  <c r="E544" i="2"/>
  <c r="D544" i="2"/>
  <c r="C544" i="2"/>
  <c r="B544" i="2"/>
  <c r="A544" i="2"/>
  <c r="F543" i="2"/>
  <c r="E543" i="2"/>
  <c r="D543" i="2"/>
  <c r="C543" i="2"/>
  <c r="B543" i="2"/>
  <c r="A543" i="2"/>
  <c r="F542" i="2"/>
  <c r="E542" i="2"/>
  <c r="D542" i="2"/>
  <c r="C542" i="2"/>
  <c r="B542" i="2"/>
  <c r="A542" i="2"/>
  <c r="F541" i="2"/>
  <c r="E541" i="2"/>
  <c r="D541" i="2"/>
  <c r="C541" i="2"/>
  <c r="B541" i="2"/>
  <c r="A541" i="2"/>
  <c r="F540" i="2"/>
  <c r="E540" i="2"/>
  <c r="D540" i="2"/>
  <c r="C540" i="2"/>
  <c r="B540" i="2"/>
  <c r="A540" i="2"/>
  <c r="F539" i="2"/>
  <c r="E539" i="2"/>
  <c r="D539" i="2"/>
  <c r="C539" i="2"/>
  <c r="B539" i="2"/>
  <c r="A539" i="2"/>
  <c r="F538" i="2"/>
  <c r="E538" i="2"/>
  <c r="D538" i="2"/>
  <c r="C538" i="2"/>
  <c r="B538" i="2"/>
  <c r="A538" i="2"/>
  <c r="F537" i="2"/>
  <c r="E537" i="2"/>
  <c r="D537" i="2"/>
  <c r="C537" i="2"/>
  <c r="B537" i="2"/>
  <c r="A537" i="2"/>
  <c r="F536" i="2"/>
  <c r="E536" i="2"/>
  <c r="D536" i="2"/>
  <c r="C536" i="2"/>
  <c r="B536" i="2"/>
  <c r="A536" i="2"/>
  <c r="F535" i="2"/>
  <c r="E535" i="2"/>
  <c r="D535" i="2"/>
  <c r="C535" i="2"/>
  <c r="B535" i="2"/>
  <c r="A535" i="2"/>
  <c r="F534" i="2"/>
  <c r="E534" i="2"/>
  <c r="D534" i="2"/>
  <c r="C534" i="2"/>
  <c r="B534" i="2"/>
  <c r="A534" i="2"/>
  <c r="F533" i="2"/>
  <c r="E533" i="2"/>
  <c r="D533" i="2"/>
  <c r="C533" i="2"/>
  <c r="B533" i="2"/>
  <c r="A533" i="2"/>
  <c r="F532" i="2"/>
  <c r="E532" i="2"/>
  <c r="D532" i="2"/>
  <c r="C532" i="2"/>
  <c r="B532" i="2"/>
  <c r="A532" i="2"/>
  <c r="F531" i="2"/>
  <c r="E531" i="2"/>
  <c r="D531" i="2"/>
  <c r="C531" i="2"/>
  <c r="B531" i="2"/>
  <c r="A531" i="2"/>
  <c r="F530" i="2"/>
  <c r="E530" i="2"/>
  <c r="D530" i="2"/>
  <c r="C530" i="2"/>
  <c r="B530" i="2"/>
  <c r="A530" i="2"/>
  <c r="F529" i="2"/>
  <c r="E529" i="2"/>
  <c r="D529" i="2"/>
  <c r="C529" i="2"/>
  <c r="B529" i="2"/>
  <c r="A529" i="2"/>
  <c r="F528" i="2"/>
  <c r="E528" i="2"/>
  <c r="D528" i="2"/>
  <c r="C528" i="2"/>
  <c r="B528" i="2"/>
  <c r="A528" i="2"/>
  <c r="F527" i="2"/>
  <c r="E527" i="2"/>
  <c r="D527" i="2"/>
  <c r="C527" i="2"/>
  <c r="B527" i="2"/>
  <c r="A527" i="2"/>
  <c r="F526" i="2"/>
  <c r="E526" i="2"/>
  <c r="D526" i="2"/>
  <c r="C526" i="2"/>
  <c r="B526" i="2"/>
  <c r="A526" i="2"/>
  <c r="F525" i="2"/>
  <c r="E525" i="2"/>
  <c r="D525" i="2"/>
  <c r="C525" i="2"/>
  <c r="B525" i="2"/>
  <c r="A525" i="2"/>
  <c r="F524" i="2"/>
  <c r="E524" i="2"/>
  <c r="D524" i="2"/>
  <c r="C524" i="2"/>
  <c r="B524" i="2"/>
  <c r="A524" i="2"/>
  <c r="F523" i="2"/>
  <c r="E523" i="2"/>
  <c r="D523" i="2"/>
  <c r="C523" i="2"/>
  <c r="B523" i="2"/>
  <c r="A523" i="2"/>
  <c r="F522" i="2"/>
  <c r="E522" i="2"/>
  <c r="D522" i="2"/>
  <c r="C522" i="2"/>
  <c r="B522" i="2"/>
  <c r="A522" i="2"/>
  <c r="F521" i="2"/>
  <c r="E521" i="2"/>
  <c r="D521" i="2"/>
  <c r="C521" i="2"/>
  <c r="B521" i="2"/>
  <c r="A521" i="2"/>
  <c r="F520" i="2"/>
  <c r="E520" i="2"/>
  <c r="D520" i="2"/>
  <c r="C520" i="2"/>
  <c r="B520" i="2"/>
  <c r="A520" i="2"/>
  <c r="F519" i="2"/>
  <c r="E519" i="2"/>
  <c r="D519" i="2"/>
  <c r="C519" i="2"/>
  <c r="B519" i="2"/>
  <c r="A519" i="2"/>
  <c r="F518" i="2"/>
  <c r="E518" i="2"/>
  <c r="D518" i="2"/>
  <c r="C518" i="2"/>
  <c r="B518" i="2"/>
  <c r="A518" i="2"/>
  <c r="F517" i="2"/>
  <c r="E517" i="2"/>
  <c r="D517" i="2"/>
  <c r="C517" i="2"/>
  <c r="B517" i="2"/>
  <c r="A517" i="2"/>
  <c r="F516" i="2"/>
  <c r="E516" i="2"/>
  <c r="D516" i="2"/>
  <c r="C516" i="2"/>
  <c r="B516" i="2"/>
  <c r="A516" i="2"/>
  <c r="F515" i="2"/>
  <c r="E515" i="2"/>
  <c r="D515" i="2"/>
  <c r="C515" i="2"/>
  <c r="B515" i="2"/>
  <c r="A515" i="2"/>
  <c r="F514" i="2"/>
  <c r="E514" i="2"/>
  <c r="D514" i="2"/>
  <c r="C514" i="2"/>
  <c r="B514" i="2"/>
  <c r="A514" i="2"/>
  <c r="F513" i="2"/>
  <c r="E513" i="2"/>
  <c r="D513" i="2"/>
  <c r="C513" i="2"/>
  <c r="B513" i="2"/>
  <c r="A513" i="2"/>
  <c r="F512" i="2"/>
  <c r="E512" i="2"/>
  <c r="D512" i="2"/>
  <c r="C512" i="2"/>
  <c r="B512" i="2"/>
  <c r="A512" i="2"/>
  <c r="F511" i="2"/>
  <c r="E511" i="2"/>
  <c r="D511" i="2"/>
  <c r="C511" i="2"/>
  <c r="B511" i="2"/>
  <c r="A511" i="2"/>
  <c r="F510" i="2"/>
  <c r="E510" i="2"/>
  <c r="D510" i="2"/>
  <c r="C510" i="2"/>
  <c r="B510" i="2"/>
  <c r="A510" i="2"/>
  <c r="F509" i="2"/>
  <c r="E509" i="2"/>
  <c r="D509" i="2"/>
  <c r="C509" i="2"/>
  <c r="B509" i="2"/>
  <c r="A509" i="2"/>
  <c r="F508" i="2"/>
  <c r="E508" i="2"/>
  <c r="D508" i="2"/>
  <c r="C508" i="2"/>
  <c r="B508" i="2"/>
  <c r="A508" i="2"/>
  <c r="F507" i="2"/>
  <c r="E507" i="2"/>
  <c r="D507" i="2"/>
  <c r="C507" i="2"/>
  <c r="B507" i="2"/>
  <c r="A507" i="2"/>
  <c r="F506" i="2"/>
  <c r="E506" i="2"/>
  <c r="D506" i="2"/>
  <c r="C506" i="2"/>
  <c r="B506" i="2"/>
  <c r="A506" i="2"/>
  <c r="F505" i="2"/>
  <c r="E505" i="2"/>
  <c r="D505" i="2"/>
  <c r="C505" i="2"/>
  <c r="B505" i="2"/>
  <c r="A505" i="2"/>
  <c r="F504" i="2"/>
  <c r="E504" i="2"/>
  <c r="D504" i="2"/>
  <c r="C504" i="2"/>
  <c r="B504" i="2"/>
  <c r="A504" i="2"/>
  <c r="F503" i="2"/>
  <c r="E503" i="2"/>
  <c r="D503" i="2"/>
  <c r="C503" i="2"/>
  <c r="B503" i="2"/>
  <c r="A503" i="2"/>
  <c r="F502" i="2"/>
  <c r="E502" i="2"/>
  <c r="D502" i="2"/>
  <c r="C502" i="2"/>
  <c r="B502" i="2"/>
  <c r="A502" i="2"/>
  <c r="F501" i="2"/>
  <c r="E501" i="2"/>
  <c r="D501" i="2"/>
  <c r="C501" i="2"/>
  <c r="B501" i="2"/>
  <c r="A501" i="2"/>
  <c r="F500" i="2"/>
  <c r="E500" i="2"/>
  <c r="D500" i="2"/>
  <c r="C500" i="2"/>
  <c r="B500" i="2"/>
  <c r="A500" i="2"/>
  <c r="F499" i="2"/>
  <c r="E499" i="2"/>
  <c r="D499" i="2"/>
  <c r="C499" i="2"/>
  <c r="B499" i="2"/>
  <c r="A499" i="2"/>
  <c r="F498" i="2"/>
  <c r="E498" i="2"/>
  <c r="D498" i="2"/>
  <c r="C498" i="2"/>
  <c r="B498" i="2"/>
  <c r="A498" i="2"/>
  <c r="F497" i="2"/>
  <c r="E497" i="2"/>
  <c r="D497" i="2"/>
  <c r="C497" i="2"/>
  <c r="B497" i="2"/>
  <c r="A497" i="2"/>
  <c r="F496" i="2"/>
  <c r="E496" i="2"/>
  <c r="D496" i="2"/>
  <c r="C496" i="2"/>
  <c r="B496" i="2"/>
  <c r="A496" i="2"/>
  <c r="F495" i="2"/>
  <c r="E495" i="2"/>
  <c r="D495" i="2"/>
  <c r="C495" i="2"/>
  <c r="B495" i="2"/>
  <c r="A495" i="2"/>
  <c r="F494" i="2"/>
  <c r="E494" i="2"/>
  <c r="D494" i="2"/>
  <c r="C494" i="2"/>
  <c r="B494" i="2"/>
  <c r="A494" i="2"/>
  <c r="F493" i="2"/>
  <c r="E493" i="2"/>
  <c r="D493" i="2"/>
  <c r="C493" i="2"/>
  <c r="B493" i="2"/>
  <c r="A493" i="2"/>
  <c r="F492" i="2"/>
  <c r="E492" i="2"/>
  <c r="D492" i="2"/>
  <c r="C492" i="2"/>
  <c r="B492" i="2"/>
  <c r="A492" i="2"/>
  <c r="F491" i="2"/>
  <c r="E491" i="2"/>
  <c r="D491" i="2"/>
  <c r="C491" i="2"/>
  <c r="B491" i="2"/>
  <c r="A491" i="2"/>
  <c r="F490" i="2"/>
  <c r="E490" i="2"/>
  <c r="D490" i="2"/>
  <c r="C490" i="2"/>
  <c r="B490" i="2"/>
  <c r="A490" i="2"/>
  <c r="F489" i="2"/>
  <c r="E489" i="2"/>
  <c r="D489" i="2"/>
  <c r="C489" i="2"/>
  <c r="B489" i="2"/>
  <c r="A489" i="2"/>
  <c r="F488" i="2"/>
  <c r="E488" i="2"/>
  <c r="D488" i="2"/>
  <c r="C488" i="2"/>
  <c r="B488" i="2"/>
  <c r="A488" i="2"/>
  <c r="F487" i="2"/>
  <c r="E487" i="2"/>
  <c r="D487" i="2"/>
  <c r="C487" i="2"/>
  <c r="B487" i="2"/>
  <c r="A487" i="2"/>
  <c r="F486" i="2"/>
  <c r="E486" i="2"/>
  <c r="D486" i="2"/>
  <c r="C486" i="2"/>
  <c r="B486" i="2"/>
  <c r="A486" i="2"/>
  <c r="F485" i="2"/>
  <c r="E485" i="2"/>
  <c r="D485" i="2"/>
  <c r="C485" i="2"/>
  <c r="B485" i="2"/>
  <c r="A485" i="2"/>
  <c r="F484" i="2"/>
  <c r="E484" i="2"/>
  <c r="D484" i="2"/>
  <c r="C484" i="2"/>
  <c r="B484" i="2"/>
  <c r="A484" i="2"/>
  <c r="F483" i="2"/>
  <c r="E483" i="2"/>
  <c r="D483" i="2"/>
  <c r="C483" i="2"/>
  <c r="B483" i="2"/>
  <c r="A483" i="2"/>
  <c r="F482" i="2"/>
  <c r="E482" i="2"/>
  <c r="D482" i="2"/>
  <c r="C482" i="2"/>
  <c r="B482" i="2"/>
  <c r="A482" i="2"/>
  <c r="F481" i="2"/>
  <c r="E481" i="2"/>
  <c r="D481" i="2"/>
  <c r="C481" i="2"/>
  <c r="B481" i="2"/>
  <c r="A481" i="2"/>
  <c r="F480" i="2"/>
  <c r="E480" i="2"/>
  <c r="D480" i="2"/>
  <c r="C480" i="2"/>
  <c r="B480" i="2"/>
  <c r="A480" i="2"/>
  <c r="F479" i="2"/>
  <c r="E479" i="2"/>
  <c r="D479" i="2"/>
  <c r="C479" i="2"/>
  <c r="B479" i="2"/>
  <c r="A479" i="2"/>
  <c r="F478" i="2"/>
  <c r="E478" i="2"/>
  <c r="D478" i="2"/>
  <c r="C478" i="2"/>
  <c r="B478" i="2"/>
  <c r="A478" i="2"/>
  <c r="F477" i="2"/>
  <c r="E477" i="2"/>
  <c r="D477" i="2"/>
  <c r="C477" i="2"/>
  <c r="B477" i="2"/>
  <c r="A477" i="2"/>
  <c r="F476" i="2"/>
  <c r="E476" i="2"/>
  <c r="D476" i="2"/>
  <c r="C476" i="2"/>
  <c r="B476" i="2"/>
  <c r="A476" i="2"/>
  <c r="F475" i="2"/>
  <c r="E475" i="2"/>
  <c r="D475" i="2"/>
  <c r="C475" i="2"/>
  <c r="B475" i="2"/>
  <c r="A475" i="2"/>
  <c r="F474" i="2"/>
  <c r="E474" i="2"/>
  <c r="D474" i="2"/>
  <c r="C474" i="2"/>
  <c r="B474" i="2"/>
  <c r="A474" i="2"/>
  <c r="F473" i="2"/>
  <c r="E473" i="2"/>
  <c r="D473" i="2"/>
  <c r="C473" i="2"/>
  <c r="B473" i="2"/>
  <c r="A473" i="2"/>
  <c r="F472" i="2"/>
  <c r="E472" i="2"/>
  <c r="D472" i="2"/>
  <c r="C472" i="2"/>
  <c r="B472" i="2"/>
  <c r="A472" i="2"/>
  <c r="F471" i="2"/>
  <c r="E471" i="2"/>
  <c r="D471" i="2"/>
  <c r="C471" i="2"/>
  <c r="B471" i="2"/>
  <c r="A471" i="2"/>
  <c r="F470" i="2"/>
  <c r="E470" i="2"/>
  <c r="D470" i="2"/>
  <c r="C470" i="2"/>
  <c r="B470" i="2"/>
  <c r="A470" i="2"/>
  <c r="F469" i="2"/>
  <c r="E469" i="2"/>
  <c r="D469" i="2"/>
  <c r="C469" i="2"/>
  <c r="B469" i="2"/>
  <c r="A469" i="2"/>
  <c r="F468" i="2"/>
  <c r="E468" i="2"/>
  <c r="D468" i="2"/>
  <c r="C468" i="2"/>
  <c r="B468" i="2"/>
  <c r="A468" i="2"/>
  <c r="F467" i="2"/>
  <c r="E467" i="2"/>
  <c r="D467" i="2"/>
  <c r="C467" i="2"/>
  <c r="B467" i="2"/>
  <c r="A467" i="2"/>
  <c r="F466" i="2"/>
  <c r="E466" i="2"/>
  <c r="D466" i="2"/>
  <c r="C466" i="2"/>
  <c r="B466" i="2"/>
  <c r="A466" i="2"/>
  <c r="F465" i="2"/>
  <c r="E465" i="2"/>
  <c r="D465" i="2"/>
  <c r="C465" i="2"/>
  <c r="B465" i="2"/>
  <c r="A465" i="2"/>
  <c r="F464" i="2"/>
  <c r="E464" i="2"/>
  <c r="D464" i="2"/>
  <c r="C464" i="2"/>
  <c r="B464" i="2"/>
  <c r="A464" i="2"/>
  <c r="F463" i="2"/>
  <c r="E463" i="2"/>
  <c r="D463" i="2"/>
  <c r="C463" i="2"/>
  <c r="B463" i="2"/>
  <c r="A463" i="2"/>
  <c r="F462" i="2"/>
  <c r="E462" i="2"/>
  <c r="D462" i="2"/>
  <c r="C462" i="2"/>
  <c r="B462" i="2"/>
  <c r="A462" i="2"/>
  <c r="F461" i="2"/>
  <c r="E461" i="2"/>
  <c r="D461" i="2"/>
  <c r="C461" i="2"/>
  <c r="B461" i="2"/>
  <c r="A461" i="2"/>
  <c r="F460" i="2"/>
  <c r="E460" i="2"/>
  <c r="D460" i="2"/>
  <c r="C460" i="2"/>
  <c r="B460" i="2"/>
  <c r="A460" i="2"/>
  <c r="F459" i="2"/>
  <c r="E459" i="2"/>
  <c r="D459" i="2"/>
  <c r="C459" i="2"/>
  <c r="B459" i="2"/>
  <c r="A459" i="2"/>
  <c r="F458" i="2"/>
  <c r="E458" i="2"/>
  <c r="D458" i="2"/>
  <c r="C458" i="2"/>
  <c r="B458" i="2"/>
  <c r="A458" i="2"/>
  <c r="F457" i="2"/>
  <c r="E457" i="2"/>
  <c r="D457" i="2"/>
  <c r="C457" i="2"/>
  <c r="B457" i="2"/>
  <c r="A457" i="2"/>
  <c r="F456" i="2"/>
  <c r="E456" i="2"/>
  <c r="D456" i="2"/>
  <c r="C456" i="2"/>
  <c r="B456" i="2"/>
  <c r="A456" i="2"/>
  <c r="F455" i="2"/>
  <c r="E455" i="2"/>
  <c r="D455" i="2"/>
  <c r="C455" i="2"/>
  <c r="B455" i="2"/>
  <c r="A455" i="2"/>
  <c r="F454" i="2"/>
  <c r="E454" i="2"/>
  <c r="D454" i="2"/>
  <c r="C454" i="2"/>
  <c r="B454" i="2"/>
  <c r="A454" i="2"/>
  <c r="F453" i="2"/>
  <c r="E453" i="2"/>
  <c r="D453" i="2"/>
  <c r="C453" i="2"/>
  <c r="B453" i="2"/>
  <c r="A453" i="2"/>
  <c r="F452" i="2"/>
  <c r="E452" i="2"/>
  <c r="D452" i="2"/>
  <c r="C452" i="2"/>
  <c r="B452" i="2"/>
  <c r="A452" i="2"/>
  <c r="F451" i="2"/>
  <c r="E451" i="2"/>
  <c r="D451" i="2"/>
  <c r="C451" i="2"/>
  <c r="B451" i="2"/>
  <c r="A451" i="2"/>
  <c r="F450" i="2"/>
  <c r="E450" i="2"/>
  <c r="D450" i="2"/>
  <c r="C450" i="2"/>
  <c r="B450" i="2"/>
  <c r="A450" i="2"/>
  <c r="F449" i="2"/>
  <c r="E449" i="2"/>
  <c r="D449" i="2"/>
  <c r="C449" i="2"/>
  <c r="B449" i="2"/>
  <c r="A449" i="2"/>
  <c r="F448" i="2"/>
  <c r="E448" i="2"/>
  <c r="D448" i="2"/>
  <c r="C448" i="2"/>
  <c r="B448" i="2"/>
  <c r="A448" i="2"/>
  <c r="F447" i="2"/>
  <c r="E447" i="2"/>
  <c r="D447" i="2"/>
  <c r="C447" i="2"/>
  <c r="B447" i="2"/>
  <c r="A447" i="2"/>
  <c r="F446" i="2"/>
  <c r="E446" i="2"/>
  <c r="D446" i="2"/>
  <c r="C446" i="2"/>
  <c r="B446" i="2"/>
  <c r="A446" i="2"/>
  <c r="F445" i="2"/>
  <c r="E445" i="2"/>
  <c r="D445" i="2"/>
  <c r="C445" i="2"/>
  <c r="B445" i="2"/>
  <c r="A445" i="2"/>
  <c r="F444" i="2"/>
  <c r="E444" i="2"/>
  <c r="D444" i="2"/>
  <c r="C444" i="2"/>
  <c r="B444" i="2"/>
  <c r="A444" i="2"/>
  <c r="F443" i="2"/>
  <c r="E443" i="2"/>
  <c r="D443" i="2"/>
  <c r="C443" i="2"/>
  <c r="B443" i="2"/>
  <c r="A443" i="2"/>
  <c r="F442" i="2"/>
  <c r="E442" i="2"/>
  <c r="D442" i="2"/>
  <c r="C442" i="2"/>
  <c r="B442" i="2"/>
  <c r="A442" i="2"/>
  <c r="F441" i="2"/>
  <c r="E441" i="2"/>
  <c r="D441" i="2"/>
  <c r="C441" i="2"/>
  <c r="B441" i="2"/>
  <c r="A441" i="2"/>
  <c r="F440" i="2"/>
  <c r="E440" i="2"/>
  <c r="D440" i="2"/>
  <c r="C440" i="2"/>
  <c r="B440" i="2"/>
  <c r="A440" i="2"/>
  <c r="F439" i="2"/>
  <c r="E439" i="2"/>
  <c r="D439" i="2"/>
  <c r="C439" i="2"/>
  <c r="B439" i="2"/>
  <c r="A439" i="2"/>
  <c r="F438" i="2"/>
  <c r="E438" i="2"/>
  <c r="D438" i="2"/>
  <c r="C438" i="2"/>
  <c r="B438" i="2"/>
  <c r="A438" i="2"/>
  <c r="F437" i="2"/>
  <c r="E437" i="2"/>
  <c r="D437" i="2"/>
  <c r="C437" i="2"/>
  <c r="B437" i="2"/>
  <c r="A437" i="2"/>
  <c r="F436" i="2"/>
  <c r="E436" i="2"/>
  <c r="D436" i="2"/>
  <c r="C436" i="2"/>
  <c r="B436" i="2"/>
  <c r="A436" i="2"/>
  <c r="F435" i="2"/>
  <c r="E435" i="2"/>
  <c r="D435" i="2"/>
  <c r="C435" i="2"/>
  <c r="B435" i="2"/>
  <c r="A435" i="2"/>
  <c r="F434" i="2"/>
  <c r="E434" i="2"/>
  <c r="D434" i="2"/>
  <c r="C434" i="2"/>
  <c r="B434" i="2"/>
  <c r="A434" i="2"/>
  <c r="F433" i="2"/>
  <c r="E433" i="2"/>
  <c r="D433" i="2"/>
  <c r="C433" i="2"/>
  <c r="B433" i="2"/>
  <c r="A433" i="2"/>
  <c r="F432" i="2"/>
  <c r="E432" i="2"/>
  <c r="D432" i="2"/>
  <c r="C432" i="2"/>
  <c r="B432" i="2"/>
  <c r="A432" i="2"/>
  <c r="F431" i="2"/>
  <c r="E431" i="2"/>
  <c r="D431" i="2"/>
  <c r="C431" i="2"/>
  <c r="B431" i="2"/>
  <c r="A431" i="2"/>
  <c r="F430" i="2"/>
  <c r="E430" i="2"/>
  <c r="D430" i="2"/>
  <c r="C430" i="2"/>
  <c r="B430" i="2"/>
  <c r="A430" i="2"/>
  <c r="F429" i="2"/>
  <c r="E429" i="2"/>
  <c r="D429" i="2"/>
  <c r="C429" i="2"/>
  <c r="B429" i="2"/>
  <c r="A429" i="2"/>
  <c r="F428" i="2"/>
  <c r="E428" i="2"/>
  <c r="D428" i="2"/>
  <c r="C428" i="2"/>
  <c r="B428" i="2"/>
  <c r="A428" i="2"/>
  <c r="F427" i="2"/>
  <c r="E427" i="2"/>
  <c r="D427" i="2"/>
  <c r="C427" i="2"/>
  <c r="B427" i="2"/>
  <c r="A427" i="2"/>
  <c r="F426" i="2"/>
  <c r="E426" i="2"/>
  <c r="D426" i="2"/>
  <c r="C426" i="2"/>
  <c r="B426" i="2"/>
  <c r="A426" i="2"/>
  <c r="F425" i="2"/>
  <c r="E425" i="2"/>
  <c r="D425" i="2"/>
  <c r="C425" i="2"/>
  <c r="B425" i="2"/>
  <c r="A425" i="2"/>
  <c r="F424" i="2"/>
  <c r="E424" i="2"/>
  <c r="D424" i="2"/>
  <c r="C424" i="2"/>
  <c r="B424" i="2"/>
  <c r="A424" i="2"/>
  <c r="F423" i="2"/>
  <c r="E423" i="2"/>
  <c r="D423" i="2"/>
  <c r="C423" i="2"/>
  <c r="B423" i="2"/>
  <c r="A423" i="2"/>
  <c r="F422" i="2"/>
  <c r="E422" i="2"/>
  <c r="D422" i="2"/>
  <c r="C422" i="2"/>
  <c r="B422" i="2"/>
  <c r="A422" i="2"/>
  <c r="F421" i="2"/>
  <c r="E421" i="2"/>
  <c r="D421" i="2"/>
  <c r="C421" i="2"/>
  <c r="B421" i="2"/>
  <c r="A421" i="2"/>
  <c r="F420" i="2"/>
  <c r="E420" i="2"/>
  <c r="D420" i="2"/>
  <c r="C420" i="2"/>
  <c r="B420" i="2"/>
  <c r="A420" i="2"/>
  <c r="F419" i="2"/>
  <c r="E419" i="2"/>
  <c r="D419" i="2"/>
  <c r="C419" i="2"/>
  <c r="B419" i="2"/>
  <c r="A419" i="2"/>
  <c r="F418" i="2"/>
  <c r="E418" i="2"/>
  <c r="D418" i="2"/>
  <c r="C418" i="2"/>
  <c r="B418" i="2"/>
  <c r="A418" i="2"/>
  <c r="F417" i="2"/>
  <c r="E417" i="2"/>
  <c r="D417" i="2"/>
  <c r="C417" i="2"/>
  <c r="B417" i="2"/>
  <c r="A417" i="2"/>
  <c r="F416" i="2"/>
  <c r="E416" i="2"/>
  <c r="D416" i="2"/>
  <c r="C416" i="2"/>
  <c r="B416" i="2"/>
  <c r="A416" i="2"/>
  <c r="F415" i="2"/>
  <c r="E415" i="2"/>
  <c r="D415" i="2"/>
  <c r="C415" i="2"/>
  <c r="B415" i="2"/>
  <c r="A415" i="2"/>
  <c r="F414" i="2"/>
  <c r="E414" i="2"/>
  <c r="D414" i="2"/>
  <c r="C414" i="2"/>
  <c r="B414" i="2"/>
  <c r="A414" i="2"/>
  <c r="F413" i="2"/>
  <c r="E413" i="2"/>
  <c r="D413" i="2"/>
  <c r="C413" i="2"/>
  <c r="B413" i="2"/>
  <c r="A413" i="2"/>
  <c r="F412" i="2"/>
  <c r="E412" i="2"/>
  <c r="D412" i="2"/>
  <c r="C412" i="2"/>
  <c r="B412" i="2"/>
  <c r="A412" i="2"/>
  <c r="F411" i="2"/>
  <c r="E411" i="2"/>
  <c r="D411" i="2"/>
  <c r="C411" i="2"/>
  <c r="B411" i="2"/>
  <c r="A411" i="2"/>
  <c r="F410" i="2"/>
  <c r="E410" i="2"/>
  <c r="D410" i="2"/>
  <c r="C410" i="2"/>
  <c r="B410" i="2"/>
  <c r="A410" i="2"/>
  <c r="F409" i="2"/>
  <c r="E409" i="2"/>
  <c r="D409" i="2"/>
  <c r="C409" i="2"/>
  <c r="B409" i="2"/>
  <c r="A409" i="2"/>
  <c r="F408" i="2"/>
  <c r="E408" i="2"/>
  <c r="D408" i="2"/>
  <c r="C408" i="2"/>
  <c r="B408" i="2"/>
  <c r="A408" i="2"/>
  <c r="F407" i="2"/>
  <c r="E407" i="2"/>
  <c r="D407" i="2"/>
  <c r="C407" i="2"/>
  <c r="B407" i="2"/>
  <c r="A407" i="2"/>
  <c r="F406" i="2"/>
  <c r="E406" i="2"/>
  <c r="D406" i="2"/>
  <c r="C406" i="2"/>
  <c r="B406" i="2"/>
  <c r="A406" i="2"/>
  <c r="F405" i="2"/>
  <c r="E405" i="2"/>
  <c r="D405" i="2"/>
  <c r="C405" i="2"/>
  <c r="B405" i="2"/>
  <c r="A405" i="2"/>
  <c r="F404" i="2"/>
  <c r="E404" i="2"/>
  <c r="D404" i="2"/>
  <c r="C404" i="2"/>
  <c r="B404" i="2"/>
  <c r="A404" i="2"/>
  <c r="F403" i="2"/>
  <c r="E403" i="2"/>
  <c r="D403" i="2"/>
  <c r="C403" i="2"/>
  <c r="B403" i="2"/>
  <c r="A403" i="2"/>
  <c r="F402" i="2"/>
  <c r="E402" i="2"/>
  <c r="D402" i="2"/>
  <c r="C402" i="2"/>
  <c r="B402" i="2"/>
  <c r="A402" i="2"/>
  <c r="F401" i="2"/>
  <c r="E401" i="2"/>
  <c r="D401" i="2"/>
  <c r="C401" i="2"/>
  <c r="B401" i="2"/>
  <c r="A401" i="2"/>
  <c r="I1378" i="1"/>
  <c r="I1355" i="1"/>
  <c r="I1326" i="1"/>
  <c r="E37" i="2" l="1"/>
  <c r="F43" i="2"/>
  <c r="I970" i="2"/>
  <c r="I754" i="2"/>
  <c r="I526" i="2"/>
  <c r="I520" i="2"/>
  <c r="I508" i="2"/>
  <c r="I490" i="2"/>
  <c r="I484" i="2"/>
  <c r="I454" i="2"/>
  <c r="D21" i="2"/>
  <c r="D17" i="2"/>
  <c r="D29" i="2"/>
  <c r="D25" i="2"/>
  <c r="D33" i="2"/>
  <c r="I842" i="2"/>
  <c r="F95" i="2"/>
  <c r="F127" i="2"/>
  <c r="C52" i="2"/>
  <c r="F65" i="2"/>
  <c r="F81" i="2"/>
  <c r="F103" i="2"/>
  <c r="C132" i="2"/>
  <c r="I1000" i="2"/>
  <c r="F27" i="2"/>
  <c r="D16" i="2"/>
  <c r="D20" i="2"/>
  <c r="D24" i="2"/>
  <c r="D28" i="2"/>
  <c r="D32" i="2"/>
  <c r="D37" i="2"/>
  <c r="C42" i="2"/>
  <c r="F51" i="2"/>
  <c r="E65" i="2"/>
  <c r="E81" i="2"/>
  <c r="B100" i="2"/>
  <c r="D129" i="2"/>
  <c r="E17" i="2"/>
  <c r="E25" i="2"/>
  <c r="F37" i="2"/>
  <c r="F133" i="2"/>
  <c r="E29" i="2"/>
  <c r="E53" i="2"/>
  <c r="D105" i="2"/>
  <c r="F29" i="2"/>
  <c r="E137" i="2"/>
  <c r="E21" i="2"/>
  <c r="E33" i="2"/>
  <c r="B44" i="2"/>
  <c r="C68" i="2"/>
  <c r="D85" i="2"/>
  <c r="F17" i="2"/>
  <c r="F21" i="2"/>
  <c r="F25" i="2"/>
  <c r="F33" i="2"/>
  <c r="B38" i="2"/>
  <c r="C44" i="2"/>
  <c r="F53" i="2"/>
  <c r="E69" i="2"/>
  <c r="B86" i="2"/>
  <c r="C108" i="2"/>
  <c r="B18" i="2"/>
  <c r="B22" i="2"/>
  <c r="B26" i="2"/>
  <c r="B30" i="2"/>
  <c r="B34" i="2"/>
  <c r="C38" i="2"/>
  <c r="E45" i="2"/>
  <c r="C54" i="2"/>
  <c r="F69" i="2"/>
  <c r="C86" i="2"/>
  <c r="F109" i="2"/>
  <c r="D139" i="2"/>
  <c r="E89" i="2"/>
  <c r="C18" i="2"/>
  <c r="C34" i="2"/>
  <c r="C72" i="2"/>
  <c r="C90" i="2"/>
  <c r="C26" i="2"/>
  <c r="F45" i="2"/>
  <c r="E113" i="2"/>
  <c r="D26" i="2"/>
  <c r="D39" i="2"/>
  <c r="E57" i="2"/>
  <c r="C114" i="2"/>
  <c r="D35" i="2"/>
  <c r="E155" i="2"/>
  <c r="C22" i="2"/>
  <c r="C30" i="2"/>
  <c r="D38" i="2"/>
  <c r="C56" i="2"/>
  <c r="E143" i="2"/>
  <c r="D18" i="2"/>
  <c r="D22" i="2"/>
  <c r="D30" i="2"/>
  <c r="D34" i="2"/>
  <c r="C46" i="2"/>
  <c r="E73" i="2"/>
  <c r="E149" i="2"/>
  <c r="D19" i="2"/>
  <c r="D23" i="2"/>
  <c r="D27" i="2"/>
  <c r="D31" i="2"/>
  <c r="F39" i="2"/>
  <c r="F47" i="2"/>
  <c r="F57" i="2"/>
  <c r="F73" i="2"/>
  <c r="D91" i="2"/>
  <c r="B118" i="2"/>
  <c r="E19" i="2"/>
  <c r="E23" i="2"/>
  <c r="E27" i="2"/>
  <c r="E31" i="2"/>
  <c r="F35" i="2"/>
  <c r="B40" i="2"/>
  <c r="C48" i="2"/>
  <c r="C60" i="2"/>
  <c r="C76" i="2"/>
  <c r="B94" i="2"/>
  <c r="E119" i="2"/>
  <c r="E161" i="2"/>
  <c r="F19" i="2"/>
  <c r="F31" i="2"/>
  <c r="B36" i="2"/>
  <c r="C40" i="2"/>
  <c r="E49" i="2"/>
  <c r="E61" i="2"/>
  <c r="E77" i="2"/>
  <c r="E95" i="2"/>
  <c r="D123" i="2"/>
  <c r="F23" i="2"/>
  <c r="B20" i="2"/>
  <c r="B28" i="2"/>
  <c r="C36" i="2"/>
  <c r="F61" i="2"/>
  <c r="B124" i="2"/>
  <c r="B16" i="2"/>
  <c r="B24" i="2"/>
  <c r="B32" i="2"/>
  <c r="E41" i="2"/>
  <c r="F49" i="2"/>
  <c r="F77" i="2"/>
  <c r="C16" i="2"/>
  <c r="C20" i="2"/>
  <c r="C24" i="2"/>
  <c r="C28" i="2"/>
  <c r="C32" i="2"/>
  <c r="D36" i="2"/>
  <c r="F41" i="2"/>
  <c r="C50" i="2"/>
  <c r="C64" i="2"/>
  <c r="C80" i="2"/>
  <c r="D99" i="2"/>
  <c r="I1125" i="2"/>
  <c r="I1113" i="2"/>
  <c r="I1089" i="2"/>
  <c r="I1077" i="2"/>
  <c r="I993" i="2"/>
  <c r="I801" i="2"/>
  <c r="I777" i="2"/>
  <c r="C100" i="2"/>
  <c r="E35" i="2"/>
  <c r="F55" i="2"/>
  <c r="D41" i="2"/>
  <c r="D42" i="2"/>
  <c r="D43" i="2"/>
  <c r="C58" i="2"/>
  <c r="D161" i="2"/>
  <c r="I983" i="2"/>
  <c r="I761" i="2"/>
  <c r="D40" i="2"/>
  <c r="D44" i="2"/>
  <c r="D48" i="2"/>
  <c r="D52" i="2"/>
  <c r="D56" i="2"/>
  <c r="D60" i="2"/>
  <c r="D64" i="2"/>
  <c r="D68" i="2"/>
  <c r="D72" i="2"/>
  <c r="D76" i="2"/>
  <c r="D80" i="2"/>
  <c r="E85" i="2"/>
  <c r="F89" i="2"/>
  <c r="C94" i="2"/>
  <c r="E99" i="2"/>
  <c r="B104" i="2"/>
  <c r="D109" i="2"/>
  <c r="F113" i="2"/>
  <c r="C118" i="2"/>
  <c r="E123" i="2"/>
  <c r="B128" i="2"/>
  <c r="D133" i="2"/>
  <c r="B138" i="2"/>
  <c r="B144" i="2"/>
  <c r="B150" i="2"/>
  <c r="B156" i="2"/>
  <c r="B162" i="2"/>
  <c r="D45" i="2"/>
  <c r="D49" i="2"/>
  <c r="D53" i="2"/>
  <c r="D57" i="2"/>
  <c r="D61" i="2"/>
  <c r="D65" i="2"/>
  <c r="D69" i="2"/>
  <c r="D73" i="2"/>
  <c r="D77" i="2"/>
  <c r="D81" i="2"/>
  <c r="F85" i="2"/>
  <c r="B90" i="2"/>
  <c r="D95" i="2"/>
  <c r="F99" i="2"/>
  <c r="C104" i="2"/>
  <c r="E109" i="2"/>
  <c r="B114" i="2"/>
  <c r="D119" i="2"/>
  <c r="F123" i="2"/>
  <c r="C128" i="2"/>
  <c r="E133" i="2"/>
  <c r="C138" i="2"/>
  <c r="C144" i="2"/>
  <c r="C150" i="2"/>
  <c r="C156" i="2"/>
  <c r="C162" i="2"/>
  <c r="D145" i="2"/>
  <c r="D151" i="2"/>
  <c r="D157" i="2"/>
  <c r="D163" i="2"/>
  <c r="E105" i="2"/>
  <c r="B110" i="2"/>
  <c r="D115" i="2"/>
  <c r="F119" i="2"/>
  <c r="C124" i="2"/>
  <c r="E129" i="2"/>
  <c r="B134" i="2"/>
  <c r="E139" i="2"/>
  <c r="E145" i="2"/>
  <c r="E151" i="2"/>
  <c r="E157" i="2"/>
  <c r="E163" i="2"/>
  <c r="B42" i="2"/>
  <c r="B46" i="2"/>
  <c r="B50" i="2"/>
  <c r="B54" i="2"/>
  <c r="B58" i="2"/>
  <c r="B62" i="2"/>
  <c r="B66" i="2"/>
  <c r="B70" i="2"/>
  <c r="B74" i="2"/>
  <c r="B78" i="2"/>
  <c r="B82" i="2"/>
  <c r="D86" i="2"/>
  <c r="E91" i="2"/>
  <c r="B96" i="2"/>
  <c r="D101" i="2"/>
  <c r="F105" i="2"/>
  <c r="C110" i="2"/>
  <c r="E115" i="2"/>
  <c r="B120" i="2"/>
  <c r="D125" i="2"/>
  <c r="F129" i="2"/>
  <c r="C134" i="2"/>
  <c r="B140" i="2"/>
  <c r="B146" i="2"/>
  <c r="B152" i="2"/>
  <c r="B158" i="2"/>
  <c r="B164" i="2"/>
  <c r="C62" i="2"/>
  <c r="C66" i="2"/>
  <c r="C70" i="2"/>
  <c r="C74" i="2"/>
  <c r="C78" i="2"/>
  <c r="C82" i="2"/>
  <c r="D87" i="2"/>
  <c r="F91" i="2"/>
  <c r="C96" i="2"/>
  <c r="E101" i="2"/>
  <c r="B106" i="2"/>
  <c r="D111" i="2"/>
  <c r="F115" i="2"/>
  <c r="C120" i="2"/>
  <c r="E125" i="2"/>
  <c r="B130" i="2"/>
  <c r="D135" i="2"/>
  <c r="C140" i="2"/>
  <c r="C146" i="2"/>
  <c r="C152" i="2"/>
  <c r="C158" i="2"/>
  <c r="C164" i="2"/>
  <c r="D46" i="2"/>
  <c r="D50" i="2"/>
  <c r="D54" i="2"/>
  <c r="D58" i="2"/>
  <c r="D62" i="2"/>
  <c r="D66" i="2"/>
  <c r="D70" i="2"/>
  <c r="D74" i="2"/>
  <c r="D78" i="2"/>
  <c r="D83" i="2"/>
  <c r="E87" i="2"/>
  <c r="B92" i="2"/>
  <c r="D97" i="2"/>
  <c r="F101" i="2"/>
  <c r="C106" i="2"/>
  <c r="E111" i="2"/>
  <c r="B116" i="2"/>
  <c r="D121" i="2"/>
  <c r="F125" i="2"/>
  <c r="C130" i="2"/>
  <c r="E135" i="2"/>
  <c r="D141" i="2"/>
  <c r="D147" i="2"/>
  <c r="D153" i="2"/>
  <c r="D159" i="2"/>
  <c r="D165" i="2"/>
  <c r="D47" i="2"/>
  <c r="D51" i="2"/>
  <c r="D55" i="2"/>
  <c r="D59" i="2"/>
  <c r="D63" i="2"/>
  <c r="D67" i="2"/>
  <c r="D71" i="2"/>
  <c r="D75" i="2"/>
  <c r="D79" i="2"/>
  <c r="E83" i="2"/>
  <c r="F87" i="2"/>
  <c r="C92" i="2"/>
  <c r="E97" i="2"/>
  <c r="B102" i="2"/>
  <c r="D107" i="2"/>
  <c r="F111" i="2"/>
  <c r="C116" i="2"/>
  <c r="E121" i="2"/>
  <c r="B126" i="2"/>
  <c r="D131" i="2"/>
  <c r="F135" i="2"/>
  <c r="E141" i="2"/>
  <c r="E147" i="2"/>
  <c r="E153" i="2"/>
  <c r="E159" i="2"/>
  <c r="E165" i="2"/>
  <c r="E39" i="2"/>
  <c r="E43" i="2"/>
  <c r="E47" i="2"/>
  <c r="E51" i="2"/>
  <c r="E55" i="2"/>
  <c r="E59" i="2"/>
  <c r="E63" i="2"/>
  <c r="E67" i="2"/>
  <c r="E71" i="2"/>
  <c r="E75" i="2"/>
  <c r="E79" i="2"/>
  <c r="F83" i="2"/>
  <c r="B88" i="2"/>
  <c r="D93" i="2"/>
  <c r="F97" i="2"/>
  <c r="C102" i="2"/>
  <c r="E107" i="2"/>
  <c r="B112" i="2"/>
  <c r="D117" i="2"/>
  <c r="F121" i="2"/>
  <c r="C126" i="2"/>
  <c r="E131" i="2"/>
  <c r="B136" i="2"/>
  <c r="B142" i="2"/>
  <c r="B148" i="2"/>
  <c r="B154" i="2"/>
  <c r="B160" i="2"/>
  <c r="F59" i="2"/>
  <c r="F63" i="2"/>
  <c r="F67" i="2"/>
  <c r="F71" i="2"/>
  <c r="F75" i="2"/>
  <c r="F79" i="2"/>
  <c r="B84" i="2"/>
  <c r="C88" i="2"/>
  <c r="E93" i="2"/>
  <c r="B98" i="2"/>
  <c r="D103" i="2"/>
  <c r="F107" i="2"/>
  <c r="C112" i="2"/>
  <c r="E117" i="2"/>
  <c r="B122" i="2"/>
  <c r="D127" i="2"/>
  <c r="F131" i="2"/>
  <c r="C136" i="2"/>
  <c r="C142" i="2"/>
  <c r="C148" i="2"/>
  <c r="C154" i="2"/>
  <c r="C160" i="2"/>
  <c r="B48" i="2"/>
  <c r="B52" i="2"/>
  <c r="B56" i="2"/>
  <c r="B60" i="2"/>
  <c r="B64" i="2"/>
  <c r="B68" i="2"/>
  <c r="B72" i="2"/>
  <c r="B76" i="2"/>
  <c r="B80" i="2"/>
  <c r="C84" i="2"/>
  <c r="D89" i="2"/>
  <c r="F93" i="2"/>
  <c r="C98" i="2"/>
  <c r="E103" i="2"/>
  <c r="B108" i="2"/>
  <c r="D113" i="2"/>
  <c r="F117" i="2"/>
  <c r="C122" i="2"/>
  <c r="E127" i="2"/>
  <c r="B132" i="2"/>
  <c r="D137" i="2"/>
  <c r="D143" i="2"/>
  <c r="D149" i="2"/>
  <c r="D155" i="2"/>
  <c r="A164" i="2"/>
  <c r="D90" i="2"/>
  <c r="D112" i="2"/>
  <c r="D164" i="2"/>
  <c r="I1143" i="2"/>
  <c r="I1005" i="2"/>
  <c r="D84" i="2"/>
  <c r="D96" i="2"/>
  <c r="D104" i="2"/>
  <c r="D116" i="2"/>
  <c r="D126" i="2"/>
  <c r="D138" i="2"/>
  <c r="D148" i="2"/>
  <c r="D160" i="2"/>
  <c r="E18" i="2"/>
  <c r="E20" i="2"/>
  <c r="E22" i="2"/>
  <c r="E24" i="2"/>
  <c r="E26" i="2"/>
  <c r="E28" i="2"/>
  <c r="E30" i="2"/>
  <c r="E32" i="2"/>
  <c r="E34" i="2"/>
  <c r="E36" i="2"/>
  <c r="E38" i="2"/>
  <c r="E40" i="2"/>
  <c r="E42" i="2"/>
  <c r="E44" i="2"/>
  <c r="E46" i="2"/>
  <c r="E48" i="2"/>
  <c r="E50" i="2"/>
  <c r="E52" i="2"/>
  <c r="E54" i="2"/>
  <c r="E56" i="2"/>
  <c r="E58" i="2"/>
  <c r="E60" i="2"/>
  <c r="E62" i="2"/>
  <c r="E64" i="2"/>
  <c r="E66" i="2"/>
  <c r="E68" i="2"/>
  <c r="E70" i="2"/>
  <c r="E72" i="2"/>
  <c r="E74" i="2"/>
  <c r="E76" i="2"/>
  <c r="E78" i="2"/>
  <c r="E80" i="2"/>
  <c r="E82" i="2"/>
  <c r="E84" i="2"/>
  <c r="E86" i="2"/>
  <c r="E88" i="2"/>
  <c r="E90" i="2"/>
  <c r="E92" i="2"/>
  <c r="E94" i="2"/>
  <c r="E96" i="2"/>
  <c r="E98" i="2"/>
  <c r="E100" i="2"/>
  <c r="E102" i="2"/>
  <c r="E104" i="2"/>
  <c r="E106" i="2"/>
  <c r="E108" i="2"/>
  <c r="E110" i="2"/>
  <c r="E112" i="2"/>
  <c r="E114" i="2"/>
  <c r="E116" i="2"/>
  <c r="E118" i="2"/>
  <c r="E120" i="2"/>
  <c r="E122" i="2"/>
  <c r="E124" i="2"/>
  <c r="E126" i="2"/>
  <c r="E128" i="2"/>
  <c r="E130" i="2"/>
  <c r="E132" i="2"/>
  <c r="E134" i="2"/>
  <c r="E136" i="2"/>
  <c r="E138" i="2"/>
  <c r="E140" i="2"/>
  <c r="E142" i="2"/>
  <c r="E144" i="2"/>
  <c r="E146" i="2"/>
  <c r="E148" i="2"/>
  <c r="E150" i="2"/>
  <c r="E152" i="2"/>
  <c r="E154" i="2"/>
  <c r="E156" i="2"/>
  <c r="E158" i="2"/>
  <c r="E160" i="2"/>
  <c r="E162" i="2"/>
  <c r="E164" i="2"/>
  <c r="D82" i="2"/>
  <c r="D94" i="2"/>
  <c r="D106" i="2"/>
  <c r="D118" i="2"/>
  <c r="D128" i="2"/>
  <c r="D136" i="2"/>
  <c r="D146" i="2"/>
  <c r="D154" i="2"/>
  <c r="F16" i="2"/>
  <c r="F24" i="2"/>
  <c r="F30" i="2"/>
  <c r="F32" i="2"/>
  <c r="F34" i="2"/>
  <c r="F36" i="2"/>
  <c r="F38" i="2"/>
  <c r="F40" i="2"/>
  <c r="F42" i="2"/>
  <c r="F44" i="2"/>
  <c r="F46" i="2"/>
  <c r="F48" i="2"/>
  <c r="F50" i="2"/>
  <c r="F52" i="2"/>
  <c r="F54" i="2"/>
  <c r="F56" i="2"/>
  <c r="F58" i="2"/>
  <c r="F60" i="2"/>
  <c r="F62" i="2"/>
  <c r="F64" i="2"/>
  <c r="F66" i="2"/>
  <c r="F68" i="2"/>
  <c r="F70" i="2"/>
  <c r="F72" i="2"/>
  <c r="F74" i="2"/>
  <c r="F76" i="2"/>
  <c r="F78" i="2"/>
  <c r="F80" i="2"/>
  <c r="F82" i="2"/>
  <c r="F84" i="2"/>
  <c r="F86" i="2"/>
  <c r="F88" i="2"/>
  <c r="F90" i="2"/>
  <c r="F92" i="2"/>
  <c r="F94" i="2"/>
  <c r="F96" i="2"/>
  <c r="F98" i="2"/>
  <c r="F100" i="2"/>
  <c r="F102" i="2"/>
  <c r="F104" i="2"/>
  <c r="F106" i="2"/>
  <c r="F108" i="2"/>
  <c r="F110" i="2"/>
  <c r="F112" i="2"/>
  <c r="F114" i="2"/>
  <c r="F116" i="2"/>
  <c r="F118" i="2"/>
  <c r="F120" i="2"/>
  <c r="F122" i="2"/>
  <c r="F124" i="2"/>
  <c r="F126" i="2"/>
  <c r="F128" i="2"/>
  <c r="F130" i="2"/>
  <c r="F132" i="2"/>
  <c r="F134" i="2"/>
  <c r="F136" i="2"/>
  <c r="F138" i="2"/>
  <c r="F140" i="2"/>
  <c r="F142" i="2"/>
  <c r="F144" i="2"/>
  <c r="F146" i="2"/>
  <c r="F148" i="2"/>
  <c r="F150" i="2"/>
  <c r="F152" i="2"/>
  <c r="F154" i="2"/>
  <c r="F156" i="2"/>
  <c r="F158" i="2"/>
  <c r="F160" i="2"/>
  <c r="F162" i="2"/>
  <c r="F164" i="2"/>
  <c r="D88" i="2"/>
  <c r="D98" i="2"/>
  <c r="D108" i="2"/>
  <c r="D120" i="2"/>
  <c r="D130" i="2"/>
  <c r="D140" i="2"/>
  <c r="D150" i="2"/>
  <c r="D156" i="2"/>
  <c r="E16" i="2"/>
  <c r="F22" i="2"/>
  <c r="A17" i="2"/>
  <c r="A23" i="2"/>
  <c r="A25" i="2"/>
  <c r="A27" i="2"/>
  <c r="A29" i="2"/>
  <c r="A31" i="2"/>
  <c r="A33" i="2"/>
  <c r="A35" i="2"/>
  <c r="A37" i="2"/>
  <c r="A39" i="2"/>
  <c r="A41" i="2"/>
  <c r="A43" i="2"/>
  <c r="A45" i="2"/>
  <c r="A47" i="2"/>
  <c r="A49" i="2"/>
  <c r="A51" i="2"/>
  <c r="A53" i="2"/>
  <c r="A55" i="2"/>
  <c r="A57" i="2"/>
  <c r="A59" i="2"/>
  <c r="A61" i="2"/>
  <c r="A63" i="2"/>
  <c r="A65" i="2"/>
  <c r="A67" i="2"/>
  <c r="A69" i="2"/>
  <c r="A71" i="2"/>
  <c r="A73" i="2"/>
  <c r="A75" i="2"/>
  <c r="A77" i="2"/>
  <c r="A79" i="2"/>
  <c r="A81" i="2"/>
  <c r="A83" i="2"/>
  <c r="A85" i="2"/>
  <c r="A87" i="2"/>
  <c r="A89" i="2"/>
  <c r="A91" i="2"/>
  <c r="A93" i="2"/>
  <c r="A95" i="2"/>
  <c r="A97" i="2"/>
  <c r="A99" i="2"/>
  <c r="A101" i="2"/>
  <c r="A103" i="2"/>
  <c r="A105" i="2"/>
  <c r="A107" i="2"/>
  <c r="A109" i="2"/>
  <c r="A111" i="2"/>
  <c r="A113" i="2"/>
  <c r="A115" i="2"/>
  <c r="A117" i="2"/>
  <c r="A119" i="2"/>
  <c r="A121" i="2"/>
  <c r="A123" i="2"/>
  <c r="A125" i="2"/>
  <c r="A127" i="2"/>
  <c r="A129" i="2"/>
  <c r="A131" i="2"/>
  <c r="A133" i="2"/>
  <c r="A135" i="2"/>
  <c r="A137" i="2"/>
  <c r="A139" i="2"/>
  <c r="A141" i="2"/>
  <c r="A143" i="2"/>
  <c r="A145" i="2"/>
  <c r="A147" i="2"/>
  <c r="A149" i="2"/>
  <c r="A151" i="2"/>
  <c r="A153" i="2"/>
  <c r="A155" i="2"/>
  <c r="A157" i="2"/>
  <c r="A159" i="2"/>
  <c r="A161" i="2"/>
  <c r="A163" i="2"/>
  <c r="A165" i="2"/>
  <c r="D92" i="2"/>
  <c r="D102" i="2"/>
  <c r="D114" i="2"/>
  <c r="D124" i="2"/>
  <c r="D134" i="2"/>
  <c r="D144" i="2"/>
  <c r="D158" i="2"/>
  <c r="F18" i="2"/>
  <c r="F26" i="2"/>
  <c r="A21" i="2"/>
  <c r="B17" i="2"/>
  <c r="B19" i="2"/>
  <c r="B21" i="2"/>
  <c r="B23" i="2"/>
  <c r="B25" i="2"/>
  <c r="B27" i="2"/>
  <c r="B29" i="2"/>
  <c r="B31" i="2"/>
  <c r="B33" i="2"/>
  <c r="B35" i="2"/>
  <c r="B37" i="2"/>
  <c r="B39" i="2"/>
  <c r="B41" i="2"/>
  <c r="B43" i="2"/>
  <c r="B45" i="2"/>
  <c r="B47" i="2"/>
  <c r="B49" i="2"/>
  <c r="B51" i="2"/>
  <c r="B53" i="2"/>
  <c r="B55" i="2"/>
  <c r="B57" i="2"/>
  <c r="B59" i="2"/>
  <c r="B61" i="2"/>
  <c r="B63" i="2"/>
  <c r="B65" i="2"/>
  <c r="B67" i="2"/>
  <c r="B69" i="2"/>
  <c r="B71" i="2"/>
  <c r="B73" i="2"/>
  <c r="B75" i="2"/>
  <c r="B77" i="2"/>
  <c r="B79" i="2"/>
  <c r="B81" i="2"/>
  <c r="B83" i="2"/>
  <c r="B85" i="2"/>
  <c r="B87" i="2"/>
  <c r="B89" i="2"/>
  <c r="B91" i="2"/>
  <c r="B93" i="2"/>
  <c r="B95" i="2"/>
  <c r="B97" i="2"/>
  <c r="B99" i="2"/>
  <c r="B101" i="2"/>
  <c r="B103" i="2"/>
  <c r="B105" i="2"/>
  <c r="B107" i="2"/>
  <c r="B109" i="2"/>
  <c r="B111" i="2"/>
  <c r="B113" i="2"/>
  <c r="B115" i="2"/>
  <c r="B117" i="2"/>
  <c r="B119" i="2"/>
  <c r="B121" i="2"/>
  <c r="B123" i="2"/>
  <c r="B125" i="2"/>
  <c r="B127" i="2"/>
  <c r="B129" i="2"/>
  <c r="B131" i="2"/>
  <c r="B133" i="2"/>
  <c r="B135" i="2"/>
  <c r="B137" i="2"/>
  <c r="B139" i="2"/>
  <c r="B141" i="2"/>
  <c r="B143" i="2"/>
  <c r="B145" i="2"/>
  <c r="B147" i="2"/>
  <c r="B149" i="2"/>
  <c r="B151" i="2"/>
  <c r="B153" i="2"/>
  <c r="B155" i="2"/>
  <c r="B157" i="2"/>
  <c r="B159" i="2"/>
  <c r="B161" i="2"/>
  <c r="B163" i="2"/>
  <c r="B165" i="2"/>
  <c r="D100" i="2"/>
  <c r="D110" i="2"/>
  <c r="D122" i="2"/>
  <c r="D132" i="2"/>
  <c r="D142" i="2"/>
  <c r="D152" i="2"/>
  <c r="D162" i="2"/>
  <c r="F20" i="2"/>
  <c r="F28" i="2"/>
  <c r="A19" i="2"/>
  <c r="C17" i="2"/>
  <c r="C19" i="2"/>
  <c r="C21" i="2"/>
  <c r="C23" i="2"/>
  <c r="C25" i="2"/>
  <c r="C27" i="2"/>
  <c r="C29" i="2"/>
  <c r="C31" i="2"/>
  <c r="C33" i="2"/>
  <c r="C35" i="2"/>
  <c r="C37" i="2"/>
  <c r="C39" i="2"/>
  <c r="C41" i="2"/>
  <c r="C43" i="2"/>
  <c r="C45" i="2"/>
  <c r="C47" i="2"/>
  <c r="C49" i="2"/>
  <c r="C51" i="2"/>
  <c r="C53" i="2"/>
  <c r="C55" i="2"/>
  <c r="C57" i="2"/>
  <c r="C59" i="2"/>
  <c r="C61" i="2"/>
  <c r="C63" i="2"/>
  <c r="C65" i="2"/>
  <c r="C67" i="2"/>
  <c r="C69" i="2"/>
  <c r="C71" i="2"/>
  <c r="C73" i="2"/>
  <c r="C75" i="2"/>
  <c r="C77" i="2"/>
  <c r="C79" i="2"/>
  <c r="C81" i="2"/>
  <c r="C83" i="2"/>
  <c r="C85" i="2"/>
  <c r="C87" i="2"/>
  <c r="C89" i="2"/>
  <c r="C91" i="2"/>
  <c r="C93" i="2"/>
  <c r="C95" i="2"/>
  <c r="C97" i="2"/>
  <c r="C99" i="2"/>
  <c r="C101" i="2"/>
  <c r="C103" i="2"/>
  <c r="C105" i="2"/>
  <c r="C107" i="2"/>
  <c r="C109" i="2"/>
  <c r="C111" i="2"/>
  <c r="C113" i="2"/>
  <c r="C115" i="2"/>
  <c r="C117" i="2"/>
  <c r="C119" i="2"/>
  <c r="C121" i="2"/>
  <c r="C123" i="2"/>
  <c r="C125" i="2"/>
  <c r="C127" i="2"/>
  <c r="C129" i="2"/>
  <c r="C131" i="2"/>
  <c r="C133" i="2"/>
  <c r="C135" i="2"/>
  <c r="C137" i="2"/>
  <c r="C139" i="2"/>
  <c r="C141" i="2"/>
  <c r="C143" i="2"/>
  <c r="C145" i="2"/>
  <c r="C147" i="2"/>
  <c r="C149" i="2"/>
  <c r="C151" i="2"/>
  <c r="C153" i="2"/>
  <c r="C155" i="2"/>
  <c r="C157" i="2"/>
  <c r="C159" i="2"/>
  <c r="C161" i="2"/>
  <c r="C163" i="2"/>
  <c r="C165" i="2"/>
  <c r="F139" i="2"/>
  <c r="F143" i="2"/>
  <c r="F147" i="2"/>
  <c r="F151" i="2"/>
  <c r="F155" i="2"/>
  <c r="F163" i="2"/>
  <c r="I1157" i="2"/>
  <c r="F137" i="2"/>
  <c r="F141" i="2"/>
  <c r="F145" i="2"/>
  <c r="F149" i="2"/>
  <c r="F153" i="2"/>
  <c r="F157" i="2"/>
  <c r="F159" i="2"/>
  <c r="F161" i="2"/>
  <c r="F165" i="2"/>
  <c r="A16" i="2"/>
  <c r="A18" i="2"/>
  <c r="A20" i="2"/>
  <c r="A22" i="2"/>
  <c r="A24" i="2"/>
  <c r="A26" i="2"/>
  <c r="A28" i="2"/>
  <c r="A30" i="2"/>
  <c r="A32" i="2"/>
  <c r="A34" i="2"/>
  <c r="A36" i="2"/>
  <c r="A38" i="2"/>
  <c r="A40" i="2"/>
  <c r="A42" i="2"/>
  <c r="A44" i="2"/>
  <c r="A46" i="2"/>
  <c r="A48" i="2"/>
  <c r="A50" i="2"/>
  <c r="A52" i="2"/>
  <c r="A54" i="2"/>
  <c r="A56" i="2"/>
  <c r="A58" i="2"/>
  <c r="A60" i="2"/>
  <c r="A62" i="2"/>
  <c r="A64" i="2"/>
  <c r="A66" i="2"/>
  <c r="A68" i="2"/>
  <c r="A70" i="2"/>
  <c r="A72" i="2"/>
  <c r="A74" i="2"/>
  <c r="A76" i="2"/>
  <c r="A78" i="2"/>
  <c r="A80" i="2"/>
  <c r="A82" i="2"/>
  <c r="A84" i="2"/>
  <c r="A86" i="2"/>
  <c r="A88" i="2"/>
  <c r="A90" i="2"/>
  <c r="A92" i="2"/>
  <c r="A94" i="2"/>
  <c r="A96" i="2"/>
  <c r="A98" i="2"/>
  <c r="A100" i="2"/>
  <c r="A102" i="2"/>
  <c r="A104" i="2"/>
  <c r="A106" i="2"/>
  <c r="A108" i="2"/>
  <c r="A110" i="2"/>
  <c r="A112" i="2"/>
  <c r="A114" i="2"/>
  <c r="A116" i="2"/>
  <c r="A118" i="2"/>
  <c r="A120" i="2"/>
  <c r="A122" i="2"/>
  <c r="A124" i="2"/>
  <c r="A126" i="2"/>
  <c r="A128" i="2"/>
  <c r="A130" i="2"/>
  <c r="A132" i="2"/>
  <c r="A134" i="2"/>
  <c r="A136" i="2"/>
  <c r="A138" i="2"/>
  <c r="A140" i="2"/>
  <c r="A142" i="2"/>
  <c r="A144" i="2"/>
  <c r="A146" i="2"/>
  <c r="A148" i="2"/>
  <c r="A150" i="2"/>
  <c r="A152" i="2"/>
  <c r="A154" i="2"/>
  <c r="A156" i="2"/>
  <c r="A158" i="2"/>
  <c r="A160" i="2"/>
  <c r="A162" i="2"/>
  <c r="I1365" i="2"/>
  <c r="I1341" i="2"/>
  <c r="I1317" i="2"/>
  <c r="I1293" i="2"/>
  <c r="I1281" i="2"/>
  <c r="I1251" i="2"/>
  <c r="I1134" i="2"/>
  <c r="I1098" i="2"/>
  <c r="I1026" i="2"/>
  <c r="I1002" i="2"/>
  <c r="I996" i="2"/>
  <c r="I406" i="2"/>
  <c r="I746" i="2"/>
  <c r="I530" i="2"/>
  <c r="I464" i="2"/>
  <c r="I931" i="2"/>
  <c r="I871" i="2"/>
  <c r="I1374" i="2"/>
  <c r="I1338" i="2"/>
  <c r="I894" i="2"/>
  <c r="I965" i="2"/>
  <c r="I929" i="2"/>
  <c r="I911" i="2"/>
  <c r="I899" i="2"/>
  <c r="I887" i="2"/>
  <c r="I857" i="2"/>
  <c r="I485" i="2"/>
  <c r="I473" i="2"/>
  <c r="I925" i="2"/>
  <c r="I907" i="2"/>
  <c r="I901" i="2"/>
  <c r="I656" i="2"/>
  <c r="I608" i="2"/>
  <c r="I536" i="2"/>
  <c r="I1330" i="2"/>
  <c r="I1306" i="2"/>
  <c r="I493" i="2"/>
  <c r="I1090" i="2"/>
  <c r="I594" i="2"/>
  <c r="I910" i="2"/>
  <c r="I874" i="2"/>
  <c r="I538" i="2"/>
  <c r="I1189" i="2"/>
  <c r="I1171" i="2"/>
  <c r="I1058" i="2"/>
  <c r="I1034" i="2"/>
  <c r="I962" i="2"/>
  <c r="I1015" i="2"/>
  <c r="I997" i="2"/>
  <c r="I991" i="2"/>
  <c r="I1370" i="2"/>
  <c r="I1322" i="2"/>
  <c r="I1286" i="2"/>
  <c r="I1274" i="2"/>
  <c r="I1262" i="2"/>
  <c r="I1214" i="2"/>
  <c r="I1202" i="2"/>
  <c r="I1190" i="2"/>
  <c r="I1154" i="2"/>
  <c r="I898" i="2"/>
  <c r="I869" i="2"/>
  <c r="I589" i="2"/>
  <c r="I571" i="2"/>
  <c r="I452" i="2"/>
  <c r="I1363" i="2"/>
  <c r="I1333" i="2"/>
  <c r="I1315" i="2"/>
  <c r="I1297" i="2"/>
  <c r="I1285" i="2"/>
  <c r="I1279" i="2"/>
  <c r="I1261" i="2"/>
  <c r="I1255" i="2"/>
  <c r="I1213" i="2"/>
  <c r="I821" i="2"/>
  <c r="I732" i="2"/>
  <c r="I726" i="2"/>
  <c r="I690" i="2"/>
  <c r="I684" i="2"/>
  <c r="I672" i="2"/>
  <c r="I510" i="2"/>
  <c r="I1093" i="2"/>
  <c r="I1063" i="2"/>
  <c r="I850" i="2"/>
  <c r="I773" i="2"/>
  <c r="I1188" i="2"/>
  <c r="I1182" i="2"/>
  <c r="I1170" i="2"/>
  <c r="I1164" i="2"/>
  <c r="I1003" i="2"/>
  <c r="I802" i="2"/>
  <c r="I778" i="2"/>
  <c r="I605" i="2"/>
  <c r="I557" i="2"/>
  <c r="I414" i="2"/>
  <c r="I1367" i="2"/>
  <c r="I1343" i="2"/>
  <c r="I1337" i="2"/>
  <c r="I1331" i="2"/>
  <c r="I1319" i="2"/>
  <c r="I1295" i="2"/>
  <c r="I1121" i="2"/>
  <c r="I1061" i="2"/>
  <c r="I1043" i="2"/>
  <c r="I837" i="2"/>
  <c r="I670" i="2"/>
  <c r="I664" i="2"/>
  <c r="I658" i="2"/>
  <c r="I598" i="2"/>
  <c r="I574" i="2"/>
  <c r="I568" i="2"/>
  <c r="I1360" i="2"/>
  <c r="I1348" i="2"/>
  <c r="I1025" i="2"/>
  <c r="I942" i="2"/>
  <c r="I1114" i="2"/>
  <c r="I1102" i="2"/>
  <c r="I1066" i="2"/>
  <c r="I1030" i="2"/>
  <c r="I1191" i="2"/>
  <c r="I823" i="2"/>
  <c r="I811" i="2"/>
  <c r="I710" i="2"/>
  <c r="I704" i="2"/>
  <c r="I674" i="2"/>
  <c r="I1243" i="2"/>
  <c r="I1225" i="2"/>
  <c r="I930" i="2"/>
  <c r="I440" i="2"/>
  <c r="I416" i="2"/>
  <c r="G24" i="2"/>
  <c r="I1183" i="2"/>
  <c r="I1130" i="2"/>
  <c r="I1094" i="2"/>
  <c r="I924" i="2"/>
  <c r="I906" i="2"/>
  <c r="I755" i="2"/>
  <c r="I624" i="2"/>
  <c r="I618" i="2"/>
  <c r="I612" i="2"/>
  <c r="I558" i="2"/>
  <c r="I1266" i="2"/>
  <c r="I1254" i="2"/>
  <c r="I1218" i="2"/>
  <c r="I1141" i="2"/>
  <c r="I1111" i="2"/>
  <c r="I1047" i="2"/>
  <c r="I1029" i="2"/>
  <c r="I994" i="2"/>
  <c r="I953" i="2"/>
  <c r="I947" i="2"/>
  <c r="I830" i="2"/>
  <c r="I719" i="2"/>
  <c r="I713" i="2"/>
  <c r="I707" i="2"/>
  <c r="I498" i="2"/>
  <c r="I474" i="2"/>
  <c r="I451" i="2"/>
  <c r="I445" i="2"/>
  <c r="I1259" i="2"/>
  <c r="I1241" i="2"/>
  <c r="I1158" i="2"/>
  <c r="I1075" i="2"/>
  <c r="I551" i="2"/>
  <c r="I1199" i="2"/>
  <c r="I1110" i="2"/>
  <c r="I805" i="2"/>
  <c r="I759" i="2"/>
  <c r="I616" i="2"/>
  <c r="I562" i="2"/>
  <c r="I1318" i="2"/>
  <c r="I1258" i="2"/>
  <c r="I1252" i="2"/>
  <c r="I1246" i="2"/>
  <c r="I1163" i="2"/>
  <c r="I1080" i="2"/>
  <c r="I1051" i="2"/>
  <c r="I741" i="2"/>
  <c r="I1371" i="2"/>
  <c r="I1353" i="2"/>
  <c r="I1198" i="2"/>
  <c r="I1186" i="2"/>
  <c r="I1139" i="2"/>
  <c r="I1109" i="2"/>
  <c r="I1103" i="2"/>
  <c r="I921" i="2"/>
  <c r="I851" i="2"/>
  <c r="I822" i="2"/>
  <c r="I804" i="2"/>
  <c r="I651" i="2"/>
  <c r="I621" i="2"/>
  <c r="I615" i="2"/>
  <c r="I609" i="2"/>
  <c r="I561" i="2"/>
  <c r="I1305" i="2"/>
  <c r="I1162" i="2"/>
  <c r="I1126" i="2"/>
  <c r="I1091" i="2"/>
  <c r="I1085" i="2"/>
  <c r="I1067" i="2"/>
  <c r="I1038" i="2"/>
  <c r="I979" i="2"/>
  <c r="I938" i="2"/>
  <c r="I897" i="2"/>
  <c r="I833" i="2"/>
  <c r="I809" i="2"/>
  <c r="I424" i="2"/>
  <c r="I418" i="2"/>
  <c r="I650" i="2"/>
  <c r="I644" i="2"/>
  <c r="I596" i="2"/>
  <c r="I590" i="2"/>
  <c r="I578" i="2"/>
  <c r="I548" i="2"/>
  <c r="I524" i="2"/>
  <c r="I500" i="2"/>
  <c r="I494" i="2"/>
  <c r="I476" i="2"/>
  <c r="I1351" i="2"/>
  <c r="I1014" i="2"/>
  <c r="I990" i="2"/>
  <c r="I949" i="2"/>
  <c r="I855" i="2"/>
  <c r="I814" i="2"/>
  <c r="I791" i="2"/>
  <c r="I779" i="2"/>
  <c r="I1345" i="2"/>
  <c r="I1334" i="2"/>
  <c r="I1329" i="2"/>
  <c r="I1323" i="2"/>
  <c r="I1312" i="2"/>
  <c r="I1300" i="2"/>
  <c r="I1289" i="2"/>
  <c r="I1117" i="2"/>
  <c r="I1078" i="2"/>
  <c r="I1001" i="2"/>
  <c r="I945" i="2"/>
  <c r="I825" i="2"/>
  <c r="I792" i="2"/>
  <c r="I693" i="2"/>
  <c r="I687" i="2"/>
  <c r="I681" i="2"/>
  <c r="I640" i="2"/>
  <c r="I634" i="2"/>
  <c r="I628" i="2"/>
  <c r="I593" i="2"/>
  <c r="I546" i="2"/>
  <c r="I488" i="2"/>
  <c r="G163" i="2"/>
  <c r="I1373" i="2"/>
  <c r="I1350" i="2"/>
  <c r="I1339" i="2"/>
  <c r="I1282" i="2"/>
  <c r="I1206" i="2"/>
  <c r="I1122" i="2"/>
  <c r="I1028" i="2"/>
  <c r="I1023" i="2"/>
  <c r="I1012" i="2"/>
  <c r="I1006" i="2"/>
  <c r="I955" i="2"/>
  <c r="I933" i="2"/>
  <c r="I820" i="2"/>
  <c r="I803" i="2"/>
  <c r="I785" i="2"/>
  <c r="I774" i="2"/>
  <c r="I728" i="2"/>
  <c r="I698" i="2"/>
  <c r="G156" i="2"/>
  <c r="I1027" i="2"/>
  <c r="I966" i="2"/>
  <c r="G149" i="2"/>
  <c r="I632" i="2"/>
  <c r="I550" i="2"/>
  <c r="I533" i="2"/>
  <c r="I463" i="2"/>
  <c r="I434" i="2"/>
  <c r="H141" i="2"/>
  <c r="I1355" i="2"/>
  <c r="I1269" i="2"/>
  <c r="I1263" i="2"/>
  <c r="I1216" i="2"/>
  <c r="I1193" i="2"/>
  <c r="I1065" i="2"/>
  <c r="I954" i="2"/>
  <c r="I846" i="2"/>
  <c r="I829" i="2"/>
  <c r="I807" i="2"/>
  <c r="I750" i="2"/>
  <c r="I739" i="2"/>
  <c r="I727" i="2"/>
  <c r="I703" i="2"/>
  <c r="H132" i="2"/>
  <c r="I1366" i="2"/>
  <c r="I1354" i="2"/>
  <c r="I1326" i="2"/>
  <c r="I1303" i="2"/>
  <c r="I1239" i="2"/>
  <c r="I1221" i="2"/>
  <c r="I1215" i="2"/>
  <c r="I1210" i="2"/>
  <c r="I1159" i="2"/>
  <c r="I1147" i="2"/>
  <c r="I1104" i="2"/>
  <c r="I1054" i="2"/>
  <c r="I1037" i="2"/>
  <c r="I834" i="2"/>
  <c r="I812" i="2"/>
  <c r="I720" i="2"/>
  <c r="I584" i="2"/>
  <c r="I572" i="2"/>
  <c r="I560" i="2"/>
  <c r="I456" i="2"/>
  <c r="I415" i="2"/>
  <c r="I404" i="2"/>
  <c r="G124" i="2"/>
  <c r="G96" i="2"/>
  <c r="G72" i="2"/>
  <c r="I1325" i="2"/>
  <c r="I1302" i="2"/>
  <c r="I1291" i="2"/>
  <c r="I1267" i="2"/>
  <c r="I1250" i="2"/>
  <c r="I1226" i="2"/>
  <c r="I1203" i="2"/>
  <c r="I1175" i="2"/>
  <c r="I1169" i="2"/>
  <c r="I1053" i="2"/>
  <c r="I1020" i="2"/>
  <c r="I1009" i="2"/>
  <c r="I919" i="2"/>
  <c r="I902" i="2"/>
  <c r="I839" i="2"/>
  <c r="I766" i="2"/>
  <c r="I743" i="2"/>
  <c r="I648" i="2"/>
  <c r="I478" i="2"/>
  <c r="I438" i="2"/>
  <c r="I1290" i="2"/>
  <c r="I1237" i="2"/>
  <c r="I1231" i="2"/>
  <c r="I1219" i="2"/>
  <c r="I1185" i="2"/>
  <c r="I1174" i="2"/>
  <c r="I1140" i="2"/>
  <c r="I1097" i="2"/>
  <c r="I1079" i="2"/>
  <c r="I1041" i="2"/>
  <c r="I941" i="2"/>
  <c r="I935" i="2"/>
  <c r="I918" i="2"/>
  <c r="I867" i="2"/>
  <c r="I838" i="2"/>
  <c r="I606" i="2"/>
  <c r="I460" i="2"/>
  <c r="I1307" i="2"/>
  <c r="I1230" i="2"/>
  <c r="I1123" i="2"/>
  <c r="I1062" i="2"/>
  <c r="I963" i="2"/>
  <c r="I957" i="2"/>
  <c r="I951" i="2"/>
  <c r="I946" i="2"/>
  <c r="I934" i="2"/>
  <c r="I917" i="2"/>
  <c r="I883" i="2"/>
  <c r="I866" i="2"/>
  <c r="I810" i="2"/>
  <c r="I799" i="2"/>
  <c r="I787" i="2"/>
  <c r="I781" i="2"/>
  <c r="I770" i="2"/>
  <c r="I582" i="2"/>
  <c r="I518" i="2"/>
  <c r="I501" i="2"/>
  <c r="I436" i="2"/>
  <c r="I1362" i="2"/>
  <c r="I1356" i="2"/>
  <c r="I1335" i="2"/>
  <c r="I1314" i="2"/>
  <c r="I1308" i="2"/>
  <c r="I1287" i="2"/>
  <c r="I1264" i="2"/>
  <c r="I1253" i="2"/>
  <c r="I1248" i="2"/>
  <c r="I1217" i="2"/>
  <c r="I1196" i="2"/>
  <c r="I1138" i="2"/>
  <c r="I1127" i="2"/>
  <c r="I1092" i="2"/>
  <c r="I1087" i="2"/>
  <c r="I1055" i="2"/>
  <c r="I1049" i="2"/>
  <c r="I1044" i="2"/>
  <c r="I1017" i="2"/>
  <c r="I969" i="2"/>
  <c r="I926" i="2"/>
  <c r="I905" i="2"/>
  <c r="I900" i="2"/>
  <c r="I895" i="2"/>
  <c r="I873" i="2"/>
  <c r="I841" i="2"/>
  <c r="I836" i="2"/>
  <c r="I831" i="2"/>
  <c r="I815" i="2"/>
  <c r="I794" i="2"/>
  <c r="I745" i="2"/>
  <c r="I722" i="2"/>
  <c r="I699" i="2"/>
  <c r="I682" i="2"/>
  <c r="I676" i="2"/>
  <c r="I630" i="2"/>
  <c r="I607" i="2"/>
  <c r="I601" i="2"/>
  <c r="I535" i="2"/>
  <c r="I512" i="2"/>
  <c r="I458" i="2"/>
  <c r="I430" i="2"/>
  <c r="I413" i="2"/>
  <c r="I407" i="2"/>
  <c r="I402" i="2"/>
  <c r="G160" i="2"/>
  <c r="G153" i="2"/>
  <c r="G146" i="2"/>
  <c r="G138" i="2"/>
  <c r="H129" i="2"/>
  <c r="G119" i="2"/>
  <c r="G66" i="2"/>
  <c r="I1361" i="2"/>
  <c r="I1313" i="2"/>
  <c r="I1247" i="2"/>
  <c r="I1211" i="2"/>
  <c r="I1195" i="2"/>
  <c r="I1086" i="2"/>
  <c r="I835" i="2"/>
  <c r="H159" i="2"/>
  <c r="H152" i="2"/>
  <c r="G145" i="2"/>
  <c r="H137" i="2"/>
  <c r="G128" i="2"/>
  <c r="G118" i="2"/>
  <c r="G60" i="2"/>
  <c r="I468" i="2"/>
  <c r="I457" i="2"/>
  <c r="I446" i="2"/>
  <c r="I412" i="2"/>
  <c r="I401" i="2"/>
  <c r="G159" i="2"/>
  <c r="I159" i="2" s="1"/>
  <c r="G152" i="2"/>
  <c r="I152" i="2" s="1"/>
  <c r="H144" i="2"/>
  <c r="G137" i="2"/>
  <c r="G127" i="2"/>
  <c r="G114" i="2"/>
  <c r="G54" i="2"/>
  <c r="I1273" i="2"/>
  <c r="I1257" i="2"/>
  <c r="I1236" i="2"/>
  <c r="I1205" i="2"/>
  <c r="I1200" i="2"/>
  <c r="I1116" i="2"/>
  <c r="I1106" i="2"/>
  <c r="I1101" i="2"/>
  <c r="I1096" i="2"/>
  <c r="I1069" i="2"/>
  <c r="I1059" i="2"/>
  <c r="I995" i="2"/>
  <c r="I984" i="2"/>
  <c r="I973" i="2"/>
  <c r="I967" i="2"/>
  <c r="I940" i="2"/>
  <c r="I914" i="2"/>
  <c r="I909" i="2"/>
  <c r="I904" i="2"/>
  <c r="I888" i="2"/>
  <c r="I877" i="2"/>
  <c r="I861" i="2"/>
  <c r="I845" i="2"/>
  <c r="I798" i="2"/>
  <c r="I771" i="2"/>
  <c r="I765" i="2"/>
  <c r="I749" i="2"/>
  <c r="I738" i="2"/>
  <c r="I692" i="2"/>
  <c r="I686" i="2"/>
  <c r="I680" i="2"/>
  <c r="I669" i="2"/>
  <c r="I663" i="2"/>
  <c r="I623" i="2"/>
  <c r="I617" i="2"/>
  <c r="I556" i="2"/>
  <c r="I545" i="2"/>
  <c r="I539" i="2"/>
  <c r="I522" i="2"/>
  <c r="I511" i="2"/>
  <c r="I506" i="2"/>
  <c r="I462" i="2"/>
  <c r="I428" i="2"/>
  <c r="I417" i="2"/>
  <c r="H165" i="2"/>
  <c r="H158" i="2"/>
  <c r="G151" i="2"/>
  <c r="G144" i="2"/>
  <c r="G136" i="2"/>
  <c r="H126" i="2"/>
  <c r="H113" i="2"/>
  <c r="G48" i="2"/>
  <c r="G165" i="2"/>
  <c r="G158" i="2"/>
  <c r="H150" i="2"/>
  <c r="H143" i="2"/>
  <c r="H135" i="2"/>
  <c r="G126" i="2"/>
  <c r="G112" i="2"/>
  <c r="G42" i="2"/>
  <c r="G115" i="2"/>
  <c r="G135" i="2"/>
  <c r="G106" i="2"/>
  <c r="G116" i="2"/>
  <c r="G113" i="2"/>
  <c r="H140" i="2"/>
  <c r="G109" i="2"/>
  <c r="G129" i="2"/>
  <c r="I129" i="2" s="1"/>
  <c r="G100" i="2"/>
  <c r="G110" i="2"/>
  <c r="H117" i="2"/>
  <c r="H134" i="2"/>
  <c r="H114" i="2"/>
  <c r="G103" i="2"/>
  <c r="G123" i="2"/>
  <c r="G94" i="2"/>
  <c r="H20" i="2"/>
  <c r="I1349" i="2"/>
  <c r="I1301" i="2"/>
  <c r="I1235" i="2"/>
  <c r="I1204" i="2"/>
  <c r="I1179" i="2"/>
  <c r="I1168" i="2"/>
  <c r="I1115" i="2"/>
  <c r="I1105" i="2"/>
  <c r="I1100" i="2"/>
  <c r="I1095" i="2"/>
  <c r="I1074" i="2"/>
  <c r="I1068" i="2"/>
  <c r="I1042" i="2"/>
  <c r="I1031" i="2"/>
  <c r="I1021" i="2"/>
  <c r="I1010" i="2"/>
  <c r="I989" i="2"/>
  <c r="I978" i="2"/>
  <c r="I972" i="2"/>
  <c r="I913" i="2"/>
  <c r="I908" i="2"/>
  <c r="I903" i="2"/>
  <c r="I882" i="2"/>
  <c r="I876" i="2"/>
  <c r="I844" i="2"/>
  <c r="I813" i="2"/>
  <c r="I808" i="2"/>
  <c r="I714" i="2"/>
  <c r="I708" i="2"/>
  <c r="I697" i="2"/>
  <c r="I691" i="2"/>
  <c r="I662" i="2"/>
  <c r="I645" i="2"/>
  <c r="I622" i="2"/>
  <c r="I544" i="2"/>
  <c r="I527" i="2"/>
  <c r="I521" i="2"/>
  <c r="I516" i="2"/>
  <c r="I461" i="2"/>
  <c r="I422" i="2"/>
  <c r="I405" i="2"/>
  <c r="H164" i="2"/>
  <c r="G157" i="2"/>
  <c r="G150" i="2"/>
  <c r="G143" i="2"/>
  <c r="G134" i="2"/>
  <c r="H125" i="2"/>
  <c r="G108" i="2"/>
  <c r="G36" i="2"/>
  <c r="I1375" i="2"/>
  <c r="I1369" i="2"/>
  <c r="I1359" i="2"/>
  <c r="I1327" i="2"/>
  <c r="I1321" i="2"/>
  <c r="I1311" i="2"/>
  <c r="I1284" i="2"/>
  <c r="I1278" i="2"/>
  <c r="I1272" i="2"/>
  <c r="I1245" i="2"/>
  <c r="I1234" i="2"/>
  <c r="I1209" i="2"/>
  <c r="I1173" i="2"/>
  <c r="I1151" i="2"/>
  <c r="I1145" i="2"/>
  <c r="I1135" i="2"/>
  <c r="I1099" i="2"/>
  <c r="I1073" i="2"/>
  <c r="I1036" i="2"/>
  <c r="I1004" i="2"/>
  <c r="I999" i="2"/>
  <c r="I977" i="2"/>
  <c r="I971" i="2"/>
  <c r="I923" i="2"/>
  <c r="I881" i="2"/>
  <c r="I875" i="2"/>
  <c r="I870" i="2"/>
  <c r="I859" i="2"/>
  <c r="I849" i="2"/>
  <c r="I828" i="2"/>
  <c r="I818" i="2"/>
  <c r="I797" i="2"/>
  <c r="I786" i="2"/>
  <c r="I780" i="2"/>
  <c r="I775" i="2"/>
  <c r="I763" i="2"/>
  <c r="I753" i="2"/>
  <c r="I742" i="2"/>
  <c r="I696" i="2"/>
  <c r="I639" i="2"/>
  <c r="I633" i="2"/>
  <c r="I604" i="2"/>
  <c r="I577" i="2"/>
  <c r="I566" i="2"/>
  <c r="I549" i="2"/>
  <c r="I532" i="2"/>
  <c r="I472" i="2"/>
  <c r="I466" i="2"/>
  <c r="I450" i="2"/>
  <c r="I433" i="2"/>
  <c r="I427" i="2"/>
  <c r="G164" i="2"/>
  <c r="H156" i="2"/>
  <c r="H149" i="2"/>
  <c r="G142" i="2"/>
  <c r="G133" i="2"/>
  <c r="G125" i="2"/>
  <c r="G102" i="2"/>
  <c r="G30" i="2"/>
  <c r="I1368" i="2"/>
  <c r="I1358" i="2"/>
  <c r="I1342" i="2"/>
  <c r="I1320" i="2"/>
  <c r="I1310" i="2"/>
  <c r="I1294" i="2"/>
  <c r="I1277" i="2"/>
  <c r="I1271" i="2"/>
  <c r="I1244" i="2"/>
  <c r="I1150" i="2"/>
  <c r="I1124" i="2"/>
  <c r="I1119" i="2"/>
  <c r="I1083" i="2"/>
  <c r="I998" i="2"/>
  <c r="I982" i="2"/>
  <c r="I928" i="2"/>
  <c r="I922" i="2"/>
  <c r="I886" i="2"/>
  <c r="I827" i="2"/>
  <c r="I817" i="2"/>
  <c r="I730" i="2"/>
  <c r="I724" i="2"/>
  <c r="I678" i="2"/>
  <c r="I655" i="2"/>
  <c r="I638" i="2"/>
  <c r="I626" i="2"/>
  <c r="I587" i="2"/>
  <c r="I576" i="2"/>
  <c r="I559" i="2"/>
  <c r="I537" i="2"/>
  <c r="I509" i="2"/>
  <c r="I482" i="2"/>
  <c r="I449" i="2"/>
  <c r="I443" i="2"/>
  <c r="I432" i="2"/>
  <c r="I426" i="2"/>
  <c r="H162" i="2"/>
  <c r="H155" i="2"/>
  <c r="G148" i="2"/>
  <c r="G141" i="2"/>
  <c r="G132" i="2"/>
  <c r="G122" i="2"/>
  <c r="G90" i="2"/>
  <c r="G18" i="2"/>
  <c r="I1347" i="2"/>
  <c r="I1299" i="2"/>
  <c r="I1233" i="2"/>
  <c r="I1223" i="2"/>
  <c r="I1187" i="2"/>
  <c r="I1177" i="2"/>
  <c r="I1161" i="2"/>
  <c r="I1019" i="2"/>
  <c r="I1008" i="2"/>
  <c r="I987" i="2"/>
  <c r="I959" i="2"/>
  <c r="I948" i="2"/>
  <c r="I891" i="2"/>
  <c r="I880" i="2"/>
  <c r="I858" i="2"/>
  <c r="I806" i="2"/>
  <c r="I790" i="2"/>
  <c r="I762" i="2"/>
  <c r="I735" i="2"/>
  <c r="I718" i="2"/>
  <c r="I712" i="2"/>
  <c r="I706" i="2"/>
  <c r="I666" i="2"/>
  <c r="I660" i="2"/>
  <c r="I649" i="2"/>
  <c r="I643" i="2"/>
  <c r="I614" i="2"/>
  <c r="I597" i="2"/>
  <c r="I592" i="2"/>
  <c r="I581" i="2"/>
  <c r="I570" i="2"/>
  <c r="I542" i="2"/>
  <c r="I514" i="2"/>
  <c r="I437" i="2"/>
  <c r="I420" i="2"/>
  <c r="G162" i="2"/>
  <c r="G155" i="2"/>
  <c r="H147" i="2"/>
  <c r="G140" i="2"/>
  <c r="H131" i="2"/>
  <c r="G121" i="2"/>
  <c r="G84" i="2"/>
  <c r="I1357" i="2"/>
  <c r="I1336" i="2"/>
  <c r="I1309" i="2"/>
  <c r="I1276" i="2"/>
  <c r="I1265" i="2"/>
  <c r="I1238" i="2"/>
  <c r="I1207" i="2"/>
  <c r="I1197" i="2"/>
  <c r="I1155" i="2"/>
  <c r="I1149" i="2"/>
  <c r="I981" i="2"/>
  <c r="I937" i="2"/>
  <c r="I932" i="2"/>
  <c r="I927" i="2"/>
  <c r="I885" i="2"/>
  <c r="I847" i="2"/>
  <c r="I832" i="2"/>
  <c r="I826" i="2"/>
  <c r="I795" i="2"/>
  <c r="I784" i="2"/>
  <c r="I751" i="2"/>
  <c r="I729" i="2"/>
  <c r="I700" i="2"/>
  <c r="I637" i="2"/>
  <c r="I631" i="2"/>
  <c r="I602" i="2"/>
  <c r="I586" i="2"/>
  <c r="I575" i="2"/>
  <c r="I564" i="2"/>
  <c r="I497" i="2"/>
  <c r="I470" i="2"/>
  <c r="I448" i="2"/>
  <c r="I442" i="2"/>
  <c r="I431" i="2"/>
  <c r="I425" i="2"/>
  <c r="I408" i="2"/>
  <c r="I403" i="2"/>
  <c r="H161" i="2"/>
  <c r="G154" i="2"/>
  <c r="G147" i="2"/>
  <c r="G139" i="2"/>
  <c r="G131" i="2"/>
  <c r="G120" i="2"/>
  <c r="G78" i="2"/>
  <c r="I1346" i="2"/>
  <c r="I1298" i="2"/>
  <c r="I1176" i="2"/>
  <c r="I1165" i="2"/>
  <c r="I1133" i="2"/>
  <c r="I1108" i="2"/>
  <c r="I1071" i="2"/>
  <c r="I1050" i="2"/>
  <c r="I1039" i="2"/>
  <c r="I1018" i="2"/>
  <c r="I1013" i="2"/>
  <c r="I1007" i="2"/>
  <c r="I986" i="2"/>
  <c r="I975" i="2"/>
  <c r="I958" i="2"/>
  <c r="I916" i="2"/>
  <c r="I890" i="2"/>
  <c r="I863" i="2"/>
  <c r="I852" i="2"/>
  <c r="I789" i="2"/>
  <c r="I767" i="2"/>
  <c r="I756" i="2"/>
  <c r="I740" i="2"/>
  <c r="I734" i="2"/>
  <c r="I717" i="2"/>
  <c r="I711" i="2"/>
  <c r="I694" i="2"/>
  <c r="I671" i="2"/>
  <c r="I665" i="2"/>
  <c r="I659" i="2"/>
  <c r="I642" i="2"/>
  <c r="I613" i="2"/>
  <c r="I580" i="2"/>
  <c r="I569" i="2"/>
  <c r="I552" i="2"/>
  <c r="I547" i="2"/>
  <c r="I541" i="2"/>
  <c r="I502" i="2"/>
  <c r="I491" i="2"/>
  <c r="I486" i="2"/>
  <c r="I453" i="2"/>
  <c r="G161" i="2"/>
  <c r="I161" i="2" s="1"/>
  <c r="H153" i="2"/>
  <c r="H146" i="2"/>
  <c r="H138" i="2"/>
  <c r="G130" i="2"/>
  <c r="H119" i="2"/>
  <c r="I1372" i="2"/>
  <c r="I1324" i="2"/>
  <c r="I1242" i="2"/>
  <c r="I1194" i="2"/>
  <c r="I1022" i="2"/>
  <c r="I889" i="2"/>
  <c r="I816" i="2"/>
  <c r="I647" i="2"/>
  <c r="I585" i="2"/>
  <c r="I525" i="2"/>
  <c r="I1328" i="2"/>
  <c r="I1275" i="2"/>
  <c r="I1256" i="2"/>
  <c r="I1208" i="2"/>
  <c r="I976" i="2"/>
  <c r="I862" i="2"/>
  <c r="I748" i="2"/>
  <c r="I652" i="2"/>
  <c r="I137" i="2"/>
  <c r="I1332" i="2"/>
  <c r="I1270" i="2"/>
  <c r="I1227" i="2"/>
  <c r="I1222" i="2"/>
  <c r="I1118" i="2"/>
  <c r="I646" i="2"/>
  <c r="I600" i="2"/>
  <c r="I595" i="2"/>
  <c r="I481" i="2"/>
  <c r="I1340" i="2"/>
  <c r="I1292" i="2"/>
  <c r="I1283" i="2"/>
  <c r="I1260" i="2"/>
  <c r="I1178" i="2"/>
  <c r="I1132" i="2"/>
  <c r="I1072" i="2"/>
  <c r="I943" i="2"/>
  <c r="I893" i="2"/>
  <c r="I679" i="2"/>
  <c r="I610" i="2"/>
  <c r="I540" i="2"/>
  <c r="I496" i="2"/>
  <c r="I1344" i="2"/>
  <c r="I1296" i="2"/>
  <c r="I1167" i="2"/>
  <c r="I1137" i="2"/>
  <c r="I1082" i="2"/>
  <c r="I985" i="2"/>
  <c r="I912" i="2"/>
  <c r="I783" i="2"/>
  <c r="I757" i="2"/>
  <c r="I534" i="2"/>
  <c r="I421" i="2"/>
  <c r="I410" i="2"/>
  <c r="I1352" i="2"/>
  <c r="I1304" i="2"/>
  <c r="I1268" i="2"/>
  <c r="I1249" i="2"/>
  <c r="I1220" i="2"/>
  <c r="I1201" i="2"/>
  <c r="I1146" i="2"/>
  <c r="I1081" i="2"/>
  <c r="I1045" i="2"/>
  <c r="I793" i="2"/>
  <c r="I695" i="2"/>
  <c r="I441" i="2"/>
  <c r="I1364" i="2"/>
  <c r="I1316" i="2"/>
  <c r="I1229" i="2"/>
  <c r="I1181" i="2"/>
  <c r="I879" i="2"/>
  <c r="I853" i="2"/>
  <c r="I565" i="2"/>
  <c r="I554" i="2"/>
  <c r="I515" i="2"/>
  <c r="I1212" i="2"/>
  <c r="I1172" i="2"/>
  <c r="I1131" i="2"/>
  <c r="I1076" i="2"/>
  <c r="I1035" i="2"/>
  <c r="I980" i="2"/>
  <c r="I939" i="2"/>
  <c r="I884" i="2"/>
  <c r="I843" i="2"/>
  <c r="I788" i="2"/>
  <c r="I747" i="2"/>
  <c r="I737" i="2"/>
  <c r="I721" i="2"/>
  <c r="I716" i="2"/>
  <c r="I705" i="2"/>
  <c r="I689" i="2"/>
  <c r="I673" i="2"/>
  <c r="I668" i="2"/>
  <c r="I657" i="2"/>
  <c r="I641" i="2"/>
  <c r="I636" i="2"/>
  <c r="I625" i="2"/>
  <c r="I620" i="2"/>
  <c r="I599" i="2"/>
  <c r="I505" i="2"/>
  <c r="I480" i="2"/>
  <c r="I475" i="2"/>
  <c r="I465" i="2"/>
  <c r="I455" i="2"/>
  <c r="I1153" i="2"/>
  <c r="I1144" i="2"/>
  <c r="I1057" i="2"/>
  <c r="I1048" i="2"/>
  <c r="I961" i="2"/>
  <c r="I952" i="2"/>
  <c r="I865" i="2"/>
  <c r="I856" i="2"/>
  <c r="I769" i="2"/>
  <c r="I760" i="2"/>
  <c r="I736" i="2"/>
  <c r="I731" i="2"/>
  <c r="I715" i="2"/>
  <c r="I688" i="2"/>
  <c r="I683" i="2"/>
  <c r="I667" i="2"/>
  <c r="I635" i="2"/>
  <c r="I619" i="2"/>
  <c r="I529" i="2"/>
  <c r="I504" i="2"/>
  <c r="I499" i="2"/>
  <c r="I489" i="2"/>
  <c r="I479" i="2"/>
  <c r="I1224" i="2"/>
  <c r="I1148" i="2"/>
  <c r="I1107" i="2"/>
  <c r="I1052" i="2"/>
  <c r="I1011" i="2"/>
  <c r="I956" i="2"/>
  <c r="I915" i="2"/>
  <c r="I860" i="2"/>
  <c r="I819" i="2"/>
  <c r="I764" i="2"/>
  <c r="I588" i="2"/>
  <c r="I583" i="2"/>
  <c r="I573" i="2"/>
  <c r="I563" i="2"/>
  <c r="I469" i="2"/>
  <c r="I444" i="2"/>
  <c r="I439" i="2"/>
  <c r="I429" i="2"/>
  <c r="I419" i="2"/>
  <c r="I1228" i="2"/>
  <c r="I1180" i="2"/>
  <c r="I1166" i="2"/>
  <c r="I1152" i="2"/>
  <c r="I1084" i="2"/>
  <c r="I1070" i="2"/>
  <c r="I1056" i="2"/>
  <c r="I988" i="2"/>
  <c r="I974" i="2"/>
  <c r="I960" i="2"/>
  <c r="I892" i="2"/>
  <c r="I878" i="2"/>
  <c r="I864" i="2"/>
  <c r="I796" i="2"/>
  <c r="I782" i="2"/>
  <c r="I768" i="2"/>
  <c r="I553" i="2"/>
  <c r="I528" i="2"/>
  <c r="I523" i="2"/>
  <c r="I513" i="2"/>
  <c r="I503" i="2"/>
  <c r="I409" i="2"/>
  <c r="I1280" i="2"/>
  <c r="I1232" i="2"/>
  <c r="I1129" i="2"/>
  <c r="I1120" i="2"/>
  <c r="I1033" i="2"/>
  <c r="I1024" i="2"/>
  <c r="I1288" i="2"/>
  <c r="I1240" i="2"/>
  <c r="I1192" i="2"/>
  <c r="I1156" i="2"/>
  <c r="I1142" i="2"/>
  <c r="I1128" i="2"/>
  <c r="I1060" i="2"/>
  <c r="I1046" i="2"/>
  <c r="I1032" i="2"/>
  <c r="I964" i="2"/>
  <c r="I950" i="2"/>
  <c r="I936" i="2"/>
  <c r="I868" i="2"/>
  <c r="I854" i="2"/>
  <c r="I840" i="2"/>
  <c r="I772" i="2"/>
  <c r="I758" i="2"/>
  <c r="I744" i="2"/>
  <c r="I723" i="2"/>
  <c r="I702" i="2"/>
  <c r="I675" i="2"/>
  <c r="I654" i="2"/>
  <c r="I627" i="2"/>
  <c r="I517" i="2"/>
  <c r="I492" i="2"/>
  <c r="I487" i="2"/>
  <c r="I477" i="2"/>
  <c r="I467" i="2"/>
  <c r="G104" i="2"/>
  <c r="G98" i="2"/>
  <c r="G92" i="2"/>
  <c r="G86" i="2"/>
  <c r="G80" i="2"/>
  <c r="G74" i="2"/>
  <c r="G68" i="2"/>
  <c r="G62" i="2"/>
  <c r="G56" i="2"/>
  <c r="G50" i="2"/>
  <c r="G44" i="2"/>
  <c r="G38" i="2"/>
  <c r="G32" i="2"/>
  <c r="G26" i="2"/>
  <c r="G20" i="2"/>
  <c r="I1184" i="2"/>
  <c r="I1136" i="2"/>
  <c r="I1088" i="2"/>
  <c r="I1040" i="2"/>
  <c r="I992" i="2"/>
  <c r="I944" i="2"/>
  <c r="I896" i="2"/>
  <c r="I848" i="2"/>
  <c r="I800" i="2"/>
  <c r="I752" i="2"/>
  <c r="I733" i="2"/>
  <c r="I701" i="2"/>
  <c r="I685" i="2"/>
  <c r="I653" i="2"/>
  <c r="I611" i="2"/>
  <c r="I591" i="2"/>
  <c r="I567" i="2"/>
  <c r="I543" i="2"/>
  <c r="I519" i="2"/>
  <c r="I495" i="2"/>
  <c r="I471" i="2"/>
  <c r="I447" i="2"/>
  <c r="I423" i="2"/>
  <c r="H163" i="2"/>
  <c r="H157" i="2"/>
  <c r="H151" i="2"/>
  <c r="H145" i="2"/>
  <c r="H139" i="2"/>
  <c r="H133" i="2"/>
  <c r="H127" i="2"/>
  <c r="H121" i="2"/>
  <c r="H115" i="2"/>
  <c r="H109" i="2"/>
  <c r="H103" i="2"/>
  <c r="H97" i="2"/>
  <c r="H91" i="2"/>
  <c r="H85" i="2"/>
  <c r="H79" i="2"/>
  <c r="H73" i="2"/>
  <c r="H67" i="2"/>
  <c r="H61" i="2"/>
  <c r="H55" i="2"/>
  <c r="H49" i="2"/>
  <c r="H43" i="2"/>
  <c r="H37" i="2"/>
  <c r="H31" i="2"/>
  <c r="H25" i="2"/>
  <c r="H19" i="2"/>
  <c r="G97" i="2"/>
  <c r="G91" i="2"/>
  <c r="G85" i="2"/>
  <c r="G79" i="2"/>
  <c r="G73" i="2"/>
  <c r="G67" i="2"/>
  <c r="G61" i="2"/>
  <c r="G55" i="2"/>
  <c r="G49" i="2"/>
  <c r="G43" i="2"/>
  <c r="G37" i="2"/>
  <c r="G31" i="2"/>
  <c r="G25" i="2"/>
  <c r="G19" i="2"/>
  <c r="H120" i="2"/>
  <c r="H108" i="2"/>
  <c r="H102" i="2"/>
  <c r="H96" i="2"/>
  <c r="H90" i="2"/>
  <c r="H84" i="2"/>
  <c r="H78" i="2"/>
  <c r="H72" i="2"/>
  <c r="H66" i="2"/>
  <c r="H60" i="2"/>
  <c r="H54" i="2"/>
  <c r="H48" i="2"/>
  <c r="H42" i="2"/>
  <c r="H36" i="2"/>
  <c r="H30" i="2"/>
  <c r="H24" i="2"/>
  <c r="H18" i="2"/>
  <c r="H107" i="2"/>
  <c r="H101" i="2"/>
  <c r="H95" i="2"/>
  <c r="H89" i="2"/>
  <c r="H83" i="2"/>
  <c r="H77" i="2"/>
  <c r="H71" i="2"/>
  <c r="H65" i="2"/>
  <c r="H59" i="2"/>
  <c r="H53" i="2"/>
  <c r="H47" i="2"/>
  <c r="H41" i="2"/>
  <c r="H35" i="2"/>
  <c r="H29" i="2"/>
  <c r="H23" i="2"/>
  <c r="H17" i="2"/>
  <c r="G107" i="2"/>
  <c r="G101" i="2"/>
  <c r="G95" i="2"/>
  <c r="G89" i="2"/>
  <c r="G83" i="2"/>
  <c r="G77" i="2"/>
  <c r="G71" i="2"/>
  <c r="G65" i="2"/>
  <c r="G59" i="2"/>
  <c r="G53" i="2"/>
  <c r="G47" i="2"/>
  <c r="G41" i="2"/>
  <c r="G35" i="2"/>
  <c r="G29" i="2"/>
  <c r="G23" i="2"/>
  <c r="G17" i="2"/>
  <c r="I1160" i="2"/>
  <c r="I1112" i="2"/>
  <c r="I1064" i="2"/>
  <c r="I1016" i="2"/>
  <c r="I968" i="2"/>
  <c r="I920" i="2"/>
  <c r="I872" i="2"/>
  <c r="I824" i="2"/>
  <c r="I776" i="2"/>
  <c r="I725" i="2"/>
  <c r="I709" i="2"/>
  <c r="I677" i="2"/>
  <c r="I661" i="2"/>
  <c r="I629" i="2"/>
  <c r="I603" i="2"/>
  <c r="I579" i="2"/>
  <c r="I555" i="2"/>
  <c r="I531" i="2"/>
  <c r="I507" i="2"/>
  <c r="I483" i="2"/>
  <c r="I459" i="2"/>
  <c r="I435" i="2"/>
  <c r="I411" i="2"/>
  <c r="H160" i="2"/>
  <c r="H154" i="2"/>
  <c r="H148" i="2"/>
  <c r="H142" i="2"/>
  <c r="H136" i="2"/>
  <c r="H130" i="2"/>
  <c r="H124" i="2"/>
  <c r="H118" i="2"/>
  <c r="H112" i="2"/>
  <c r="H106" i="2"/>
  <c r="H100" i="2"/>
  <c r="H94" i="2"/>
  <c r="H88" i="2"/>
  <c r="H82" i="2"/>
  <c r="H76" i="2"/>
  <c r="H70" i="2"/>
  <c r="H64" i="2"/>
  <c r="H58" i="2"/>
  <c r="H52" i="2"/>
  <c r="H46" i="2"/>
  <c r="H40" i="2"/>
  <c r="H34" i="2"/>
  <c r="H28" i="2"/>
  <c r="H22" i="2"/>
  <c r="H16" i="2"/>
  <c r="G88" i="2"/>
  <c r="G82" i="2"/>
  <c r="G76" i="2"/>
  <c r="G70" i="2"/>
  <c r="G64" i="2"/>
  <c r="G58" i="2"/>
  <c r="G52" i="2"/>
  <c r="G46" i="2"/>
  <c r="G40" i="2"/>
  <c r="G34" i="2"/>
  <c r="G28" i="2"/>
  <c r="G22" i="2"/>
  <c r="G16" i="2"/>
  <c r="H123" i="2"/>
  <c r="H111" i="2"/>
  <c r="H105" i="2"/>
  <c r="H99" i="2"/>
  <c r="H93" i="2"/>
  <c r="H87" i="2"/>
  <c r="H81" i="2"/>
  <c r="H75" i="2"/>
  <c r="H69" i="2"/>
  <c r="H63" i="2"/>
  <c r="H57" i="2"/>
  <c r="H51" i="2"/>
  <c r="H45" i="2"/>
  <c r="H39" i="2"/>
  <c r="H33" i="2"/>
  <c r="H27" i="2"/>
  <c r="H21" i="2"/>
  <c r="G117" i="2"/>
  <c r="G111" i="2"/>
  <c r="G105" i="2"/>
  <c r="G99" i="2"/>
  <c r="G93" i="2"/>
  <c r="G87" i="2"/>
  <c r="G81" i="2"/>
  <c r="G75" i="2"/>
  <c r="G69" i="2"/>
  <c r="G63" i="2"/>
  <c r="G57" i="2"/>
  <c r="G51" i="2"/>
  <c r="G45" i="2"/>
  <c r="G39" i="2"/>
  <c r="G33" i="2"/>
  <c r="G27" i="2"/>
  <c r="G21" i="2"/>
  <c r="H128" i="2"/>
  <c r="H122" i="2"/>
  <c r="H116" i="2"/>
  <c r="H110" i="2"/>
  <c r="H104" i="2"/>
  <c r="H98" i="2"/>
  <c r="H92" i="2"/>
  <c r="H86" i="2"/>
  <c r="H80" i="2"/>
  <c r="H74" i="2"/>
  <c r="H68" i="2"/>
  <c r="H62" i="2"/>
  <c r="H56" i="2"/>
  <c r="H50" i="2"/>
  <c r="H44" i="2"/>
  <c r="H38" i="2"/>
  <c r="H32" i="2"/>
  <c r="H26" i="2"/>
  <c r="I134" i="2" l="1"/>
  <c r="I145" i="2"/>
  <c r="I60" i="2"/>
  <c r="I163" i="2"/>
  <c r="I106" i="2"/>
  <c r="I18" i="2"/>
  <c r="I142" i="2"/>
  <c r="I123" i="2"/>
  <c r="I144" i="2"/>
  <c r="I147" i="2"/>
  <c r="I154" i="2"/>
  <c r="I139" i="2"/>
  <c r="I150" i="2"/>
  <c r="I156" i="2"/>
  <c r="I130" i="2"/>
  <c r="I115" i="2"/>
  <c r="I149" i="2"/>
  <c r="I110" i="2"/>
  <c r="I127" i="2"/>
  <c r="I42" i="2"/>
  <c r="I128" i="2"/>
  <c r="I136" i="2"/>
  <c r="I90" i="2"/>
  <c r="I24" i="2"/>
  <c r="I54" i="2"/>
  <c r="I157" i="2"/>
  <c r="I66" i="2"/>
  <c r="I140" i="2"/>
  <c r="I100" i="2"/>
  <c r="I72" i="2"/>
  <c r="I78" i="2"/>
  <c r="I109" i="2"/>
  <c r="I119" i="2"/>
  <c r="I148" i="2"/>
  <c r="I160" i="2"/>
  <c r="I132" i="2"/>
  <c r="I151" i="2"/>
  <c r="I141" i="2"/>
  <c r="I112" i="2"/>
  <c r="I117" i="2"/>
  <c r="I118" i="2"/>
  <c r="I113" i="2"/>
  <c r="I84" i="2"/>
  <c r="I116" i="2"/>
  <c r="I96" i="2"/>
  <c r="I122" i="2"/>
  <c r="I102" i="2"/>
  <c r="I165" i="2"/>
  <c r="I70" i="2"/>
  <c r="I79" i="2"/>
  <c r="I125" i="2"/>
  <c r="I143" i="2"/>
  <c r="I67" i="2"/>
  <c r="I164" i="2"/>
  <c r="I30" i="2"/>
  <c r="I108" i="2"/>
  <c r="I121" i="2"/>
  <c r="I36" i="2"/>
  <c r="I28" i="2"/>
  <c r="I17" i="2"/>
  <c r="I89" i="2"/>
  <c r="I120" i="2"/>
  <c r="I39" i="2"/>
  <c r="I111" i="2"/>
  <c r="I34" i="2"/>
  <c r="I20" i="2"/>
  <c r="I124" i="2"/>
  <c r="I87" i="2"/>
  <c r="I83" i="2"/>
  <c r="I73" i="2"/>
  <c r="I133" i="2"/>
  <c r="I33" i="2"/>
  <c r="I105" i="2"/>
  <c r="I114" i="2"/>
  <c r="I126" i="2"/>
  <c r="I103" i="2"/>
  <c r="I95" i="2"/>
  <c r="I48" i="2"/>
  <c r="I77" i="2"/>
  <c r="I40" i="2"/>
  <c r="I23" i="2"/>
  <c r="I94" i="2"/>
  <c r="I29" i="2"/>
  <c r="I101" i="2"/>
  <c r="I85" i="2"/>
  <c r="I155" i="2"/>
  <c r="I135" i="2"/>
  <c r="I27" i="2"/>
  <c r="I99" i="2"/>
  <c r="I61" i="2"/>
  <c r="I158" i="2"/>
  <c r="I146" i="2"/>
  <c r="I153" i="2"/>
  <c r="I45" i="2"/>
  <c r="I131" i="2"/>
  <c r="I162" i="2"/>
  <c r="I46" i="2"/>
  <c r="I21" i="2"/>
  <c r="I93" i="2"/>
  <c r="I71" i="2"/>
  <c r="I55" i="2"/>
  <c r="I138" i="2"/>
  <c r="I16" i="2"/>
  <c r="I88" i="2"/>
  <c r="I49" i="2"/>
  <c r="I26" i="2"/>
  <c r="I98" i="2"/>
  <c r="I22" i="2"/>
  <c r="I32" i="2"/>
  <c r="I104" i="2"/>
  <c r="I38" i="2"/>
  <c r="I44" i="2"/>
  <c r="I50" i="2"/>
  <c r="I56" i="2"/>
  <c r="I51" i="2"/>
  <c r="I52" i="2"/>
  <c r="I35" i="2"/>
  <c r="I107" i="2"/>
  <c r="I62" i="2"/>
  <c r="I57" i="2"/>
  <c r="I63" i="2"/>
  <c r="I58" i="2"/>
  <c r="I41" i="2"/>
  <c r="I19" i="2"/>
  <c r="I91" i="2"/>
  <c r="I68" i="2"/>
  <c r="I69" i="2"/>
  <c r="I64" i="2"/>
  <c r="I47" i="2"/>
  <c r="I25" i="2"/>
  <c r="I97" i="2"/>
  <c r="I74" i="2"/>
  <c r="I53" i="2"/>
  <c r="I31" i="2"/>
  <c r="I80" i="2"/>
  <c r="I75" i="2"/>
  <c r="I81" i="2"/>
  <c r="I76" i="2"/>
  <c r="I59" i="2"/>
  <c r="I37" i="2"/>
  <c r="I86" i="2"/>
  <c r="I82" i="2"/>
  <c r="I65" i="2"/>
  <c r="I43" i="2"/>
  <c r="I92" i="2"/>
  <c r="I167" i="2" l="1"/>
  <c r="I1377" i="2" s="1"/>
</calcChain>
</file>

<file path=xl/sharedStrings.xml><?xml version="1.0" encoding="utf-8"?>
<sst xmlns="http://schemas.openxmlformats.org/spreadsheetml/2006/main" count="6902" uniqueCount="2731">
  <si>
    <t>LISTA
MAYORISTA</t>
  </si>
  <si>
    <t xml:space="preserve">LOS + PEDIDOS NOVEDADES </t>
  </si>
  <si>
    <t>Linea</t>
  </si>
  <si>
    <t>Nombre</t>
  </si>
  <si>
    <t>SKU</t>
  </si>
  <si>
    <t>EAN</t>
  </si>
  <si>
    <t>GÉNERO</t>
  </si>
  <si>
    <t>FORMATO</t>
  </si>
  <si>
    <t>PRECIO</t>
  </si>
  <si>
    <t>CANTIDAD</t>
  </si>
  <si>
    <t>Afnan</t>
  </si>
  <si>
    <t>Perfume Afnan 9 PM EDP 100ml (Black) Hombre</t>
  </si>
  <si>
    <t>COS2463</t>
  </si>
  <si>
    <t>Perfume Hombre</t>
  </si>
  <si>
    <t>REGULAR</t>
  </si>
  <si>
    <t>Afnan Zimaya Red Carpet Paragon EDP 100 ml Unisex</t>
  </si>
  <si>
    <t>COS2943</t>
  </si>
  <si>
    <t>Perfume Unisex</t>
  </si>
  <si>
    <t>Al Haramain</t>
  </si>
  <si>
    <t>Perfume Al Haramain Amber Oud Aqua Dubai Extrait de Parfum 100 ml</t>
  </si>
  <si>
    <t>COS4618</t>
  </si>
  <si>
    <t>Perfume Al Haramain Amber Oud Aqua Dubai Extrait de Parfum 75 ml</t>
  </si>
  <si>
    <t>COS4619</t>
  </si>
  <si>
    <t>Bharara</t>
  </si>
  <si>
    <t>Bharara King EDP 150ml. Hombre</t>
  </si>
  <si>
    <t>COS7251</t>
  </si>
  <si>
    <t>Armaf</t>
  </si>
  <si>
    <t>Perfume Odyssey Mandarin Sky Elixir EDP 100 ml Hombre de Armaf</t>
  </si>
  <si>
    <t>COS5522</t>
  </si>
  <si>
    <t>Perfume Club de Nuit Untold Sterling Parfum EDP 105 ML Unisex de Armaf</t>
  </si>
  <si>
    <t>COS2258</t>
  </si>
  <si>
    <t>Azzaro</t>
  </si>
  <si>
    <t>Perfume Azzaro Wanted EDP 100ml. Hombre</t>
  </si>
  <si>
    <t>COS3606</t>
  </si>
  <si>
    <t>Calvin Klein</t>
  </si>
  <si>
    <t>Perfume CK One EDT 200 ml Unisex Calvin Klein</t>
  </si>
  <si>
    <t>PDL1174</t>
  </si>
  <si>
    <t>Cartier</t>
  </si>
  <si>
    <t>Perfume Cartier Pasha EDT 100 ml</t>
  </si>
  <si>
    <t>COS4915</t>
  </si>
  <si>
    <t>Perfume La Panthera EDP 100 ml Cartier</t>
  </si>
  <si>
    <t>COS7244</t>
  </si>
  <si>
    <t>Perfume Mujer</t>
  </si>
  <si>
    <t>Carolina Herrera</t>
  </si>
  <si>
    <t>Carolina Herrera CH Men Pasión EDP for Men 100 ml</t>
  </si>
  <si>
    <t>COS3796</t>
  </si>
  <si>
    <t>212 NYC Men 100ML EDT Hombre Carolina Herrera</t>
  </si>
  <si>
    <t>PDL1148</t>
  </si>
  <si>
    <t>212 NYC Men 200ML EDT Hombre Carolina Herrera</t>
  </si>
  <si>
    <t>PDL1149</t>
  </si>
  <si>
    <t>Perfume 212 Vip Rosé NYC 212 Cab Limited Edition EDP 80 ml Carolina Herrera</t>
  </si>
  <si>
    <t>COS6995</t>
  </si>
  <si>
    <t>Perfume Bab Boy EDT 200 ml Carolina Herrera Refill</t>
  </si>
  <si>
    <t>COS6910</t>
  </si>
  <si>
    <t>Perfume Bad Boy EDP Elixir 100 ml Carolina Herrera</t>
  </si>
  <si>
    <t>COS7097</t>
  </si>
  <si>
    <t>Perfume La Bomba EDP 80 ml Mujer de Carolina Herrera</t>
  </si>
  <si>
    <t>COS5571</t>
  </si>
  <si>
    <t>Coach</t>
  </si>
  <si>
    <t>Coach Blue Coach Man EDT 100 ML</t>
  </si>
  <si>
    <t>COS502</t>
  </si>
  <si>
    <t>Coach Blue Coach Man EDT 100 ML TESTER</t>
  </si>
  <si>
    <t>COS1570</t>
  </si>
  <si>
    <t>TESTER</t>
  </si>
  <si>
    <t>Dolce  And  Gabbana</t>
  </si>
  <si>
    <t>Perfume Light Blue EDT 100 ml Dolce And Gabbana</t>
  </si>
  <si>
    <t>COS5400</t>
  </si>
  <si>
    <t>Set Perfume Dolce Gabbana Devotion pour Homme EDP 100 ml + Mini 10 ml</t>
  </si>
  <si>
    <t>COS5166</t>
  </si>
  <si>
    <t>SET</t>
  </si>
  <si>
    <t>Set Perfume Dolce Gabbana Light Blue Pour Homme EDT 100 ml + 50 ml</t>
  </si>
  <si>
    <t>COS6668</t>
  </si>
  <si>
    <t>Set Perfume Dolce Violet EDT 75 ml + Mini 10 ml Mujer de Dolce  And  Gabbana</t>
  </si>
  <si>
    <t>COS5519</t>
  </si>
  <si>
    <t>Emper</t>
  </si>
  <si>
    <t>Perfume Genius Victory EDP 100 ml Emper</t>
  </si>
  <si>
    <t>COS7185</t>
  </si>
  <si>
    <t>Perfume Lady Presidente EDP 80 ml Emper</t>
  </si>
  <si>
    <t>COS7189</t>
  </si>
  <si>
    <t>French Avenue</t>
  </si>
  <si>
    <t>Perfume Liquid Brun French Avenue EDP 100 ml</t>
  </si>
  <si>
    <t>COS4197</t>
  </si>
  <si>
    <t>Perfume Vulcan Feu EDP 100 ml Unisex French Avenue</t>
  </si>
  <si>
    <t>COS5260</t>
  </si>
  <si>
    <t>Giorgio Armani</t>
  </si>
  <si>
    <t xml:space="preserve">Giorgio Armani Acqua Di Gio EDT 200 ml </t>
  </si>
  <si>
    <t>Set Perfume Stronger With You Intensely EDP Intense 100 ml + Mini 15 ml Emporio Armani</t>
  </si>
  <si>
    <t>COS7037</t>
  </si>
  <si>
    <t>Hugo Boss</t>
  </si>
  <si>
    <t>Set Perfume Boss Bottled EDT 100 ml + Deo 75 ml Hugo Boss</t>
  </si>
  <si>
    <t>COS6545</t>
  </si>
  <si>
    <t>Halloween</t>
  </si>
  <si>
    <t>Perfume Halloween 100ML EDT Mujer Jesus Del Pozo</t>
  </si>
  <si>
    <t>JESUS01</t>
  </si>
  <si>
    <t>Perfume Halloween Man EDT 125 ml Hombre</t>
  </si>
  <si>
    <t>JESUS04</t>
  </si>
  <si>
    <t>Hermes</t>
  </si>
  <si>
    <t>Perfume Terre DHermes EDT 200 ml</t>
  </si>
  <si>
    <t>COS7058</t>
  </si>
  <si>
    <t>Jean Paul Gaultier</t>
  </si>
  <si>
    <t>Jean Paul Gaultier LE MALE (LE PARFUM) Intense EDP 125 ML Hombre</t>
  </si>
  <si>
    <t>COS1373</t>
  </si>
  <si>
    <t>Perfume Jean Paul Gaultier Scandal Le Parfum EDP Intense Pour Homme 100 ml Recargable</t>
  </si>
  <si>
    <t>COS3089</t>
  </si>
  <si>
    <t>Jo Milano</t>
  </si>
  <si>
    <t>Perfume Emerald Game of Spades Parfum 90 ml de Jo Milano</t>
  </si>
  <si>
    <t>COS5608</t>
  </si>
  <si>
    <t>Perfume Game Of Spades All-In Parfum 100 ml Jo Milano</t>
  </si>
  <si>
    <t>COS6810</t>
  </si>
  <si>
    <t>Lattafa</t>
  </si>
  <si>
    <t>Perfume ASAD de Lattafa EDP 100 ML</t>
  </si>
  <si>
    <t>COS2099</t>
  </si>
  <si>
    <t>Perfume Asad Elixir 100 ml Lattafa</t>
  </si>
  <si>
    <t>COS6068</t>
  </si>
  <si>
    <t>Perfume Atlas EDP 55 ml de Lattafa</t>
  </si>
  <si>
    <t>COS5612</t>
  </si>
  <si>
    <t>Perfume Badee Al Oud For Glory de Lattafa EDP 100 ML Unisex</t>
  </si>
  <si>
    <t>COS1933</t>
  </si>
  <si>
    <t>Lacoste</t>
  </si>
  <si>
    <t>Perfume Touch Of Pink 90ML  EDT Mujer</t>
  </si>
  <si>
    <t>LAC2</t>
  </si>
  <si>
    <t>Lacoste L.12.12 Blanc EDT 50 ML Hombre COS2201</t>
  </si>
  <si>
    <t>COS2201</t>
  </si>
  <si>
    <t>Lancôme</t>
  </si>
  <si>
    <t>Lancôme La Vie Est Belle Rose Extraordinaire EDP Florale 100 ml</t>
  </si>
  <si>
    <t>COS4105</t>
  </si>
  <si>
    <t>Perfume Idole EDP 100 ml Recargable - Refill Lancôme Mujer</t>
  </si>
  <si>
    <t>COS172</t>
  </si>
  <si>
    <t>Montblanc</t>
  </si>
  <si>
    <t>Perfume Mont Blanc Explorer EDP 100ML</t>
  </si>
  <si>
    <t>MONB16</t>
  </si>
  <si>
    <t>Perfume Signature Elixir Montblanc EDP 90 ml</t>
  </si>
  <si>
    <t>COS7246</t>
  </si>
  <si>
    <t>Moschino</t>
  </si>
  <si>
    <t>Perfume Moschino Toy 2 Pearl EDP 100 ml</t>
  </si>
  <si>
    <t>COS5389</t>
  </si>
  <si>
    <t>Paco Rabanne</t>
  </si>
  <si>
    <t>Invictus 100ML EDT Hombre Paco Rabanne</t>
  </si>
  <si>
    <t>PDL1214</t>
  </si>
  <si>
    <t>Perfume Phantom In Red Parfum Elixir 100 ml Hombre Rabanne</t>
  </si>
  <si>
    <t>COS6903</t>
  </si>
  <si>
    <t>Prada</t>
  </si>
  <si>
    <t>Perfume Paradoxe Prada EDP 90 ml Recargable / Refill</t>
  </si>
  <si>
    <t>COS7250</t>
  </si>
  <si>
    <t>Perfume Paradoxe Prada Intense EDP 90 ml Recargable / Refill</t>
  </si>
  <si>
    <t>COS7249</t>
  </si>
  <si>
    <t>Rasasi</t>
  </si>
  <si>
    <t>Perfume Hawas Tropical EDP 100 ml Rasasi</t>
  </si>
  <si>
    <t>COS6375</t>
  </si>
  <si>
    <t>Rasasi Hawas For Him EDP 100 ML Hombre</t>
  </si>
  <si>
    <t>COS1824</t>
  </si>
  <si>
    <t>Ralph Lauren</t>
  </si>
  <si>
    <t>Ralph Lauren Polo Sport Fresh Edt 125 ML Hombre</t>
  </si>
  <si>
    <t>COS1201</t>
  </si>
  <si>
    <t>Perfume Big Pony 2 Pink 100ML EDT Mujer</t>
  </si>
  <si>
    <t>RL6</t>
  </si>
  <si>
    <t>Set Perfume Ralph Lauren Polo Red EDT 15 ml + Polo 67 EDT 15 ml</t>
  </si>
  <si>
    <t>COS7047</t>
  </si>
  <si>
    <t>Sabrina Carpenter</t>
  </si>
  <si>
    <t>Perfume Sweet Tooth Caramel Dream EDP 75 ml Mujer Sabrina Carpenter</t>
  </si>
  <si>
    <t>COS5665</t>
  </si>
  <si>
    <t>Perfume Sweet Tooth Cherry Baby EDP 75 ml Mujer Sabrina Carpenter</t>
  </si>
  <si>
    <t>COS5664</t>
  </si>
  <si>
    <t>Perfume Sweet Tooth EDP 75 ml Mujer Sabrina Carpenter</t>
  </si>
  <si>
    <t>COS5663</t>
  </si>
  <si>
    <t>Thierry Mugler</t>
  </si>
  <si>
    <t>Perfume Amen EDT 100 ml Hombre Thierry Mugler Recargable/Refill</t>
  </si>
  <si>
    <t>COS1853</t>
  </si>
  <si>
    <t>Tommy Hilfiger</t>
  </si>
  <si>
    <t>Perfume Tommy Men 100ml EDT</t>
  </si>
  <si>
    <t>TH5</t>
  </si>
  <si>
    <t>Tommy Girl de Tommy Hilfiger para Mujer EDT 100 ML</t>
  </si>
  <si>
    <t>TH4</t>
  </si>
  <si>
    <t>Tubbees</t>
  </si>
  <si>
    <t>Perfume Tubbees Candy Apple EDP 50 ml</t>
  </si>
  <si>
    <t>COS6295</t>
  </si>
  <si>
    <t>Valentino</t>
  </si>
  <si>
    <t>Perfume Valentino Uomo EDT 100 ml</t>
  </si>
  <si>
    <t>COS6932</t>
  </si>
  <si>
    <t>Perfume Valentino Uomo EDT 50 ml</t>
  </si>
  <si>
    <t>COS7089</t>
  </si>
  <si>
    <t>Velixir</t>
  </si>
  <si>
    <t>Perfume Athena EDP 100 Velixir Parfum</t>
  </si>
  <si>
    <t>COS7119</t>
  </si>
  <si>
    <t>Versace</t>
  </si>
  <si>
    <t>Set Perfume Versace Eros EDP pour Homme 100 ml + Mini 5 ml + Gel de ducha 150 ml</t>
  </si>
  <si>
    <t>COS7076</t>
  </si>
  <si>
    <t>Set Perfume Versace Eros Najim Parfum pour Homme 100 ml + Mini 10 ml</t>
  </si>
  <si>
    <t>COS7072</t>
  </si>
  <si>
    <t>Xerjoff</t>
  </si>
  <si>
    <t>Perfume Erba Pura EDP 100 ml Unisex Xerjoff</t>
  </si>
  <si>
    <t>COS7029</t>
  </si>
  <si>
    <t>Perfume Naxos EDP 100 ml Unisex Xerjoff</t>
  </si>
  <si>
    <t>COS7025</t>
  </si>
  <si>
    <t>Yves Saint Laurent</t>
  </si>
  <si>
    <t xml:space="preserve">L'Homme YSL La NUIT 200 ml  </t>
  </si>
  <si>
    <t>COS528</t>
  </si>
  <si>
    <t>Yves Saint Laurent Y EDP 100 ml</t>
  </si>
  <si>
    <t>Adolfo Dominguez</t>
  </si>
  <si>
    <t>Adolfo Dominguez 1993 Agua Fresca EDT 120 ml</t>
  </si>
  <si>
    <t>COS3513</t>
  </si>
  <si>
    <t>Adolfo Dominguez 1993 Agua Fresca EDT 200ml + Gel 400ml + Deo 150ml</t>
  </si>
  <si>
    <t>COS3700</t>
  </si>
  <si>
    <t>Adolfo Dominguez Ámbar Negro EDP 120 ml</t>
  </si>
  <si>
    <t>COS3499</t>
  </si>
  <si>
    <t>Adolfo Dominguez Bergamota Ambar Agua Fresca EDT 120 ml</t>
  </si>
  <si>
    <t>COS3496</t>
  </si>
  <si>
    <t>Adolfo Dominguez Gardenia Agua Fresca EDT 120 ml</t>
  </si>
  <si>
    <t>COS3486</t>
  </si>
  <si>
    <t>Adolfo Dominguez Mimosa Agua Fresca EDT 120 ml</t>
  </si>
  <si>
    <t>COS3511</t>
  </si>
  <si>
    <t>Adolfo Dominguez Nude Musk EDP 120 ml</t>
  </si>
  <si>
    <t>COS3480</t>
  </si>
  <si>
    <t>Adolfo Dominguez Terracota Musk EDP 120 ml</t>
  </si>
  <si>
    <t>COS3490</t>
  </si>
  <si>
    <t>Perfume Adolfo Dominguez 1993 Agua Fresca EDT 250 ml Formato Refill</t>
  </si>
  <si>
    <t>COS4658</t>
  </si>
  <si>
    <t>Perfume Adolfo Dominguez Verbena EDT 120ml. Mujer</t>
  </si>
  <si>
    <t>COS3492</t>
  </si>
  <si>
    <t>Perfume Verbena EDT 120ml Hombre de Adolfo Dominguez</t>
  </si>
  <si>
    <t>COS3487</t>
  </si>
  <si>
    <t>Afnan Zimaya Rabab Gems Purple EDP 100 ml Unisex</t>
  </si>
  <si>
    <t>COS2940</t>
  </si>
  <si>
    <t>Perfume 9 pm Afnan Elixir Parfum Intense 100 ml Unisex de Afnan</t>
  </si>
  <si>
    <t>COS5575</t>
  </si>
  <si>
    <t>Perfume Afnan 9 AM Dive EDP 150 ml</t>
  </si>
  <si>
    <t>COS7094</t>
  </si>
  <si>
    <t>Perfume Turathi Electric EDP 90 ml Unisex de Afnan</t>
  </si>
  <si>
    <t>COS5574</t>
  </si>
  <si>
    <t>Agatha Ruiz De La Prada</t>
  </si>
  <si>
    <t>Agatha Ruiz De La Prada Look EDT 80 ML Mujer COS1378</t>
  </si>
  <si>
    <t>COS1378</t>
  </si>
  <si>
    <t>Agatha Ruiz De La Prada Love Love Love EDT 80 ml Mujer</t>
  </si>
  <si>
    <t>COS1535</t>
  </si>
  <si>
    <t>Perfume Beso Mujer EDT 100 ml Agatha Ruiz De La Prada</t>
  </si>
  <si>
    <t>PDL1011</t>
  </si>
  <si>
    <t>Perfume Flor Agatha Ruiz de la Prada EDT 100ML Mujer</t>
  </si>
  <si>
    <t>ARP6</t>
  </si>
  <si>
    <t>Perfume Gotas De Color Agatha Ruiz De La Prada EDT 100 ML Mujer</t>
  </si>
  <si>
    <t>COS1528</t>
  </si>
  <si>
    <t>Set Perfume Look Agatha Ruiz De La Prada EDT 80 ml + de Beso en Beso 10 ml</t>
  </si>
  <si>
    <t>COS5427</t>
  </si>
  <si>
    <t>Set Perfume Look EDT 80 ml + Scrunchie XL Agatha Ruiz De La Prada</t>
  </si>
  <si>
    <t>COS6568</t>
  </si>
  <si>
    <t>Set Perfume Love Love Love EDT 80 ml + Barra de Labios 5g. Agatha Ruiz De La Prada</t>
  </si>
  <si>
    <t>COS7096</t>
  </si>
  <si>
    <t>Ajmal</t>
  </si>
  <si>
    <t>Ajmal Oudh Crystalline EDP 100 ml</t>
  </si>
  <si>
    <t>COS2584</t>
  </si>
  <si>
    <t>Ajmal Wisal EDP 50 ml</t>
  </si>
  <si>
    <t>COS2592</t>
  </si>
  <si>
    <t>Perfume Amber Oud Smell Dubai Extrait de Parfum 100 ml Al Haramain</t>
  </si>
  <si>
    <t>COS6978</t>
  </si>
  <si>
    <t>Perfume Future Dubai Extrait de Parfum 100 ml Al Haramain</t>
  </si>
  <si>
    <t>COS6979</t>
  </si>
  <si>
    <t>Perfume Haramain Amber Oud Aqua Dubai Extrai De Parfum 200 ml Al Haramain</t>
  </si>
  <si>
    <t>COS6981</t>
  </si>
  <si>
    <t>Perfume Imagine Dubai Extrait de Parfum 100 ml Al Haramain</t>
  </si>
  <si>
    <t>COS6980</t>
  </si>
  <si>
    <t>Anfar 1950</t>
  </si>
  <si>
    <t>Perfume Anfar Pistachio Kunafa Dubai Chocolate Extrait de Parfum 80 ml</t>
  </si>
  <si>
    <t>COS4838</t>
  </si>
  <si>
    <t>Antonio Banderas</t>
  </si>
  <si>
    <t>Antonio Banderas Her Secret Absolu EDP 80ml</t>
  </si>
  <si>
    <t>COS3867</t>
  </si>
  <si>
    <t>Antonio Banderas King Of Seduction Absolute EDT 100 ml Hombre</t>
  </si>
  <si>
    <t>COS1130</t>
  </si>
  <si>
    <t>Antonio Banderas The Icon EDT 100 ML Hombre</t>
  </si>
  <si>
    <t>COS1376</t>
  </si>
  <si>
    <t>Antonio Banderas The Icon Elixir EDP 100 ML. Hombre</t>
  </si>
  <si>
    <t>COS3110</t>
  </si>
  <si>
    <t>Diavolo 200ML EDT Hombre Antonio Banderas</t>
  </si>
  <si>
    <t>PDL1063</t>
  </si>
  <si>
    <t>Her Secret Desire Antonio Banderas EDT 80ml</t>
  </si>
  <si>
    <t>COS558</t>
  </si>
  <si>
    <t>King Of Seduction 200ML EDT Hombre Antonio Banderas</t>
  </si>
  <si>
    <t>AB2</t>
  </si>
  <si>
    <t>King Of Seduction Absolute 200ML EDT Hombre Antonio Banderas</t>
  </si>
  <si>
    <t>AB01</t>
  </si>
  <si>
    <t>Perfume Antonio Banderas Blue Seduction EDT 100 ML</t>
  </si>
  <si>
    <t>COS489</t>
  </si>
  <si>
    <t>Perfume Antonio Banderas The Icon Man Supreme 100 Ml Hombre</t>
  </si>
  <si>
    <t>COS5271</t>
  </si>
  <si>
    <t>Perfume Blue Seduction 200ML EDT Hombre Antonio Banderas</t>
  </si>
  <si>
    <t>AB4</t>
  </si>
  <si>
    <t>Perfume Blue Seduction 200ML EDT Mujer de Antonio Banderas</t>
  </si>
  <si>
    <t>AB3</t>
  </si>
  <si>
    <t>Perfume King of Seduction 100ML EDT Hombre Antonio Banderas</t>
  </si>
  <si>
    <t>ANTON02</t>
  </si>
  <si>
    <t>Perfume Seduction In Black 100ML EDT Hombre Antonio Banderas</t>
  </si>
  <si>
    <t>PDL1069</t>
  </si>
  <si>
    <t>Perfume SX Seduction X EDP 100 ml Antonio Banderas</t>
  </si>
  <si>
    <t>COS6915</t>
  </si>
  <si>
    <t>Perfume The Icon The Perfume EDP 100 ML Hombre de Antonio Banderas</t>
  </si>
  <si>
    <t>COS3219</t>
  </si>
  <si>
    <t>Seduction In Black 200ML EDT Hombre Antonio Banderas</t>
  </si>
  <si>
    <t>PDL1068</t>
  </si>
  <si>
    <t>Set Antonio Banderas Blue Seduction for Men EDT 50 ml + After Shave Balm 75 ml</t>
  </si>
  <si>
    <t>COS3979</t>
  </si>
  <si>
    <t>Set Perfume Antonio Banderas Her Secret Absolu EDP 80 ml + Deo 150 ml 2025 H1</t>
  </si>
  <si>
    <t>COS5432</t>
  </si>
  <si>
    <t>Set Perfume Antonio Banderas The Secret Absolu EDP 100 ml + Deo 150 ml 2025 H1</t>
  </si>
  <si>
    <t>COS5428</t>
  </si>
  <si>
    <t>Set Perfume Antonio Banderas The Secret EDT 100 ml + Deo 150 ml 2024 H1</t>
  </si>
  <si>
    <t>COS5376</t>
  </si>
  <si>
    <t>Set Perfume Banderas Diavolo for Men EDT 50 ml + After Shave Balm 75 ml 2026 Antonio Banderas</t>
  </si>
  <si>
    <t>COS6573</t>
  </si>
  <si>
    <t>Set Perfume Diavolo for Men EDT 100 ml + Deo 150 ml Antonio Banderas 2025</t>
  </si>
  <si>
    <t>COS5956</t>
  </si>
  <si>
    <t>Set Perfume Her Scret Temptation Banderas EDT 80 ml + Deo 150 ml Antonio Banderas 2024</t>
  </si>
  <si>
    <t>COS5429</t>
  </si>
  <si>
    <t>Set Perfume Power of Seduction Banderas EDT 100 ml + Deo 150 ml Antonio Banderas</t>
  </si>
  <si>
    <t>COS7100</t>
  </si>
  <si>
    <t>Set Perfume Queen of Seduction EDT 50 ml + Body Lotion 75 ml 2024 Antonio Banderas</t>
  </si>
  <si>
    <t>COS5730</t>
  </si>
  <si>
    <t>The Golden Secret EDT 200 ml. Antonio Banderas</t>
  </si>
  <si>
    <t>COS4078</t>
  </si>
  <si>
    <t>The Secret Antonio Banderas EDT 100 ml COS846</t>
  </si>
  <si>
    <t>COS846</t>
  </si>
  <si>
    <t>Ariana Grande</t>
  </si>
  <si>
    <t>Ariana Grande God Is A Woman EDP 30 ML</t>
  </si>
  <si>
    <t>COS1902</t>
  </si>
  <si>
    <t>Ariana Grande God Is A Woman EDP 50 ML</t>
  </si>
  <si>
    <t>COS1903</t>
  </si>
  <si>
    <t>Ariana Grande Mod Blush EDP 100 ml</t>
  </si>
  <si>
    <t>COS3021</t>
  </si>
  <si>
    <t>Ariana Grande Mod Blush EDP 30 ml</t>
  </si>
  <si>
    <t>COS3022</t>
  </si>
  <si>
    <t>Ariana Grande R.E.M. EDP 30 ML</t>
  </si>
  <si>
    <t>COS1549</t>
  </si>
  <si>
    <t>Body Mist Ari By Ariana Grande 236 ML</t>
  </si>
  <si>
    <t>COS286</t>
  </si>
  <si>
    <t>Body Mist Ariana Grande Mod Blush 236 ml</t>
  </si>
  <si>
    <t>COS5003</t>
  </si>
  <si>
    <t>Body Mist Ariana Grande Thank U Next 2.0 236 ml</t>
  </si>
  <si>
    <t>COS5002</t>
  </si>
  <si>
    <t>Body Mist MoonLight Ariana Grande 236 ML</t>
  </si>
  <si>
    <t>COS289</t>
  </si>
  <si>
    <t>Cloud Pink Ariana Grande EDP 100 ml</t>
  </si>
  <si>
    <t>COS3925</t>
  </si>
  <si>
    <t>Moonlight By Ariana Grande Edp 30 Ml</t>
  </si>
  <si>
    <t>COS288</t>
  </si>
  <si>
    <t>Moonlight by Ariana Grande EDP 50 ml</t>
  </si>
  <si>
    <t>COS287</t>
  </si>
  <si>
    <t>Perfume Ariana Grande Cloud EDP 100 ML Tester</t>
  </si>
  <si>
    <t>COS297</t>
  </si>
  <si>
    <t>Perfume Ariana Grande God Is A Woman EDP 100 ML Mujer Tester</t>
  </si>
  <si>
    <t>COS1976</t>
  </si>
  <si>
    <t>Perfume Cherry Eclipse R.E.M. EDP 100 ml Ariana Grande</t>
  </si>
  <si>
    <t>COS6882</t>
  </si>
  <si>
    <t>Perfume Cloud Ariana Grande EDP 30 ML</t>
  </si>
  <si>
    <t>COS294</t>
  </si>
  <si>
    <t>Perfume Cloud EDP 100 ml Mujer de Ariana Grande</t>
  </si>
  <si>
    <t>ARIAN06</t>
  </si>
  <si>
    <t>Perfume Lovenotes Pink Woods EDP 125 ml Ariana Grande</t>
  </si>
  <si>
    <t>COS6005</t>
  </si>
  <si>
    <t>Perfume Wicked for Good Only In Theaters Glinda Bubbly Pink EDP 100 ml Ariana Grande</t>
  </si>
  <si>
    <t>COS6008</t>
  </si>
  <si>
    <t>Perfume Wilcked for Good Only In Theaters Elphaba Enchanted EDP 100 ml Unisex Ariana Grande</t>
  </si>
  <si>
    <t>COS6007</t>
  </si>
  <si>
    <t>Set Perfume Lovenotes Pink Woods EDP 125 ml +7.5 ml + Scented Candle 2025 Ariana Grande</t>
  </si>
  <si>
    <t>COS6006</t>
  </si>
  <si>
    <t>Armaan Luxe Essence</t>
  </si>
  <si>
    <t>Perfume Armaan Luxe Essence Elixir EDP 100 ml</t>
  </si>
  <si>
    <t>COS6839</t>
  </si>
  <si>
    <t>Perfume Armaan Luxe Essence Habibi EDP 100 ml</t>
  </si>
  <si>
    <t>COS6836</t>
  </si>
  <si>
    <t>Perfume Armaan Luxe Essence Noor EDP 100 ml</t>
  </si>
  <si>
    <t>COS6841</t>
  </si>
  <si>
    <t>Perfume Armaan Luxe Essence Yalla EDP 100 ml</t>
  </si>
  <si>
    <t>COS6843</t>
  </si>
  <si>
    <t>Armaf Club de Nuit Iconic Sterling Parfum EDP 105 ML Hombre</t>
  </si>
  <si>
    <t>COS2259</t>
  </si>
  <si>
    <t>Armaf Club de Nuit Oud I Parfum 105 ml</t>
  </si>
  <si>
    <t>COS4325</t>
  </si>
  <si>
    <t>Armaf Club Nuit Intense Edt 105 Ml Hombre</t>
  </si>
  <si>
    <t>ARMF01</t>
  </si>
  <si>
    <t>Armaf Venetian Gold Limited Edition EDP 100ml</t>
  </si>
  <si>
    <t>COS3854</t>
  </si>
  <si>
    <t>Diamant Noir Flavia EDP 100 ml</t>
  </si>
  <si>
    <t>COS4400</t>
  </si>
  <si>
    <t>Ember Flavia EDP 100 ml</t>
  </si>
  <si>
    <t>COS4399</t>
  </si>
  <si>
    <t>Perfme Odyssey Lichi Lush Gourmand Fruity Edition EDP 100 ml</t>
  </si>
  <si>
    <t>COS6866</t>
  </si>
  <si>
    <t>Perfume  Armaf All Time Classic Ironwood EDP 120 ml Unisex Just Jack 1691 .</t>
  </si>
  <si>
    <t>COS5714</t>
  </si>
  <si>
    <t>Perfume  Armaf All Time Classic Rustler EDP 120 ml Unisex Just Jack 1691</t>
  </si>
  <si>
    <t>COS5715</t>
  </si>
  <si>
    <t>Perfume Armaf All Time Classic Frontier EDP 120 ml Hombre Just Jack 1691</t>
  </si>
  <si>
    <t>COS5716</t>
  </si>
  <si>
    <t>Perfume Armaf All Time Classic Western EDP 120 ml Hombre Just Jack 1691</t>
  </si>
  <si>
    <t>COS5713</t>
  </si>
  <si>
    <t>Perfume Armaf Blue Sky EDP 105 ml Unisex</t>
  </si>
  <si>
    <t>COS5163</t>
  </si>
  <si>
    <t>Perfume Armaf Dubai Night Umbra EDP 100 ml</t>
  </si>
  <si>
    <t>COS5164</t>
  </si>
  <si>
    <t>Perfume Armaf Ego Panthera Edición Especial EDP 100 ml</t>
  </si>
  <si>
    <t>COS4878</t>
  </si>
  <si>
    <t>Perfume Armaf Exotic Parfum Women EDP for Femme 100 ml</t>
  </si>
  <si>
    <t>COS4840</t>
  </si>
  <si>
    <t>Perfume Armaf Island Bliss Delights EDP 100 ml</t>
  </si>
  <si>
    <t>COS5165</t>
  </si>
  <si>
    <t>Perfume Armaf Man Connoisseur EDP 100 ml COS5343</t>
  </si>
  <si>
    <t>COS5343</t>
  </si>
  <si>
    <t>Perfume Armaf Odyssey Dubai Chocolat Gourmand Edition EDP 100 ml</t>
  </si>
  <si>
    <t>COS4637</t>
  </si>
  <si>
    <t>Perfume Armaf Queen Check Mate EDP 100 ml</t>
  </si>
  <si>
    <t>COS4889</t>
  </si>
  <si>
    <t>Perfume Armaf Red Sky EDP 105 ml Mujer</t>
  </si>
  <si>
    <t>COS5162</t>
  </si>
  <si>
    <t>Perfume Armaf Woman Connoiisseur EDP 100 ml</t>
  </si>
  <si>
    <t>COS5345</t>
  </si>
  <si>
    <t>Perfume Beach Party EDP 100 ml Armaf</t>
  </si>
  <si>
    <t>COS5410</t>
  </si>
  <si>
    <t>Perfume Bois DOud EDP 90 ml Unisex Flavia</t>
  </si>
  <si>
    <t>COS5717</t>
  </si>
  <si>
    <t>Perfume Cherry Crush EDP 90 ml Unisex Flavia</t>
  </si>
  <si>
    <t>COS5718</t>
  </si>
  <si>
    <t>Perfume Cherry Delight EDP 90 ml Unisex Flavia</t>
  </si>
  <si>
    <t>COS5719</t>
  </si>
  <si>
    <t>Perfume Cherry Ghost EDP 90 ml Unisex Flavia</t>
  </si>
  <si>
    <t>COS5720</t>
  </si>
  <si>
    <t>Perfume Club de Nuit Bling EDP 75 ml Armaf</t>
  </si>
  <si>
    <t>COS6818</t>
  </si>
  <si>
    <t>Perfume Club de Nuit Overdose Extrait de Parfum 100 ml Armaf</t>
  </si>
  <si>
    <t>COS7062</t>
  </si>
  <si>
    <t>Perfume Club De Nuit Urban Man Elixir EDP 105 ML de Armaf</t>
  </si>
  <si>
    <t>COS2444</t>
  </si>
  <si>
    <t>Perfume Club de Nuit Woman EDP 105 ML Mujer de Armaf</t>
  </si>
  <si>
    <t>COS2266</t>
  </si>
  <si>
    <t>Perfume Club de Nuit Woman Extrait de Parfum Concentrated 70 ml Armaf</t>
  </si>
  <si>
    <t>COS6189</t>
  </si>
  <si>
    <t>Perfume Coral Flavia EDP 100 ml Flavia</t>
  </si>
  <si>
    <t>COS4398</t>
  </si>
  <si>
    <t>Perfume Lionheart Man Club de Nuit EPD 100 ml Armaf</t>
  </si>
  <si>
    <t>COS5337</t>
  </si>
  <si>
    <t>Perfume Lionheart Woman Club de Nuit EDP 100 ml Armaf</t>
  </si>
  <si>
    <t>COS5409</t>
  </si>
  <si>
    <t>Perfume Luminé EDP 100 ml Flavia</t>
  </si>
  <si>
    <t>COS4401</t>
  </si>
  <si>
    <t>Perfume Maleka Club de Nuit EDP 105 ml Armaf</t>
  </si>
  <si>
    <t>COS5413</t>
  </si>
  <si>
    <t>Perfume Odyssey Black Forest Dessert Edition EDP 100 ml Unisex Armaf</t>
  </si>
  <si>
    <t>COS6266</t>
  </si>
  <si>
    <t>Perfume Odyssey Eau de Montagne EDP 100 ml Mountain Edition Unisex Armaf</t>
  </si>
  <si>
    <t>COS5710</t>
  </si>
  <si>
    <t>Perfume Odyssey Go Mango Tropical Collection EDP 100 ml Unisex Armaf</t>
  </si>
  <si>
    <t>COS6067</t>
  </si>
  <si>
    <t>Perfume Odyssey Pink Pop Gourmand Fruity Edition EDP 100 ml</t>
  </si>
  <si>
    <t>COS6865</t>
  </si>
  <si>
    <t>Perfume Odyssey Revolution Ultra Edition EDP 100 ml Unisex Armaf</t>
  </si>
  <si>
    <t>COS5711</t>
  </si>
  <si>
    <t>Perfume Odyssey Toffee Coffee EDP 100 ml Armaf</t>
  </si>
  <si>
    <t>COS6276</t>
  </si>
  <si>
    <t>Perfume Odyssey Tyrant EDP 100 ml Hombre Edición Especial de Armaf</t>
  </si>
  <si>
    <t>COS3531</t>
  </si>
  <si>
    <t>Perfume Scentasy Matcha Magix EDP 100 ml Armaf</t>
  </si>
  <si>
    <t>COS6278</t>
  </si>
  <si>
    <t>Scentasy Noir de Peche EDP 100 ml Armaf</t>
  </si>
  <si>
    <t>COS6275</t>
  </si>
  <si>
    <t>Set Jenny Glow EDP 5pza x 30 ml (C.M.K.N.L.) pour Femme</t>
  </si>
  <si>
    <t>COS4408</t>
  </si>
  <si>
    <t>Set Jenny Glow EDP 5pza x 30 ml (C.U.S.F.A.) pour Homme</t>
  </si>
  <si>
    <t>COS4404</t>
  </si>
  <si>
    <t>Set Jenny Glow EDP 5pza x 30 ml (O.C.P.O.C.) pour Femme</t>
  </si>
  <si>
    <t>COS4407</t>
  </si>
  <si>
    <t>Set Jenny Glow EDP 5pza x 30 ml (S.C.O.C.V.) pour Femme</t>
  </si>
  <si>
    <t>COS4405</t>
  </si>
  <si>
    <t>Set Jenny Glow EDP 5pza x 30 ml (U.O.F.B.B.) pour Femme COS4406</t>
  </si>
  <si>
    <t>COS4406</t>
  </si>
  <si>
    <t>Set Just Jack  And  Jenny Glow Gift 2 x 100ml Hombre y Mujer</t>
  </si>
  <si>
    <t>COS4403</t>
  </si>
  <si>
    <t>Set Perfume Club de Nuit Untold EDP 105 ml + Body Spray 50 ml + Deo 75g. + BL 100 ml Armaf</t>
  </si>
  <si>
    <t>COS6821</t>
  </si>
  <si>
    <t>Asdaaf</t>
  </si>
  <si>
    <t>Asdaaf Ameer Al Arab Imperium EDP 100 ml</t>
  </si>
  <si>
    <t>COS4005</t>
  </si>
  <si>
    <t>Asdaaf Ameerat Al Arab Prive Rose EDP 100 ML</t>
  </si>
  <si>
    <t>COS2405</t>
  </si>
  <si>
    <t>Perfume Ameerat Al Arab All Over Spray 150 ml Asdaaf</t>
  </si>
  <si>
    <t>COS6228</t>
  </si>
  <si>
    <t>Perfume Atlantis (Coral) EDP 100 ml Mujer de Asdaaf</t>
  </si>
  <si>
    <t>COS4002</t>
  </si>
  <si>
    <t>Perfume Badria EDP 100 ml Asdaaf</t>
  </si>
  <si>
    <t>COS5975</t>
  </si>
  <si>
    <t>Perfume Fouad EDP 100 ml Hombre de Asdaaf</t>
  </si>
  <si>
    <t>COS5514</t>
  </si>
  <si>
    <t>Perfume Qarar EDP 80 ml Hombre Asdaaf</t>
  </si>
  <si>
    <t>COS5668</t>
  </si>
  <si>
    <t>Perfume Reem EDP 100 ml de Asdaaf</t>
  </si>
  <si>
    <t>COS5616</t>
  </si>
  <si>
    <t>Athoor al Alam</t>
  </si>
  <si>
    <t>Perfume Moonlit Night Theone And Only EDP 100 ml Athoor al Alam</t>
  </si>
  <si>
    <t>COS6350</t>
  </si>
  <si>
    <t>Attri</t>
  </si>
  <si>
    <t>Perfume Onootha EDP 100 ml Attri .</t>
  </si>
  <si>
    <t>COS6474</t>
  </si>
  <si>
    <t>AURAA</t>
  </si>
  <si>
    <t>Auraa Desire Foresight Extrait De Parfum 100 ml. Unisex</t>
  </si>
  <si>
    <t>COS3456</t>
  </si>
  <si>
    <t>Azzaro Sport EDT 100 ml</t>
  </si>
  <si>
    <t>COS4330</t>
  </si>
  <si>
    <t>Azzaro The Most Wanted EDT Intense 100ml</t>
  </si>
  <si>
    <t>COS4065</t>
  </si>
  <si>
    <t>Azzaro The Most Wanted EDT Intense 50 ml</t>
  </si>
  <si>
    <t>COS4369</t>
  </si>
  <si>
    <t>Perfume Azzaro Forever Wanted Absolu Parfum 100 ml</t>
  </si>
  <si>
    <t>COS6787</t>
  </si>
  <si>
    <t>Perfume Azzaro Wanted EDP 50ml. Hombre</t>
  </si>
  <si>
    <t>COS3721</t>
  </si>
  <si>
    <t>Perfume Forever Wanted Elixir 150 ml de Azzaro</t>
  </si>
  <si>
    <t>COS6962</t>
  </si>
  <si>
    <t>Perfume The Most Wanted EDP Intense 50 ml Hombre de Azzaro</t>
  </si>
  <si>
    <t>COS3607</t>
  </si>
  <si>
    <t>Benetton</t>
  </si>
  <si>
    <t>Set Benetton Sisterland Red Rose EDT 80ml + Body Lotion 75ml</t>
  </si>
  <si>
    <t>COS3961</t>
  </si>
  <si>
    <t>Set Perfume Colors Woman Rose EDT 80 ml + Body Lotion 75 ml Benetton</t>
  </si>
  <si>
    <t>COS7099</t>
  </si>
  <si>
    <t>Set Perfume Forever Green Him EDT 100 ml + Mini 10 ml Benetton</t>
  </si>
  <si>
    <t>COS7098</t>
  </si>
  <si>
    <t>Bentley</t>
  </si>
  <si>
    <t>Perfume Bentley for Men SilverLake EDP 100 ml</t>
  </si>
  <si>
    <t>COS5032</t>
  </si>
  <si>
    <t>Billie Eilish</t>
  </si>
  <si>
    <t>Eilish No. 2 Eau de Parfum 100 ml Billie Eilish</t>
  </si>
  <si>
    <t>COS2967</t>
  </si>
  <si>
    <t>Perfume Eilish Billie Eilish EDP 100 ml Mujer</t>
  </si>
  <si>
    <t>COS2636</t>
  </si>
  <si>
    <t>Perfume Your Turn II EDP 100 ml Billie Eilish</t>
  </si>
  <si>
    <t>COS7253</t>
  </si>
  <si>
    <t>Set Perfume Eilish N°2 Billie Eilish EDP 30 ml + Mini</t>
  </si>
  <si>
    <t>COS7252</t>
  </si>
  <si>
    <t>Boucheron</t>
  </si>
  <si>
    <t>Perfume Boucheron Serpent Boheme EDP 90 ml TESTER</t>
  </si>
  <si>
    <t>COS5000</t>
  </si>
  <si>
    <t>Burberry</t>
  </si>
  <si>
    <t>BRIT FOR HIM EDT 100ML</t>
  </si>
  <si>
    <t>COS65</t>
  </si>
  <si>
    <t>Burberry Goddess EDP 100ml. Mujer</t>
  </si>
  <si>
    <t>COS3726</t>
  </si>
  <si>
    <t>Burberry Goddess EDP Intense 100ml. Mujer</t>
  </si>
  <si>
    <t>COS4066</t>
  </si>
  <si>
    <t>Burberry Her Edp 50Ml Mujer</t>
  </si>
  <si>
    <t>BUR30</t>
  </si>
  <si>
    <t>Burberry Hero by Burberry EDP 100 ML Hombre</t>
  </si>
  <si>
    <t>COS1874</t>
  </si>
  <si>
    <t>Burberry My Burberry Black 90 Ml Parfum Mujer</t>
  </si>
  <si>
    <t>COS3167</t>
  </si>
  <si>
    <t>Perfume Burberry Her EDP 100 ml</t>
  </si>
  <si>
    <t>COS1872</t>
  </si>
  <si>
    <t>Perfume Burberry Her EDP Intense 100 ml</t>
  </si>
  <si>
    <t>COS4966</t>
  </si>
  <si>
    <t>Bvlgari</t>
  </si>
  <si>
    <t>Bvlgari Allegra Magnifying Rose EDP 40 ML Mujer</t>
  </si>
  <si>
    <t>COS1965</t>
  </si>
  <si>
    <t>Cacharel</t>
  </si>
  <si>
    <t>Cacharel Noa Edt 30ml Mujer COS2531</t>
  </si>
  <si>
    <t>COS2531</t>
  </si>
  <si>
    <t>Perfume Amor Amor Cacharel EDP 30 ml</t>
  </si>
  <si>
    <t>COS5093</t>
  </si>
  <si>
    <t>Perfume Amor Amor EDT 100 ml Cacharel</t>
  </si>
  <si>
    <t>CACH2</t>
  </si>
  <si>
    <t>Perfume Amor Amor EDT 50 ml Cacharel</t>
  </si>
  <si>
    <t>COS1388</t>
  </si>
  <si>
    <t>Perfume Anais Anais LOriginal EDT 30 ml Cacharel</t>
  </si>
  <si>
    <t>COS1906</t>
  </si>
  <si>
    <t>Perfume Cacharel Amor Amor EDP 100 ml Mujer</t>
  </si>
  <si>
    <t>COS4370</t>
  </si>
  <si>
    <t>Perfume Yes I Am Bloom up! EDP 30 ml Cacharel</t>
  </si>
  <si>
    <t>COS7079</t>
  </si>
  <si>
    <t>CK In 2 U EDT Hombre 150ml</t>
  </si>
  <si>
    <t>CAL47</t>
  </si>
  <si>
    <t>Eternity Moment 100ML EDP Mujer Calvin Klein</t>
  </si>
  <si>
    <t>CAL12</t>
  </si>
  <si>
    <t>Perfume Calvin Klein CK Every One EDT 50 ml Unisex</t>
  </si>
  <si>
    <t>COS6549</t>
  </si>
  <si>
    <t>Perfume Euphoria Magnetic Bold Elixir Parfum Intense 100 ml Calvin Klein</t>
  </si>
  <si>
    <t>COS7081</t>
  </si>
  <si>
    <t>Perfume Euphoria Men EDT 50 ml Hombre Calvin Klein</t>
  </si>
  <si>
    <t>COS6271</t>
  </si>
  <si>
    <t>Perfume Euphoria Solar Elixir Parfum Intense 100 ml Calvin Klein</t>
  </si>
  <si>
    <t>COS7082</t>
  </si>
  <si>
    <t>Perfume Viva Love Ck One Essence Parfum Intense 100 ml Calvin Klein .</t>
  </si>
  <si>
    <t>COS6895</t>
  </si>
  <si>
    <t>212 NYC EDT 100ML MUJER</t>
  </si>
  <si>
    <t>CARO33</t>
  </si>
  <si>
    <t>212 VIP Men 100ML EDT Hombre Carolina Herrera</t>
  </si>
  <si>
    <t>PDL1158</t>
  </si>
  <si>
    <t>212 Vip Rose EDP Mujer 80 ml</t>
  </si>
  <si>
    <t>CARO23</t>
  </si>
  <si>
    <t>Bad Boy EDT Hombre 100ml</t>
  </si>
  <si>
    <t>CARO24</t>
  </si>
  <si>
    <t>Carolina Herrera 212 Men EDT 50 ML COS1345</t>
  </si>
  <si>
    <t>COS1345</t>
  </si>
  <si>
    <t>Carolina Herrera BAD BOY COBALT EDP ÉLECTRIQUE 100 ML COS1466</t>
  </si>
  <si>
    <t>COS1466</t>
  </si>
  <si>
    <t>Carolina Herrera Bad Boy EDP Extreme 150 ml</t>
  </si>
  <si>
    <t>COS3981</t>
  </si>
  <si>
    <t>Carolina Herrera Bad Boy EDT 150ml Refillable - Recargable</t>
  </si>
  <si>
    <t>COS4101</t>
  </si>
  <si>
    <t>Carolina Herrera CH Pasión EDP 100 ml</t>
  </si>
  <si>
    <t>COS3797</t>
  </si>
  <si>
    <t>Carolina Herrera Good Girl Blush EDP 80ml</t>
  </si>
  <si>
    <t>COS4100</t>
  </si>
  <si>
    <t>CH Insignia Leather EDP 100 ml + Body Lotion 100 ml + Mini 10 ml. Carolina Herrera</t>
  </si>
  <si>
    <t>COS3521</t>
  </si>
  <si>
    <t>CH Mujer EDT 100 ML Carolina Herrera</t>
  </si>
  <si>
    <t>PDL1146</t>
  </si>
  <si>
    <t>Perfume 212 Vip Black NYC Elixir 50ml Carolina Herrera</t>
  </si>
  <si>
    <t>COS6608</t>
  </si>
  <si>
    <t>Perfume Bad Boy EDT 200 ml Carolina Herrera Refill</t>
  </si>
  <si>
    <t>Perfume Carolina Herrera Bad Boy Cobalt Elixir EDP 150 ML Hombre</t>
  </si>
  <si>
    <t>COS5278</t>
  </si>
  <si>
    <t>Perfume Carolina Herrera BAD BOY Le Parfum EDP 150 ml</t>
  </si>
  <si>
    <t>COS1509</t>
  </si>
  <si>
    <t>Perfume Carolina Herrera Good Girl Blush EDP 30 ML Mujer</t>
  </si>
  <si>
    <t>COS5277</t>
  </si>
  <si>
    <t>Perfume Carolina Herrera Good Girl EDP  50ML</t>
  </si>
  <si>
    <t>COS180</t>
  </si>
  <si>
    <t>Perfume Carolina Herrera Good Girl EDP 80 ML</t>
  </si>
  <si>
    <t>pdl1136</t>
  </si>
  <si>
    <t>Perfume La Bomba EDP 30 ml Mujer de Carolina Herrera</t>
  </si>
  <si>
    <t>COS5774</t>
  </si>
  <si>
    <t>Perfume La Bomba EDP 50 ml Refillable Carolina Herrera</t>
  </si>
  <si>
    <t>COS6245</t>
  </si>
  <si>
    <t>Set Perfume Bab Boy EDT 100 ml + Mini 10 ml + Gel de Ducha 100 ml Carolina Herrera 2026</t>
  </si>
  <si>
    <t>COS6913</t>
  </si>
  <si>
    <t>Set Perfume Bad Boy Elixir 100 ml + Mini 10 ml + Gel de Ducha 100 ml de Carolina Herrera 2025</t>
  </si>
  <si>
    <t>COS5596</t>
  </si>
  <si>
    <t>Carrera</t>
  </si>
  <si>
    <t>Carrera N° 1 Donna EDP 125 ML Mujer</t>
  </si>
  <si>
    <t>COS1952</t>
  </si>
  <si>
    <t>Perfume Baiser Volé EDP 100 ml Cartier TESTER</t>
  </si>
  <si>
    <t>COS7243</t>
  </si>
  <si>
    <t>Perfume Cartier Pasha 100 ML Parfum Hombre</t>
  </si>
  <si>
    <t>COS5291</t>
  </si>
  <si>
    <t>Clinique</t>
  </si>
  <si>
    <t>Clinique Happy For Men 100ML EDT Hombre Clinique CLINIQ01</t>
  </si>
  <si>
    <t>CLINIQ01</t>
  </si>
  <si>
    <t>Clinique Happy For Men 100ML EDT Hombre Clinique TESTER</t>
  </si>
  <si>
    <t>COS2576</t>
  </si>
  <si>
    <t>Clinique Happy For Men 50ml EDT Hombre Clinique TESTER</t>
  </si>
  <si>
    <t>COS6959</t>
  </si>
  <si>
    <t>Clinique Happy Parfum 100 ML Mujer CLINIQ03</t>
  </si>
  <si>
    <t>CLINIQ03</t>
  </si>
  <si>
    <t>Clinique Happy Parfum 100 ml TESTER</t>
  </si>
  <si>
    <t>COS2625</t>
  </si>
  <si>
    <t>Coach Dreams Sunset EDP 90 ml Mujer TESTER</t>
  </si>
  <si>
    <t>COS3899</t>
  </si>
  <si>
    <t>Coach Dreams Women EDP 90 ML Mujer TESTER</t>
  </si>
  <si>
    <t>COS1326</t>
  </si>
  <si>
    <t>coach dreams women edp 90ml</t>
  </si>
  <si>
    <t>COS394</t>
  </si>
  <si>
    <t>COACH FOR MEN EDT 100ML</t>
  </si>
  <si>
    <t>COAC5</t>
  </si>
  <si>
    <t>COACH FOR MEN EDT 100ML TESTER</t>
  </si>
  <si>
    <t>COS1004</t>
  </si>
  <si>
    <t>Perfume Coach DreaMS Moonlight Coach TESTER</t>
  </si>
  <si>
    <t>COS6984</t>
  </si>
  <si>
    <t>Perfume Coach Dreams Moonlight EDP 90 ml Coach Mujer</t>
  </si>
  <si>
    <t>COS5010</t>
  </si>
  <si>
    <t>Perfume Coach Dreams Sunset EDP 90 ml Mujer</t>
  </si>
  <si>
    <t>COS4590</t>
  </si>
  <si>
    <t>Perfume Coach Love EDP 90 ml Mujer</t>
  </si>
  <si>
    <t>COS4591</t>
  </si>
  <si>
    <t>Perfume Coach New York Cherry Parfum 90 ml MUJER</t>
  </si>
  <si>
    <t>COS6988</t>
  </si>
  <si>
    <t>Perfume Coach New York Gold Parfum 90 ml</t>
  </si>
  <si>
    <t>COS6303</t>
  </si>
  <si>
    <t>Perfume Coach New York Gold Parfum 90 ml TESTER</t>
  </si>
  <si>
    <t>COS6985</t>
  </si>
  <si>
    <t>Perfume Coach New York Pure Platinum Parfum 100 ml Hombre</t>
  </si>
  <si>
    <t>COS6989</t>
  </si>
  <si>
    <t>Perfume Coach Open Road Coach Hombre TESTER .</t>
  </si>
  <si>
    <t>COS5823</t>
  </si>
  <si>
    <t>Davidoff</t>
  </si>
  <si>
    <t>Perfume Cool Water EDT 30 ml Mujer Davidoff</t>
  </si>
  <si>
    <t>COS6268</t>
  </si>
  <si>
    <t>Perfume Davidoff Cool Water Sea Rose Woman EDT 100 ml Sin Celofán</t>
  </si>
  <si>
    <t>COS7084</t>
  </si>
  <si>
    <t>Set Perfume Davidoff Women EDT 100 ml + Shower Gel 75 ml + Body Lotion 75 ml</t>
  </si>
  <si>
    <t>COS7049</t>
  </si>
  <si>
    <t>Diesel</t>
  </si>
  <si>
    <t>Only The Brave Diesel EDT 35 ml</t>
  </si>
  <si>
    <t>COS409</t>
  </si>
  <si>
    <t>Perfume Diesel Red Le Parfum 30 ml</t>
  </si>
  <si>
    <t>COS7078</t>
  </si>
  <si>
    <t>Set Perfume D by Diesel for Successful Living EDT 100 ml + Gel de Ducha 2x75 ml 2023</t>
  </si>
  <si>
    <t>COS6061</t>
  </si>
  <si>
    <t>DKNY</t>
  </si>
  <si>
    <t>DKNY Be Delicious Body Mist 250ml. Mujer</t>
  </si>
  <si>
    <t>COS3830</t>
  </si>
  <si>
    <t>DKNY Be Delicious Golden Delicious Body Mist 250ml. Mujer</t>
  </si>
  <si>
    <t>COS4008</t>
  </si>
  <si>
    <t>Dolce  And  Gabbana The One for Men EDP 100 ml</t>
  </si>
  <si>
    <t>COS737</t>
  </si>
  <si>
    <t>Dolce  And  Gabbana The One Pour Homme EDP 150ml</t>
  </si>
  <si>
    <t>COS4012</t>
  </si>
  <si>
    <t>Perfume Devotion EDP 100 + Shower Gel 50 ml + Body Lotion 50 ml Dolce  And  Gabbana</t>
  </si>
  <si>
    <t>COS6961</t>
  </si>
  <si>
    <t>Perfume Devotion Male pour Homme EDP 100 ml Dolce  And  Gabbana</t>
  </si>
  <si>
    <t>COS5028</t>
  </si>
  <si>
    <t>Perfume Light Blue Capri in Love EDP 100 ml Dolce  And  Gabbana TESTER</t>
  </si>
  <si>
    <t>COS5992</t>
  </si>
  <si>
    <t>Perfume Light Blue Capri in Love EDP 100 ml Mujer Dolce  And  Gabbana</t>
  </si>
  <si>
    <t>COS6045</t>
  </si>
  <si>
    <t>Perfume Light Blue Capri in Love pour Homme EDP 100 ml Dolce  And  Gabbana</t>
  </si>
  <si>
    <t>COS6046</t>
  </si>
  <si>
    <t>Perfume Light Blue Capri in Love pour Homme EDP 100 ml Dolce  And  Gabbana TESTER</t>
  </si>
  <si>
    <t>COS5991</t>
  </si>
  <si>
    <t>Perfume New Light Blue EDT 100 ml Dolce  And  Gabbana TESTER</t>
  </si>
  <si>
    <t>COS5405</t>
  </si>
  <si>
    <t>Perfume New Light Blue pour Homme EDT 100 ml Dolce  And  Gabbana TESTER</t>
  </si>
  <si>
    <t>COS5406</t>
  </si>
  <si>
    <t>Perfume The One Gold 75ML EDP Intense Mujer Tester de Dolce  And  Gabbana</t>
  </si>
  <si>
    <t>COS3729</t>
  </si>
  <si>
    <t>Set Perfume Blue Jasmine EDP 75 ml + Mini 10 ml Mujer de Dolce  And  Gabbana</t>
  </si>
  <si>
    <t>COS5518</t>
  </si>
  <si>
    <t>Set Perfume Devotion EDP 100 ml + SG 50 ml + Body Lotion 50 ml Mujer de Dolce  And  Gabbana</t>
  </si>
  <si>
    <t>COS5517</t>
  </si>
  <si>
    <t>Set Perfume Devotion EDP 50 ml + Mini 10 ml Mujer de Dolce  And  Gabbana</t>
  </si>
  <si>
    <t>COS5516</t>
  </si>
  <si>
    <t>Set Perfume Devotion EDP Intense 100 ml + Mini 10 ml Dolce  And  Gabbana</t>
  </si>
  <si>
    <t>COS6949</t>
  </si>
  <si>
    <t>Set Perfume Light Blue pour Homme EDT 50 ml + Mini 10 ml Dolce  And  Gabbana</t>
  </si>
  <si>
    <t>COS7257</t>
  </si>
  <si>
    <t>Set Perfume Q EDP 100 ml + Shower Gel 50 ml + Body Lotion 50 ml Dolce  And  Gabbana</t>
  </si>
  <si>
    <t>COS7256</t>
  </si>
  <si>
    <t>Set Perfume Q EDP Intense 100 ml + Mini 10 ml Dolce  And  Gabbana</t>
  </si>
  <si>
    <t>COS7255</t>
  </si>
  <si>
    <t>Set Perfume Q Parfum 100 ml + Mini EDP 10 ml Dolce  And  Gabbana</t>
  </si>
  <si>
    <t>COS7254</t>
  </si>
  <si>
    <t>Dumont</t>
  </si>
  <si>
    <t>Body Splash Nitro pour Homme Black 250 ml Dumont</t>
  </si>
  <si>
    <t>COS6557</t>
  </si>
  <si>
    <t>Nitro Pour Homme Black EDP 100 ML .</t>
  </si>
  <si>
    <t>COS2090</t>
  </si>
  <si>
    <t>Nitro Pour Homme Green EDP 100 ML .</t>
  </si>
  <si>
    <t>COS2091</t>
  </si>
  <si>
    <t>Nitro Pour Homme Red EDP 100 ML</t>
  </si>
  <si>
    <t>COS2092</t>
  </si>
  <si>
    <t>Perfume Laxia EDP pour Femme 100 ml Dumont</t>
  </si>
  <si>
    <t>COS6553</t>
  </si>
  <si>
    <t>Elite Risala of Armaf</t>
  </si>
  <si>
    <t>Perfume  Vittorio Milano EDP 100 ml Elite Risala of Armaf</t>
  </si>
  <si>
    <t>COS5224</t>
  </si>
  <si>
    <t>Perfume Amalia Exquisite EDP 100 ml Elite Risala of Armaf</t>
  </si>
  <si>
    <t>COS6828</t>
  </si>
  <si>
    <t>Perfume Aroosat Al Arab EDP 100 ml Elite Risala of Armaf</t>
  </si>
  <si>
    <t>COS5219</t>
  </si>
  <si>
    <t>Perfume Aroosat Al Gharb EDP 100 ml Elite Risala of Armaf</t>
  </si>
  <si>
    <t>COS5215</t>
  </si>
  <si>
    <t>Perfume Aura Musk EDP 100 ml Elite Risala of Armaf</t>
  </si>
  <si>
    <t>COS6119</t>
  </si>
  <si>
    <t>Perfume Burj Blanc EDP 100 ml Elite Risala of Armaf</t>
  </si>
  <si>
    <t>COS5180</t>
  </si>
  <si>
    <t>Perfume Burj Noir EDP 100 ml Elite Risala of Armaf</t>
  </si>
  <si>
    <t>COS5191</t>
  </si>
  <si>
    <t>Perfume Eleganzia Bleu EDP 100 ml Hombre Elite Risala of Armaf</t>
  </si>
  <si>
    <t>COS5195</t>
  </si>
  <si>
    <t>Perfume Eleganzia Pure EDP 100 ml Elite Risala of Armaf COS5204</t>
  </si>
  <si>
    <t>COS5204</t>
  </si>
  <si>
    <t>Perfume Empire Arza EDP 100 ml Elite Risala of Armaf</t>
  </si>
  <si>
    <t>COS5227</t>
  </si>
  <si>
    <t>Perfume Empire Najm EDP 100 ml Hombre Elite Risala of Armaf</t>
  </si>
  <si>
    <t>COS5211</t>
  </si>
  <si>
    <t>Perfume Epic Mirage EDP 100 ml Elite Risala of Armaf</t>
  </si>
  <si>
    <t>COS5186</t>
  </si>
  <si>
    <t>Perfume Epic Onyx EDP 100 ml Elite Risala of Armaf</t>
  </si>
  <si>
    <t>COS5226</t>
  </si>
  <si>
    <t>Perfume Fantasy Him EDP 100 ml Elite Risala of Armaf</t>
  </si>
  <si>
    <t>COS5178</t>
  </si>
  <si>
    <t>Perfume Fayruz EDP 100 ml Elite Risala of Armaf</t>
  </si>
  <si>
    <t>COS6118</t>
  </si>
  <si>
    <t>Perfume Fragaby 1 EDP 100 ml Elite Risala of Armaf</t>
  </si>
  <si>
    <t>COS6407</t>
  </si>
  <si>
    <t>Perfume Genesis Alpha EDP 100 ml Elite Risala of Armaf</t>
  </si>
  <si>
    <t>COS6114</t>
  </si>
  <si>
    <t>Perfume Genesis Omega EDP 100 ml Elite Risala of Armaf</t>
  </si>
  <si>
    <t>COS6116</t>
  </si>
  <si>
    <t>Perfume Hafla Music EDP 200 ml Unisex Elite Risala of Armaf</t>
  </si>
  <si>
    <t>COS5169</t>
  </si>
  <si>
    <t>Perfume Hafla Night EDP 200 ml Elite Risala of Armaf COS5190</t>
  </si>
  <si>
    <t>COS5190</t>
  </si>
  <si>
    <t>Perfume Haris Al-Bahar EDP 100 ml Elite Risala of Armaf COS5212</t>
  </si>
  <si>
    <t>COS5212</t>
  </si>
  <si>
    <t>Perfume Haris Al-Qamar EDP 100 ml Elite Risala of Armaf</t>
  </si>
  <si>
    <t>COS5220</t>
  </si>
  <si>
    <t>Perfume Hikmah of Life EDP 100 ml Elite Risala of Armaf</t>
  </si>
  <si>
    <t>COS5177</t>
  </si>
  <si>
    <t>Perfume Hikmah of Life Intense EDP 100 ml Elite Risala of Armaf</t>
  </si>
  <si>
    <t>COS6824</t>
  </si>
  <si>
    <t>Perfume Hikmah of Love EDP 100 ml Mujer Elite Risala of Armaf</t>
  </si>
  <si>
    <t>COS5210</t>
  </si>
  <si>
    <t>Perfume Honor Ciel EDP 100 ml Unisex Elite Risala of Armaf</t>
  </si>
  <si>
    <t>COS5202</t>
  </si>
  <si>
    <t>Perfume Honor Royal EDP 100 ml Elite Risala of Armaf</t>
  </si>
  <si>
    <t>COS5206</t>
  </si>
  <si>
    <t>Perfume Khazna Kohinor EDP 100 ml Elite Risala of Armaf</t>
  </si>
  <si>
    <t>COS5184</t>
  </si>
  <si>
    <t>Perfume Khazna Najmat Africa EDP 100 ml Mujer Elite Risala of Armaf</t>
  </si>
  <si>
    <t>COS5175</t>
  </si>
  <si>
    <t>Perfume Muluki EDP 100 ml Mujer Elite Risala of Armaf</t>
  </si>
  <si>
    <t>COS6128</t>
  </si>
  <si>
    <t>Perfume Muluki Extreme EDP 100 ml Elite Risala of Armaf</t>
  </si>
  <si>
    <t>COS6113</t>
  </si>
  <si>
    <t>Perfume QASR Majestic EDP 100 ml Elite Risala of Armaf</t>
  </si>
  <si>
    <t>COS5185</t>
  </si>
  <si>
    <t>Perfume Qasr Royal EDP 100 ml Elite Risala of Armaf</t>
  </si>
  <si>
    <t>COS5194</t>
  </si>
  <si>
    <t>Perfume Tayf Al Hub EDP 150 ml Elite Risala of Armaf</t>
  </si>
  <si>
    <t>COS5181</t>
  </si>
  <si>
    <t>Perfume Vittorio Monaco EDP 100 ml Hombre Elite Risala of Armaf</t>
  </si>
  <si>
    <t>COS5174</t>
  </si>
  <si>
    <t>Perfume Yaqoot EDP 100 ml Elite Risala of Armaf</t>
  </si>
  <si>
    <t>COS6117</t>
  </si>
  <si>
    <t>Perfume Genius Candylicious EDP 100 ml Emper</t>
  </si>
  <si>
    <t>COS7234</t>
  </si>
  <si>
    <t>Perfume Genius Event EDP 100 ml Emper</t>
  </si>
  <si>
    <t>COS7186</t>
  </si>
  <si>
    <t>Perfume Genius King of Fire EDP 100 ml Emper</t>
  </si>
  <si>
    <t>COS7210</t>
  </si>
  <si>
    <t>Perfume Genius Lover EDP 100 ml Emper</t>
  </si>
  <si>
    <t>COS7209</t>
  </si>
  <si>
    <t>Perfume Genius Melodies EDP 100 ml Emper</t>
  </si>
  <si>
    <t>COS7237</t>
  </si>
  <si>
    <t>Perfume Genius Oud Mystique EDP 100 ml Emper</t>
  </si>
  <si>
    <t>COS7188</t>
  </si>
  <si>
    <t>Perfume Genius Perfection EDP 100 ml Emper</t>
  </si>
  <si>
    <t>COS7238</t>
  </si>
  <si>
    <t>Perfume Genius Selina EDP 100 ml Emper</t>
  </si>
  <si>
    <t>COS7220</t>
  </si>
  <si>
    <t>Perfume Genius Sport Code EDP 100 ml Emper</t>
  </si>
  <si>
    <t>COS7218</t>
  </si>
  <si>
    <t>Perfume Genius Vesper EDP 100 ml Emper</t>
  </si>
  <si>
    <t>COS7187</t>
  </si>
  <si>
    <t>Perfume Lady Presidente Queen Of Fire EDP 80 ml Emper</t>
  </si>
  <si>
    <t>COS7190</t>
  </si>
  <si>
    <t>Perfume Masterpiece Ambre Musc EDP 100 ml Emper</t>
  </si>
  <si>
    <t>COS7192</t>
  </si>
  <si>
    <t>Perfume Masterpiece Safran Mandarin EDP 100 ml Emper</t>
  </si>
  <si>
    <t>COS7191</t>
  </si>
  <si>
    <t>Perfume So Genius EDP 100 ml Emper</t>
  </si>
  <si>
    <t>COS7219</t>
  </si>
  <si>
    <t>Perfume Tool Box EDT 100 ml Emper</t>
  </si>
  <si>
    <t>COS7235</t>
  </si>
  <si>
    <t>Perfume Tool Box Silver EDP 100 ml Emper</t>
  </si>
  <si>
    <t>COS7221</t>
  </si>
  <si>
    <t>Perfume Tool Box Violet Dreams EDP 100 ml Emper</t>
  </si>
  <si>
    <t>COS7236</t>
  </si>
  <si>
    <t>Set Perfume Blue Stallion By Stallion 53 EDP 100 ml + Mini 20 ml Emper</t>
  </si>
  <si>
    <t>COS7230</t>
  </si>
  <si>
    <t>Set Perfume Cloud Blue By Stallion 53 EDP 100 ml + Mini 20 ml Emper</t>
  </si>
  <si>
    <t>COS7232</t>
  </si>
  <si>
    <t>Set Perfume Imperial By Stallion 53 EDP 100 ml + Mini 20 ml Emper</t>
  </si>
  <si>
    <t>COS7231</t>
  </si>
  <si>
    <t>Set Perfume Own Your Inspiration EDP 100 ml + Mini 15 ml Emper</t>
  </si>
  <si>
    <t>COS7208</t>
  </si>
  <si>
    <t>Set Perfume Paradise By Stallion 53 EDP 100 ml + Mini 20 ml Emper</t>
  </si>
  <si>
    <t>COS7233</t>
  </si>
  <si>
    <t>Set Perfume Phantom My Hero In Las Vegas EDP 100 ml + Extra Mini 20 ml Emper</t>
  </si>
  <si>
    <t>COS7223</t>
  </si>
  <si>
    <t>Set Perfume Phantom My Hero in Miami EDP 100 ml + Extra Mini 20 ml Emper</t>
  </si>
  <si>
    <t>COS7224</t>
  </si>
  <si>
    <t>Set Perfume Phantom My Hero in New York EDP 100 ml + Extra Mini 20 ml Emper</t>
  </si>
  <si>
    <t>COS7222</t>
  </si>
  <si>
    <t>Emporio Armani</t>
  </si>
  <si>
    <t>Perfume Stronger With You Parfum pour Homme 100 ml Emporio Armani</t>
  </si>
  <si>
    <t>COS5584</t>
  </si>
  <si>
    <t>Escada</t>
  </si>
  <si>
    <t>Escada Brisa Cubana Escaping With Limited Edition EDT 100 ml</t>
  </si>
  <si>
    <t>COS4295</t>
  </si>
  <si>
    <t>Escada Sentiment Pour Homme EDT 100 ml</t>
  </si>
  <si>
    <t>COS2781</t>
  </si>
  <si>
    <t>Estee Lauder</t>
  </si>
  <si>
    <t>Estée Lauder Pleasure For Men Cologne 100 Ml COS3728</t>
  </si>
  <si>
    <t>COS3728</t>
  </si>
  <si>
    <t>Flavia</t>
  </si>
  <si>
    <t>Perfume Black Gold EDP 100 ml Flavia</t>
  </si>
  <si>
    <t>COS6849</t>
  </si>
  <si>
    <t>Perfume Célestc Oasis EDP 100 ml Unisex Flavia</t>
  </si>
  <si>
    <t>COS5707</t>
  </si>
  <si>
    <t>Perfume Cloud Kiss EDP 100 ml Flavia</t>
  </si>
  <si>
    <t>COS6858</t>
  </si>
  <si>
    <t>Perfume Éclat de Rosier EDP 90 ml Unisex Flavia</t>
  </si>
  <si>
    <t>COS5699</t>
  </si>
  <si>
    <t>Perfume Élan EDP 100 ml Flavia</t>
  </si>
  <si>
    <t>COS6853</t>
  </si>
  <si>
    <t>Perfume Flavia Top Gun Golden Bullet EDP 100 ml</t>
  </si>
  <si>
    <t>COS4859</t>
  </si>
  <si>
    <t>Perfume Flavia Top Gun Red Heat EDP 100 ml</t>
  </si>
  <si>
    <t>COS4888</t>
  </si>
  <si>
    <t>Perfume Jade pour Homme EDP 100 ml Flavia</t>
  </si>
  <si>
    <t>COS6847</t>
  </si>
  <si>
    <t>Perfume Légende Parfum 100 ml Flavia</t>
  </si>
  <si>
    <t>COS6846</t>
  </si>
  <si>
    <t>Perfume Luxeau EDP 100 ml Flavia</t>
  </si>
  <si>
    <t>COS6854</t>
  </si>
  <si>
    <t>Perfume Lyft EDP pour Homme 100 ml Flavia</t>
  </si>
  <si>
    <t>COS5708</t>
  </si>
  <si>
    <t>Perfume Musk Collection Midnight Berry Musk EDP 100 ml</t>
  </si>
  <si>
    <t>COS6861</t>
  </si>
  <si>
    <t>Perfume Musk Collection Petal Musk EDP 100 ml Flavia</t>
  </si>
  <si>
    <t>COS6860</t>
  </si>
  <si>
    <t>Perfume Musk Collection Scarlet Musk EDP 100 ml Flavia</t>
  </si>
  <si>
    <t>COS6859</t>
  </si>
  <si>
    <t>Perfume Musk Collection Vanilla Temptation Musk EDP 100 ml</t>
  </si>
  <si>
    <t>COS6862</t>
  </si>
  <si>
    <t>Perfume Noir Cuir EDP 90 ml Unisex Flavia</t>
  </si>
  <si>
    <t>COS5700</t>
  </si>
  <si>
    <t>Perfume Noir Orchidée EDP 90 ml Unisex Flavia</t>
  </si>
  <si>
    <t>COS5701</t>
  </si>
  <si>
    <t>Perfume Oasis de Néroli EDP 90 ml Unisex Flavia</t>
  </si>
  <si>
    <t>COS5702</t>
  </si>
  <si>
    <t>Perfume Opale Rosé EDP 100 ml Flavia</t>
  </si>
  <si>
    <t>COS6855</t>
  </si>
  <si>
    <t>Perfume Opale Sombre EDP 100 ml Flavia</t>
  </si>
  <si>
    <t>COS6856</t>
  </si>
  <si>
    <t>Perfume Riviera Néroli EDP 90 ml Unisex Flavia</t>
  </si>
  <si>
    <t>COS5705</t>
  </si>
  <si>
    <t>Perfume Tangy Cherry EDP 90 ml Unisex Flavia</t>
  </si>
  <si>
    <t>COS5703</t>
  </si>
  <si>
    <t>Perfume Tuscan Essence EDP 90 ml Unisex Flavia</t>
  </si>
  <si>
    <t>COS5704</t>
  </si>
  <si>
    <t>Perfume Vcloud Glow EDP 100 ml Flavia</t>
  </si>
  <si>
    <t>COS6857</t>
  </si>
  <si>
    <t>Perfume Viva Roma EDP 100 ml Flavia</t>
  </si>
  <si>
    <t>COS6852</t>
  </si>
  <si>
    <t>Perfume White Gold EDP 100 ml Flavia</t>
  </si>
  <si>
    <t>COS6850</t>
  </si>
  <si>
    <t>Fomo</t>
  </si>
  <si>
    <t>Perfume A Fragheads Asylum Extrait de Parfum 100 ml Fomo .</t>
  </si>
  <si>
    <t>COS6756</t>
  </si>
  <si>
    <t>Perfume Eclat Noir Elixir de Parfum 100 ml Fomo</t>
  </si>
  <si>
    <t>COS6752</t>
  </si>
  <si>
    <t>Perfume Essence of The Other World Extrait de Parfum 100 ml Fomo</t>
  </si>
  <si>
    <t>COS6745</t>
  </si>
  <si>
    <t>Perfume Fomo Desire Elixir de Parfum 100 ml</t>
  </si>
  <si>
    <t>COS6744</t>
  </si>
  <si>
    <t>Perfume Garys Den Le Parfum 100 ml Fomo</t>
  </si>
  <si>
    <t>COS6754</t>
  </si>
  <si>
    <t>Perfume Midnight Riviera Elixir de Parfum 100 ml Fomo</t>
  </si>
  <si>
    <t>COS6758</t>
  </si>
  <si>
    <t>Perfume Sicillian Zest Elixir de Parfum 100 ml Fomo</t>
  </si>
  <si>
    <t>COS6746</t>
  </si>
  <si>
    <t>Perfume The Envy of Fomo Le Parfum 100 ml</t>
  </si>
  <si>
    <t>COS6747</t>
  </si>
  <si>
    <t>Fragrance World</t>
  </si>
  <si>
    <t>Fragrance World Hayaati Belle EDP 100 ml (JPG La Belle Le Parfum for Women)</t>
  </si>
  <si>
    <t>COS4147</t>
  </si>
  <si>
    <t>Fragrance World Imperium EDP 100 ml. Hombre</t>
  </si>
  <si>
    <t>COS3776</t>
  </si>
  <si>
    <t>Fragrance World Jack EDP 80 ml. Hombre</t>
  </si>
  <si>
    <t>COS3777</t>
  </si>
  <si>
    <t>Fragrance World Nudo Green Iris EDP 100 ml (Decadense)</t>
  </si>
  <si>
    <t>COS4230</t>
  </si>
  <si>
    <t>Fragrance World Pride Harmony Code Intense Edp 100Ml Hombre</t>
  </si>
  <si>
    <t>COS3577</t>
  </si>
  <si>
    <t>OTRO</t>
  </si>
  <si>
    <t>Fragrance World Prohibit Parfum Intense EDP 100 ml</t>
  </si>
  <si>
    <t>COS3774</t>
  </si>
  <si>
    <t>Perfume Artisan Perfumery Salted Caramel EDP 80 ml Fragrance World</t>
  </si>
  <si>
    <t>COS6092</t>
  </si>
  <si>
    <t>Perfume Bois de Bois EDP 100 ml Fragrance World</t>
  </si>
  <si>
    <t>COS6437</t>
  </si>
  <si>
    <t>Perfume Café N Cream EDP 100 ml Fragrance World</t>
  </si>
  <si>
    <t>COS6218</t>
  </si>
  <si>
    <t>Perfume Casamorando EDP Royale 100 ml Fragrance World Unisex</t>
  </si>
  <si>
    <t>COS5458</t>
  </si>
  <si>
    <t>Perfume Chic Unique EDP 100 ml Fragrance World</t>
  </si>
  <si>
    <t>COS6204</t>
  </si>
  <si>
    <t>Perfume Colosseum EDP 100 ml Fragrance World</t>
  </si>
  <si>
    <t>COS6734</t>
  </si>
  <si>
    <t>Perfume Des Tentations Star EDP 100 ml Fragrance World</t>
  </si>
  <si>
    <t>COS6242</t>
  </si>
  <si>
    <t>Perfume Diva EDP 100 ml Fragrance World</t>
  </si>
  <si>
    <t>COS6435</t>
  </si>
  <si>
    <t>Perfume Diva Lush EDP 100 ml Fragrance World</t>
  </si>
  <si>
    <t>COS6441</t>
  </si>
  <si>
    <t>Perfume Eau de Neige EDP 100 ml Hombre Fragrance World</t>
  </si>
  <si>
    <t>COS5493</t>
  </si>
  <si>
    <t>Perfume Eau de Soleil EDP 100 ml Unisex Fragrance World</t>
  </si>
  <si>
    <t>COS5495</t>
  </si>
  <si>
    <t>Perfume Eau de Spice Mark  And  Victor pour Homme EDP 100 ml Fragrance World</t>
  </si>
  <si>
    <t>COS5785</t>
  </si>
  <si>
    <t>Perfume ELYSIA Pista Sundae EDP 100 ml Fragrance World</t>
  </si>
  <si>
    <t>COS5497</t>
  </si>
  <si>
    <t>Perfume ELYSIA Sugar Patchouli EDP 100 ml Unisex Fragrance World</t>
  </si>
  <si>
    <t>COS5482</t>
  </si>
  <si>
    <t>Perfume Elysia Sweet Banana EDP 100 ml Fragrance World</t>
  </si>
  <si>
    <t>COS6213</t>
  </si>
  <si>
    <t>Perfume Extremely Unique Pista EDP 50 ml Fragrance World</t>
  </si>
  <si>
    <t>COS6357</t>
  </si>
  <si>
    <t>Perfume Feroce pour Homme EDP 100 ml Fragrance World</t>
  </si>
  <si>
    <t>COS6457</t>
  </si>
  <si>
    <t>Perfume Fragrance World Casamorando 1988 Edp 100Ml Unisex</t>
  </si>
  <si>
    <t>COS4536</t>
  </si>
  <si>
    <t>Perfume Fragrance World Creme of Clouds EDP 100 ml</t>
  </si>
  <si>
    <t>COS4988</t>
  </si>
  <si>
    <t>Perfume Fragrance World Extremely Unique Pista EDP 100 ml (Yum Pistachio Gelato)</t>
  </si>
  <si>
    <t>COS4162</t>
  </si>
  <si>
    <t>Perfume Fragrance World French Avenue After Effect 80 ML Extrait de Parfum Unisex</t>
  </si>
  <si>
    <t>COS5238</t>
  </si>
  <si>
    <t>Perfume Fragrance World French Avenue Azzure Aoud 100 ML Parfum</t>
  </si>
  <si>
    <t>COS4801</t>
  </si>
  <si>
    <t>Perfume Fragrance World Imperium Intense EDP 100 ml (Roja Dove Elysium Pour Homme Eau Intense)</t>
  </si>
  <si>
    <t>COS4991</t>
  </si>
  <si>
    <t>Perfume Fragrance World Intro Aftermath 80 ML EDP Unisex</t>
  </si>
  <si>
    <t>COS5257</t>
  </si>
  <si>
    <t>Perfume Fragrance World Intro Greatness Oud 80 ML EDP Unisex</t>
  </si>
  <si>
    <t>COS5258</t>
  </si>
  <si>
    <t>Perfume Fragrance World Intro Joyness 80 ML EDP Unisex</t>
  </si>
  <si>
    <t>COS5243</t>
  </si>
  <si>
    <t>Perfume Fragrance World Ivory Musk 80 ML EDP Unisex</t>
  </si>
  <si>
    <t>COS5256</t>
  </si>
  <si>
    <t>Perfume Fragrance World Just Aswad EDP 100 ml Hombre</t>
  </si>
  <si>
    <t>COS3204</t>
  </si>
  <si>
    <t>Perfume Fragrance World Just Choco EDP 100 ml</t>
  </si>
  <si>
    <t>COS4985</t>
  </si>
  <si>
    <t>Perfume Fragrance World Nectar Of Ecstacy EDP 100 ML Mujer (Inspirado En Hanae Mori)</t>
  </si>
  <si>
    <t>COS4799</t>
  </si>
  <si>
    <t>Perfume Fragrance World Nudo Exotic Flowers Edp 100ml Mujer</t>
  </si>
  <si>
    <t>COS4524</t>
  </si>
  <si>
    <t>Perfume Fragrance World Nudo Sweet Berries Edp 100 ml Mujer</t>
  </si>
  <si>
    <t>COS4527</t>
  </si>
  <si>
    <t>Perfume Fragrance World Optimystic Le Beau EDP 100 ml</t>
  </si>
  <si>
    <t>COS4982</t>
  </si>
  <si>
    <t>Perfume Fragrance World Optimystic Legend EDP 100 ml</t>
  </si>
  <si>
    <t>COS4983</t>
  </si>
  <si>
    <t>Perfume Fragrance World Signature Brown EDP 80 ml</t>
  </si>
  <si>
    <t>COS4977</t>
  </si>
  <si>
    <t>Perfume Fragrance World Signature White EDP 80 ml (Amouage Guidance)</t>
  </si>
  <si>
    <t>COS4978</t>
  </si>
  <si>
    <t>Perfume Fragrance World Tropical Kiss For Women EDP 80 ML</t>
  </si>
  <si>
    <t>COS4537</t>
  </si>
  <si>
    <t>Perfume Fragrance World Whiskey Intense Edp 100 ml</t>
  </si>
  <si>
    <t>COS4530</t>
  </si>
  <si>
    <t>Perfume Fragrance WorldOud Nuclear World 60 ML Unisex</t>
  </si>
  <si>
    <t>COS5259</t>
  </si>
  <si>
    <t>Perfume French Avenue Rose Explosion EDP 80 ML Mujer – Inspirado En Oud For Glory Amethyst</t>
  </si>
  <si>
    <t>COS5245</t>
  </si>
  <si>
    <t>Perfume Immortal London EDP 100 ml Fragrance World</t>
  </si>
  <si>
    <t>COS6215</t>
  </si>
  <si>
    <t>Perfume Imperium Absolu EDP 100 ml Fragrance World</t>
  </si>
  <si>
    <t>COS6241</t>
  </si>
  <si>
    <t>Perfume Inizio for Him EDP 100 ml Fragrance World</t>
  </si>
  <si>
    <t>COS5792</t>
  </si>
  <si>
    <t>Perfume Intense Man Essencia Flores Extreme EDP 100 ml Fragrance World</t>
  </si>
  <si>
    <t>COS5480</t>
  </si>
  <si>
    <t>Perfume Kohl EDP 100 ml Fragrance World</t>
  </si>
  <si>
    <t>COS6212</t>
  </si>
  <si>
    <t>Perfume Le Bois Blanc EDP 100 ml Fragrance World</t>
  </si>
  <si>
    <t>COS5634</t>
  </si>
  <si>
    <t>Perfume My Soulmate Body EDP 100 ml Fragrance World</t>
  </si>
  <si>
    <t>COS5796</t>
  </si>
  <si>
    <t>Perfume Night Club EDP 100 ml Fragrance World Hombre</t>
  </si>
  <si>
    <t>COS5460</t>
  </si>
  <si>
    <t>Perfume Night Club Silky EDP 100 ml Fragrance World Mujer</t>
  </si>
  <si>
    <t>COS5453</t>
  </si>
  <si>
    <t>Perfume Notes Classics EDP 100 ml Unisex Fragrance World</t>
  </si>
  <si>
    <t>COS5794</t>
  </si>
  <si>
    <t>Perfume Notes Jazz EDP 100 ml Fragrance World</t>
  </si>
  <si>
    <t>COS5637</t>
  </si>
  <si>
    <t>Perfume Nudo Exotic Flowers EDP 50 ml Fragrance World</t>
  </si>
  <si>
    <t>COS6355</t>
  </si>
  <si>
    <t>Perfume Nuke EDP 100 ml Hombre Fragrance World</t>
  </si>
  <si>
    <t>COS5779</t>
  </si>
  <si>
    <t>Perfume Oud Madness EDP 50 ml Fragrance World</t>
  </si>
  <si>
    <t>COS6436</t>
  </si>
  <si>
    <t>Perfume Prive Saffron EDP 60 ml Fragrance World</t>
  </si>
  <si>
    <t>COS6730</t>
  </si>
  <si>
    <t>Perfume Sui Generis EDP 100 ml Fragrance World</t>
  </si>
  <si>
    <t>COS6207</t>
  </si>
  <si>
    <t>Perfume Sweet Narcos Intro EDP 80 ml Fragrance World</t>
  </si>
  <si>
    <t>COS5676</t>
  </si>
  <si>
    <t>Perfume Tabac N Coke EDP 100 ml Unisex Fragrance World</t>
  </si>
  <si>
    <t>COS5778</t>
  </si>
  <si>
    <t>Perfume Urban Man Ultra EDP 90 ml Fragrance World</t>
  </si>
  <si>
    <t>COS5501</t>
  </si>
  <si>
    <t>Perfume Venti Green Tweed EDP 50 ml Fragrance World</t>
  </si>
  <si>
    <t>COS6348</t>
  </si>
  <si>
    <t>Perfume Venti Silky Princess EDP 50 ml Fragrance World</t>
  </si>
  <si>
    <t>COS6360</t>
  </si>
  <si>
    <t>Perfume Venti Sublime EDP 100 ml Fragrance World</t>
  </si>
  <si>
    <t>COS6448</t>
  </si>
  <si>
    <t>Perfume Venti Sublime EDP 50 ml Fragrance World</t>
  </si>
  <si>
    <t>COS6346</t>
  </si>
  <si>
    <t>Perfume Zero to Legend EDP 100 ml Hombre Fragrance World</t>
  </si>
  <si>
    <t>COS5791</t>
  </si>
  <si>
    <t>Perfume 8th Wonder Extrait de Parfum 100 ml French Avenue</t>
  </si>
  <si>
    <t>COS6732</t>
  </si>
  <si>
    <t>Perfume Amber Empire Extrait de Parfum 100 ml French Avenue</t>
  </si>
  <si>
    <t>COS6240</t>
  </si>
  <si>
    <t>Perfume An Equestrian Series Haydan EDP 100 ml French Avenue</t>
  </si>
  <si>
    <t>COS6458</t>
  </si>
  <si>
    <t>Perfume An Equestrian Series Olena EDP 100 ml French Avenue</t>
  </si>
  <si>
    <t>COS6433</t>
  </si>
  <si>
    <t>Perfume Arsh Extrait de Parfum 100 ml French Avenue</t>
  </si>
  <si>
    <t>COS6220</t>
  </si>
  <si>
    <t>Perfume Atlantis Extrait de Parfum 100 ml French Avenue</t>
  </si>
  <si>
    <t>COS6219</t>
  </si>
  <si>
    <t>Perfume Chaos Extrait de Parfum 100 ml French Avenue</t>
  </si>
  <si>
    <t>COS6237</t>
  </si>
  <si>
    <t>Perfume Chronicles Extrait de Parfum 80 ml French Avenue</t>
  </si>
  <si>
    <t>COS6202</t>
  </si>
  <si>
    <t>Perfume Cocolatte Lassi EDP 80 ml Unisex French Avenue</t>
  </si>
  <si>
    <t>COS5986</t>
  </si>
  <si>
    <t>Perfume Divin Musc EDP 100 ml Unisex French Avenue</t>
  </si>
  <si>
    <t>COS5984</t>
  </si>
  <si>
    <t>Perfume Divin Vert EDP 100 ml Unisex French Avenue</t>
  </si>
  <si>
    <t>COS5985</t>
  </si>
  <si>
    <t>Perfume Diwani Cairo EDP 100 ml French Avenue</t>
  </si>
  <si>
    <t>COS5130</t>
  </si>
  <si>
    <t>Perfume Diwani Rabat EDP 100 ml French Avenue</t>
  </si>
  <si>
    <t>COS5128</t>
  </si>
  <si>
    <t>Perfume Elinor Green EDP 100 ml Mujer French Avenue</t>
  </si>
  <si>
    <t>COS6078</t>
  </si>
  <si>
    <t>Perfume Firestorm EDP 100 ml Unisex French Avenue</t>
  </si>
  <si>
    <t>COS6079</t>
  </si>
  <si>
    <t>Perfume French Avenue Coconut Leche EDP 80 ml</t>
  </si>
  <si>
    <t>COS4992</t>
  </si>
  <si>
    <t>Perfume French Avenue Pinnace Oryn 100 ML EDP Hombre</t>
  </si>
  <si>
    <t>COS4794</t>
  </si>
  <si>
    <t>Perfume Grecia Rosa Extrait de Parfum 100 ml Unisex French Avenue</t>
  </si>
  <si>
    <t>COS6084</t>
  </si>
  <si>
    <t>Perfume Grecia White Parfum 100 ml Unisex French Avenue</t>
  </si>
  <si>
    <t>COS6076</t>
  </si>
  <si>
    <t>Perfume Jade Extrait de Parfum 100 ml French Avenue</t>
  </si>
  <si>
    <t>COS6445</t>
  </si>
  <si>
    <t>Perfume Jade Giallo Extrait de Parfum 100 ml French Avenue</t>
  </si>
  <si>
    <t>COS6442</t>
  </si>
  <si>
    <t>Perfume Liquid Brun Limited Edition Extrait de Parfum 150 ml French Avenue</t>
  </si>
  <si>
    <t>COS7061</t>
  </si>
  <si>
    <t>Perfume Nectaré Extradose Extrait de Parfum 90 ml Unisex French Avenue</t>
  </si>
  <si>
    <t>COS5987</t>
  </si>
  <si>
    <t>Perfume Nomad Extrait de Parfum 100 ml French Avenue</t>
  </si>
  <si>
    <t>COS6736</t>
  </si>
  <si>
    <t>Perfume Obsidian Extrait de Parfum 100 ml Unisex French Avenue</t>
  </si>
  <si>
    <t>COS5982</t>
  </si>
  <si>
    <t>Perfume Ravine Ginger Extrait de Parfum 100 ml French Avenue</t>
  </si>
  <si>
    <t>COS6070</t>
  </si>
  <si>
    <t>Perfume Ravine Ice Extrait de Parfum 100 ml French Avenue</t>
  </si>
  <si>
    <t>COS6069</t>
  </si>
  <si>
    <t>Perfume Shmallow Fluff EDP 100 ml Mujer French Avenue</t>
  </si>
  <si>
    <t>COS5675</t>
  </si>
  <si>
    <t>Perfume Solitaire Extrait de Parfum 100 ml Unisex French Avenue</t>
  </si>
  <si>
    <t>COS5981</t>
  </si>
  <si>
    <t>Perfume Sultana The Joyful EDP 80 ml French Avenue</t>
  </si>
  <si>
    <t>COS5127</t>
  </si>
  <si>
    <t>Perfume Veneno Scarlet Extrait de Parfum 100 ml Unisex French Avenue</t>
  </si>
  <si>
    <t>COS5983</t>
  </si>
  <si>
    <t>Perfume Western Shisha Parfum 100 ml French Avenue</t>
  </si>
  <si>
    <t>COS6733</t>
  </si>
  <si>
    <t>Perfume Zenith Deep Extrait de Parfum 100 ml French Avenue</t>
  </si>
  <si>
    <t>COS6447</t>
  </si>
  <si>
    <t>Perfume Zenith Noire EDP 100 ml French Avenue</t>
  </si>
  <si>
    <t>COS6205</t>
  </si>
  <si>
    <t>Perfume Zenith Santal Extrai de Parfum 100 ml French Avenue</t>
  </si>
  <si>
    <t>COS6446</t>
  </si>
  <si>
    <t>Perfume Zenith Vanilla EDP 100 ml French Avenue</t>
  </si>
  <si>
    <t>COS6217</t>
  </si>
  <si>
    <t>Set Perfume Genesis Scent from the Stars Extrait de Parfum 12x30 ml French Avenue</t>
  </si>
  <si>
    <t>COS6221</t>
  </si>
  <si>
    <t>Acqua Di Gio Parfum 100 ml Recargable</t>
  </si>
  <si>
    <t>COS3218</t>
  </si>
  <si>
    <t>Acqua Di Gio Parfum 50 ml. Giorgio Armani Recargable / Refillable</t>
  </si>
  <si>
    <t>COS4049</t>
  </si>
  <si>
    <t>Giorgio Armani Code PARFUM 75 ML Hombre RECARGABLE</t>
  </si>
  <si>
    <t>COS1927</t>
  </si>
  <si>
    <t>Giorgio Armani My Way EDP 30 ML Mujer</t>
  </si>
  <si>
    <t>COS1659</t>
  </si>
  <si>
    <t>Giorgio Armani My Way Nectar EDP 30ml</t>
  </si>
  <si>
    <t>COS4136</t>
  </si>
  <si>
    <t>My Way Giorgio Armani EDP 50 ML COS522</t>
  </si>
  <si>
    <t>COS522</t>
  </si>
  <si>
    <t>Perfume Acqua di Gio Elixir 50 ml Giorgio Armani</t>
  </si>
  <si>
    <t>COS5754</t>
  </si>
  <si>
    <t>Perfume Acqua Di Gio Giorgio Armani EDT 100 ml Recargable/Refill</t>
  </si>
  <si>
    <t>COS4940</t>
  </si>
  <si>
    <t>Perfume Acqua Di Gio Giorgio Armani EDT 200 ml Recargable/Refill</t>
  </si>
  <si>
    <t>COS4941</t>
  </si>
  <si>
    <t>Perfume Acqua di Gio Profondo EDT 100 ml Giorgio Armani</t>
  </si>
  <si>
    <t>COS6620</t>
  </si>
  <si>
    <t>Perfume Acqua Di Gio Profondo EDT 50 ml Giorgio Armani</t>
  </si>
  <si>
    <t>COS6609</t>
  </si>
  <si>
    <t>Perfume Armani Code EDT 50 ml. Recargable/Refill Giorgio Armani</t>
  </si>
  <si>
    <t>COS4577</t>
  </si>
  <si>
    <t>Perfume My Way Sunny Vanilla EDP 50 ml Giorgio Armani</t>
  </si>
  <si>
    <t>COS6934</t>
  </si>
  <si>
    <t>Perfume Si EDP Intense Passione 100 ml Recargable/Refill 100 ml Giorgio Armani</t>
  </si>
  <si>
    <t>COS5752</t>
  </si>
  <si>
    <t>Perfume Si Parfum 30 ml Giorgio Armani</t>
  </si>
  <si>
    <t>COS5900</t>
  </si>
  <si>
    <t>Perfume Si Passione EDP 100 ML Mujer de Giorgio Armani</t>
  </si>
  <si>
    <t>COS1385</t>
  </si>
  <si>
    <t>Perfume Si Passione EDP Intense 30 ml Recargable / Refill Giorgio Armani</t>
  </si>
  <si>
    <t>COS5920</t>
  </si>
  <si>
    <t>Set Perfume Armani Acqua Di Gio Profondo EDP 100 ml + 15 ml Giorgio Armani 2026</t>
  </si>
  <si>
    <t>COS6973</t>
  </si>
  <si>
    <t>Si Giorgio Armani EDP 30 ml</t>
  </si>
  <si>
    <t>COS135</t>
  </si>
  <si>
    <t>Si Giorgio Armani EDP 50 ml / Cosmetic</t>
  </si>
  <si>
    <t>Gisada</t>
  </si>
  <si>
    <t>Perfume Gisada Switzerland Ambassador Black for Men EDP 100 ml</t>
  </si>
  <si>
    <t>COS5095</t>
  </si>
  <si>
    <t>Perfume Gisada Switzerland Ambassador Intense EDP 100 ml</t>
  </si>
  <si>
    <t>COS5097</t>
  </si>
  <si>
    <t>Perfume Gisada Switzerland Ambassador Pink for Women EDP 100 ml</t>
  </si>
  <si>
    <t>COS5096</t>
  </si>
  <si>
    <t>Perfume Gisada Switzerland Ambassadora Red for Women EDP 100 ml</t>
  </si>
  <si>
    <t>COS5098</t>
  </si>
  <si>
    <t>Perfume Gisada Switzerland Donna EDP 100 ml</t>
  </si>
  <si>
    <t>COS6738</t>
  </si>
  <si>
    <t>Perfume Gisada Switzerland Titanium EDP 100 ml</t>
  </si>
  <si>
    <t>COS5099</t>
  </si>
  <si>
    <t>Perfume Gisada Switzerland Uomo EDP 100 ml</t>
  </si>
  <si>
    <t>COS6737</t>
  </si>
  <si>
    <t>Gucci</t>
  </si>
  <si>
    <t>Gucci Flora Gorgeous Gardenia EDP 100 ML Mujer</t>
  </si>
  <si>
    <t>COS1862</t>
  </si>
  <si>
    <t>Guy Laroche</t>
  </si>
  <si>
    <t>Perfume Drakkar Bleu EDP 100 ml Guy Laroche</t>
  </si>
  <si>
    <t>COS6265</t>
  </si>
  <si>
    <t>Perfume Halloween Mujer EDT 50 ml de Halloween</t>
  </si>
  <si>
    <t>COS6548</t>
  </si>
  <si>
    <t>Perfume Halloween X EDT Hombre 125 ml de Hallowen</t>
  </si>
  <si>
    <t>JESUS31</t>
  </si>
  <si>
    <t>Hamidi</t>
  </si>
  <si>
    <t>Perfume Ishq Absolute EDP 100 ml Hamidi</t>
  </si>
  <si>
    <t>COS5218</t>
  </si>
  <si>
    <t>Perfume Shirin Hamidi EDP 100 ml</t>
  </si>
  <si>
    <t>COS5182</t>
  </si>
  <si>
    <t>Perfume Eau de Citron Noir EDC 100 ml Hermes</t>
  </si>
  <si>
    <t>COS7125</t>
  </si>
  <si>
    <t>Perfume H24 EDT 100 ml Hermes Recargable/Refill</t>
  </si>
  <si>
    <t>COS6142</t>
  </si>
  <si>
    <t>Perfume H24 Herbes Vives EDP 100 ml Hombre Recargable/Refill Hermes</t>
  </si>
  <si>
    <t>COS5008</t>
  </si>
  <si>
    <t>Perfume Hermes Barénia EDP Woman 100 ml Recargable/Refill</t>
  </si>
  <si>
    <t>COS4332</t>
  </si>
  <si>
    <t>Perfume Le Jardin De Monsieur Li Hermes EDT 100 ml Unisex</t>
  </si>
  <si>
    <t>COS5385</t>
  </si>
  <si>
    <t>Perfume Un Jardin A Cythere EDT 100 ml Unisex Recargable/Refill Hermes</t>
  </si>
  <si>
    <t>COS5722</t>
  </si>
  <si>
    <t>Perfume Un Jardin Sur La Lagune Unisex EDT 100 ml Hermes</t>
  </si>
  <si>
    <t>COS739</t>
  </si>
  <si>
    <t>Perfume Un Jardin Sur Le Toit EDT 100 ml Recargable/Refill Hermes</t>
  </si>
  <si>
    <t>COS6309</t>
  </si>
  <si>
    <t>Hugo Man Cantimplora EDT 125ml. Con Celofán</t>
  </si>
  <si>
    <t>COS728</t>
  </si>
  <si>
    <t>Hugo Man EDT 75 ML</t>
  </si>
  <si>
    <t>COS727</t>
  </si>
  <si>
    <t>Perfume Boss Bottled Beyond EDP 100 ml Recargable / Refill Hugo Boss</t>
  </si>
  <si>
    <t>COS5979</t>
  </si>
  <si>
    <t>Perfume Boss Bottled Beyond EDP 150 ml Recargable / Refill Hugo Boss</t>
  </si>
  <si>
    <t>COS6370</t>
  </si>
  <si>
    <t>Perfume Superman x Hugo EDP 125 ml de Hugo Boss</t>
  </si>
  <si>
    <t>COS5506</t>
  </si>
  <si>
    <t>Jean Paul Gaultier Le Beau Le Parfum EDP Intense 125 ml Hombre</t>
  </si>
  <si>
    <t>COS1398</t>
  </si>
  <si>
    <t>Jean Paul Gaultier Le Beau LE PARFUM EDP INTENSE 75 ML Hombre</t>
  </si>
  <si>
    <t>COS1401</t>
  </si>
  <si>
    <t>JPG LE BEAU HOMBRE EDT 75ML</t>
  </si>
  <si>
    <t>COS188</t>
  </si>
  <si>
    <t>JPG LE MALE (LE PARFUM) EDP INTENSE 75ML HOMBRE</t>
  </si>
  <si>
    <t>COS192</t>
  </si>
  <si>
    <t>Perfume Gaultier Divine Le Parfum EDP Intense 100 ml Recargable/Refill Jean Paul Gaultier</t>
  </si>
  <si>
    <t>COS6373</t>
  </si>
  <si>
    <t>Perfume Jean Paul Gaultier Divine EDP 100 ml Recargable / Refillable</t>
  </si>
  <si>
    <t>COS4311</t>
  </si>
  <si>
    <t>Perfume Jean Paul Gaultier Le Beau EDT 125 ML Hombre</t>
  </si>
  <si>
    <t>COS1379</t>
  </si>
  <si>
    <t>Perfume Jean Paul Gaultier Le Beau Narcisse EDP 125 ml 2026</t>
  </si>
  <si>
    <t>COS6789</t>
  </si>
  <si>
    <t>Perfume Jean Paul Gaultier Le Beau Narcisse EDP 75 ml 2026</t>
  </si>
  <si>
    <t>COS6790</t>
  </si>
  <si>
    <t>Perfume Jean Paul Gaultier Le Male Elixir Parfum 75 ml</t>
  </si>
  <si>
    <t>COS4937</t>
  </si>
  <si>
    <t>Perfume Jean Paul Gaultier Scandal Pour Homme Absolu Edp 150 Ml Hombre</t>
  </si>
  <si>
    <t>COS5261</t>
  </si>
  <si>
    <t>Perfume Le Beau Paradise Garden EDP 125 ml Jean Paul Gaultier 2024</t>
  </si>
  <si>
    <t>COS5038</t>
  </si>
  <si>
    <t>Perfume Le Male Elixir Absolu Parfum Intense 125 ml Jean Paul Gaultier</t>
  </si>
  <si>
    <t>COS5425</t>
  </si>
  <si>
    <t>Perfume Scandal EDP pour Homme Intense 100 ml Jean Paul Gaultier</t>
  </si>
  <si>
    <t>COS6012</t>
  </si>
  <si>
    <t>Jenny Glow</t>
  </si>
  <si>
    <t>Perfume Jenny Glow Allure EDP 100 ml</t>
  </si>
  <si>
    <t>COS4882</t>
  </si>
  <si>
    <t>Perfume Jenny Glow Aurore EDP 80 ml</t>
  </si>
  <si>
    <t>COS4864</t>
  </si>
  <si>
    <t>Perfume Jenny Glow Beautello EDP 100 ml</t>
  </si>
  <si>
    <t>COS4886</t>
  </si>
  <si>
    <t>Perfume Jenny Glow Brise EDP 80 ml</t>
  </si>
  <si>
    <t>COS4867</t>
  </si>
  <si>
    <t>Perfume Jenny Glow Charme EDP 80 ml</t>
  </si>
  <si>
    <t>COS4870</t>
  </si>
  <si>
    <t>Perfume Jenny Glow Enchante EDP 100 ml</t>
  </si>
  <si>
    <t>COS4887</t>
  </si>
  <si>
    <t>Perfume Jenny Glow Étoile EDP 100 ml</t>
  </si>
  <si>
    <t>COS4862</t>
  </si>
  <si>
    <t>Perfume Jenny Glow Étoile EDP 80 ml</t>
  </si>
  <si>
    <t>COS4868</t>
  </si>
  <si>
    <t>Perfume Jenny Glow Femiluxe EDP 100 ml</t>
  </si>
  <si>
    <t>COS4884</t>
  </si>
  <si>
    <t>Perfume Jenny Glow Floraison EDP 100 ml</t>
  </si>
  <si>
    <t>COS4883</t>
  </si>
  <si>
    <t>Perfume Jenny Glow Jennys Trove EDP 100 ml</t>
  </si>
  <si>
    <t>COS4874</t>
  </si>
  <si>
    <t>Perfume Jenny Glow Love EDP 100 ml</t>
  </si>
  <si>
    <t>COS4877</t>
  </si>
  <si>
    <t>Perfume Jenny Glow Lush EDP 100 ml</t>
  </si>
  <si>
    <t>COS4861</t>
  </si>
  <si>
    <t>Perfume Jenny Glow Meraki EDP 100 ml</t>
  </si>
  <si>
    <t>COS4860</t>
  </si>
  <si>
    <t>Perfume Jenny Glow Perle EDP 80 ml</t>
  </si>
  <si>
    <t>COS4865</t>
  </si>
  <si>
    <t>Perfume Jenny Glow Pretty Little Notes EDP 100 ml</t>
  </si>
  <si>
    <t>COS4872</t>
  </si>
  <si>
    <t>Perfume Jenny Glow Reve EDP 80 ml</t>
  </si>
  <si>
    <t>COS4869</t>
  </si>
  <si>
    <t>Perfume Jenny Glow Scenti Closet EDP 100 ml</t>
  </si>
  <si>
    <t>COS4871</t>
  </si>
  <si>
    <t>Perfume Jenny Glow Senteur EDP 80 ml</t>
  </si>
  <si>
    <t>COS4863</t>
  </si>
  <si>
    <t>Perfume Jenny Glow Soleil EDP 80 ml</t>
  </si>
  <si>
    <t>COS4866</t>
  </si>
  <si>
    <t>Perfume Jenny Glow Velours EDP 80 ml</t>
  </si>
  <si>
    <t>COS4876</t>
  </si>
  <si>
    <t>Perfume Jenny Glow Yours Truly EDP 100 ml</t>
  </si>
  <si>
    <t>COS4875</t>
  </si>
  <si>
    <t>Set Perfume Jenny Glow Butter Paper EDP 5pza x 30 ml (N.B.T.M.S.)</t>
  </si>
  <si>
    <t>COS4890</t>
  </si>
  <si>
    <t>Jessica Twain</t>
  </si>
  <si>
    <t>Perfume Asad EDP 100 ml Jessica Twain</t>
  </si>
  <si>
    <t>COS6966</t>
  </si>
  <si>
    <t>Perfume Fuking Fabulous EDP 100 ml Jessica Twain</t>
  </si>
  <si>
    <t>COS6968</t>
  </si>
  <si>
    <t>Perfume Hounor EDP 100 ml Jessica Twain</t>
  </si>
  <si>
    <t>COS6969</t>
  </si>
  <si>
    <t>Perfume Mefisto EDP 100 ml Jessica Twain</t>
  </si>
  <si>
    <t>COS6967</t>
  </si>
  <si>
    <t>Perfume Megamare Oriental EDP 100 ml Jessica Twain</t>
  </si>
  <si>
    <t>COS6970</t>
  </si>
  <si>
    <t>Perfume Yaran Candy EDP 100 ml Jessica Twain</t>
  </si>
  <si>
    <t>COS6971</t>
  </si>
  <si>
    <t>Perfume Yaran EDP 100 ml Jessica Twain</t>
  </si>
  <si>
    <t>COS6972</t>
  </si>
  <si>
    <t>Jesus del Pozo</t>
  </si>
  <si>
    <t>Halloween Man Hero EDT 125 ml</t>
  </si>
  <si>
    <t>COS825</t>
  </si>
  <si>
    <t>Jimmy Choo</t>
  </si>
  <si>
    <t>Jimmy Choo Man Edt 100Ml Hombre</t>
  </si>
  <si>
    <t>JIMC04</t>
  </si>
  <si>
    <t>Jimmy Choo Urban Hero EDP 100 ml</t>
  </si>
  <si>
    <t>COS47</t>
  </si>
  <si>
    <t>JIMMY CHOO WOMAN EDP 100ML</t>
  </si>
  <si>
    <t>COS50</t>
  </si>
  <si>
    <t>Jivi Parfums</t>
  </si>
  <si>
    <t>Perfume Funkies Cookie Crunch EDP 100 ml Jivi Parfums</t>
  </si>
  <si>
    <t>COS6286</t>
  </si>
  <si>
    <t>Perfume Funkies Creme Brulee EDP 100 ml Jivi Parfums</t>
  </si>
  <si>
    <t>COS6287</t>
  </si>
  <si>
    <t>Perfume Jivi Parfums Amyr Faris Edp 100 ML Unisex</t>
  </si>
  <si>
    <t>COS5292</t>
  </si>
  <si>
    <t>Perfume Jivi Parfums Makhmuran Edp 100 ML Unisex</t>
  </si>
  <si>
    <t>COS5296</t>
  </si>
  <si>
    <t>Perfume Jivi Parfums Story Of Oud Chapter 1 : Origin 100 ml Unisex Parfum</t>
  </si>
  <si>
    <t>COS5302</t>
  </si>
  <si>
    <t>Perfume Jivi Parfums Story Of Oud Chapter 2 : Discovery 100 ml Unisex Parfum</t>
  </si>
  <si>
    <t>COS5304</t>
  </si>
  <si>
    <t>Perfume Jivi Parfums Story Of Oud Chapter 4 : Silk Road 100 ml Unisex Parfum</t>
  </si>
  <si>
    <t>COS5301</t>
  </si>
  <si>
    <t>Perfume Emerald Game Of Spades Extrait de Parfum 50 ml de Jo Milano .</t>
  </si>
  <si>
    <t>COS6809</t>
  </si>
  <si>
    <t>Perfume Emerald Game Of Spades Extrait de Parfum 90 ml de Jo Milano .</t>
  </si>
  <si>
    <t>COS6803</t>
  </si>
  <si>
    <t>Perfume Game Of Spades Black Sapphire Parfum 90 ml Jo Milano .</t>
  </si>
  <si>
    <t>COS6811</t>
  </si>
  <si>
    <t>Perfume Game of Spades Bonus Parfum 100 ml de Jo Milano</t>
  </si>
  <si>
    <t>COS5607</t>
  </si>
  <si>
    <t>Perfume Game of Spades Double Bonus Parfum 100 ml Unisex Jo Milano</t>
  </si>
  <si>
    <t>COS6066</t>
  </si>
  <si>
    <t>Perfume Game of Spades Topaz Parfum 90 ml Unisex Jo Milano</t>
  </si>
  <si>
    <t>COS5801</t>
  </si>
  <si>
    <t>Perfume Jo Milano Full-House Parfum 100 ml</t>
  </si>
  <si>
    <t>COS5103</t>
  </si>
  <si>
    <t>Perfume Jo Milano Full-House Parfum 200 ml Jo Milano</t>
  </si>
  <si>
    <t>COS7095</t>
  </si>
  <si>
    <t>Perfume Jo Milano Full-House Parfum 50 ml Jo Milano</t>
  </si>
  <si>
    <t>COS6808</t>
  </si>
  <si>
    <t>Perfume Jo Milano Game of Spades Opal Parfum 90 ml</t>
  </si>
  <si>
    <t>COS5102</t>
  </si>
  <si>
    <t>Perfume Jo Milano Game Of Spades Wildcard Parfum 100 ml Unisex</t>
  </si>
  <si>
    <t>COS3320</t>
  </si>
  <si>
    <t>Perfume Jo Milano Game Of Spades Wildcard Parfum 200 ml Unisex</t>
  </si>
  <si>
    <t>COS6806</t>
  </si>
  <si>
    <t>Perfume Jo Milano Game Of Spades Wildcard Parfum 50 ml Unisex</t>
  </si>
  <si>
    <t>COS6798</t>
  </si>
  <si>
    <t>Perfume Roll-It n5 EDP 100 ml de Jo Milano</t>
  </si>
  <si>
    <t>COS5741</t>
  </si>
  <si>
    <t>Set Perfume Game of Spades Exclusive Bonus 100 ml + Full-House 100 ml Unisex Jo Milano</t>
  </si>
  <si>
    <t>COS6065</t>
  </si>
  <si>
    <t>Set Perfume Game of Spades Exclusive II Wilcard 100 ml + Emerald 90 ml Hombre Jo Milano</t>
  </si>
  <si>
    <t>COS6064</t>
  </si>
  <si>
    <t>Karl Lagerfeld</t>
  </si>
  <si>
    <t>Perfume Karl Ikonik Absolu PARFUM pour Femme 100 ml Karl Lagerfeld</t>
  </si>
  <si>
    <t>COS6917</t>
  </si>
  <si>
    <t>Perfume Karl Ikonik Absolu PARFUM pour Homme 100 ml Karl Lagerfeld</t>
  </si>
  <si>
    <t>COS6918</t>
  </si>
  <si>
    <t>Perfume Karl New York Mercer Street EDT 100 ml Hombre Karl Lagerfeld TESTER</t>
  </si>
  <si>
    <t>COS5854</t>
  </si>
  <si>
    <t>Perfume Karl Paris 21 Rue Saint-Guillaume EDP 100 ml Mujer Karl Lagerfeld TESTER</t>
  </si>
  <si>
    <t>COS5833</t>
  </si>
  <si>
    <t>Lacoste Essential 75ML EDT Hombre Lacoste</t>
  </si>
  <si>
    <t>LACO18</t>
  </si>
  <si>
    <t>Lacoste L.12.12 Rose Sparkling EDT 100 ML</t>
  </si>
  <si>
    <t>COS3365</t>
  </si>
  <si>
    <t>Lacoste LHomme Edt 100 Ml Hombre</t>
  </si>
  <si>
    <t>LAC06</t>
  </si>
  <si>
    <t>Lacoste Original Aqua EDP 100 ml Hombre</t>
  </si>
  <si>
    <t>COS6990</t>
  </si>
  <si>
    <t>Lacoste Pour Femme 90ML EDP Mujer Lacoste</t>
  </si>
  <si>
    <t>LAC3</t>
  </si>
  <si>
    <t>Lacoste Red EDT 125 ML Hombre</t>
  </si>
  <si>
    <t>COS2321</t>
  </si>
  <si>
    <t>Perfume L.12.12 Rose Sparkling EDT 50 ml Lacoste</t>
  </si>
  <si>
    <t>COS6317</t>
  </si>
  <si>
    <t>Perfume L.12.12 Silver Grey EDP 100 ml de Lacoste</t>
  </si>
  <si>
    <t>COS5775</t>
  </si>
  <si>
    <t>Perfume L.12.12 Silver Rose EDP 100 ml de Lacoste</t>
  </si>
  <si>
    <t>COS5776</t>
  </si>
  <si>
    <t>Perfume L.12.12 Silver Rose EDP 50 ml de Lacoste</t>
  </si>
  <si>
    <t>COS6965</t>
  </si>
  <si>
    <t>Perfume Lacoste L.12.12 Noir EDT 50 ml</t>
  </si>
  <si>
    <t>COS6306</t>
  </si>
  <si>
    <t>Perfume Lacoste Original EDP 100 ml</t>
  </si>
  <si>
    <t>COS4994</t>
  </si>
  <si>
    <t>Lancome</t>
  </si>
  <si>
    <t xml:space="preserve">La Nuit Trésor 75ML EDP Mujer Lancome         </t>
  </si>
  <si>
    <t>LANC05</t>
  </si>
  <si>
    <t>Idole Lancôme EDP 25 ml Mujer Recargable/Refill</t>
  </si>
  <si>
    <t>COS6610</t>
  </si>
  <si>
    <t>Lancôme Idôle EDT 25 ml</t>
  </si>
  <si>
    <t>COS4126</t>
  </si>
  <si>
    <t>Perfume Idole Peachn Roses EDP Fruitée 100 ml Lancôme</t>
  </si>
  <si>
    <t>COS6929</t>
  </si>
  <si>
    <t>Perfume La Vie Est Belle EDP 30 ml Lancome Recargable/Refillable Mujer</t>
  </si>
  <si>
    <t>L2850300</t>
  </si>
  <si>
    <t>Perfume Lancôme La Vie Est Belle L’Elixir EDP 50 ml Recargable/Refill</t>
  </si>
  <si>
    <t>COS4641</t>
  </si>
  <si>
    <t>Set Perfume Lancôme La Vida es Bella Iris Infini EDP 100 ml + Mini 10 ml</t>
  </si>
  <si>
    <t>COS4643</t>
  </si>
  <si>
    <t>Lattafa Ajayeb Dubai Portrait 100 ML EDP Unisex</t>
  </si>
  <si>
    <t>COS2661</t>
  </si>
  <si>
    <t>Lattafa Ajwad Pink to Pink EDP 60 ml. Unisex COS3591</t>
  </si>
  <si>
    <t>COS3591</t>
  </si>
  <si>
    <t>Lattafa Jasoor 100ml EDP unisex</t>
  </si>
  <si>
    <t>COS2663</t>
  </si>
  <si>
    <t>Lattafa Maahir EDP 100 ML Unisex</t>
  </si>
  <si>
    <t>COS1938</t>
  </si>
  <si>
    <t>Lattafa Qimmah For Women EDP 100 ML</t>
  </si>
  <si>
    <t>COS2504</t>
  </si>
  <si>
    <t>Lattafa Ramz Gold EDP 100 ML COS2409</t>
  </si>
  <si>
    <t>COS2409</t>
  </si>
  <si>
    <t>Lattafa Sehr Perfume EDP 100 ml</t>
  </si>
  <si>
    <t>COS3922</t>
  </si>
  <si>
    <t>Lattafa Shaheen Gold EDP 100 ml. Unisex</t>
  </si>
  <si>
    <t>COS2748</t>
  </si>
  <si>
    <t>Lattafa Teriaq EDP 100 ml</t>
  </si>
  <si>
    <t>COS4366</t>
  </si>
  <si>
    <t>Lattafa The Kingdom EDP 100 ml. Hombre</t>
  </si>
  <si>
    <t>COS4368</t>
  </si>
  <si>
    <t>Perfume Badee AL Oud Honor  And  Glory Edp 100ML Unisex de Lattafa</t>
  </si>
  <si>
    <t>COS3008</t>
  </si>
  <si>
    <t>Perfume Cookie Crave Give Me Gourmand EDP 75 ml Lattafa</t>
  </si>
  <si>
    <t>COS6049</t>
  </si>
  <si>
    <t>Perfume Decadent Delights Choco Pista Macaron EDP 50 ml Lattafa</t>
  </si>
  <si>
    <t>COS6955</t>
  </si>
  <si>
    <t>Perfume Decadent Delights Raspberry Macaron EDP 50 ml Lattafa</t>
  </si>
  <si>
    <t>COS6954</t>
  </si>
  <si>
    <t>Perfume Decadent Delights Salted Caramel Macaron EDP 50 ml Lattafa</t>
  </si>
  <si>
    <t>COS6953</t>
  </si>
  <si>
    <t>Perfume Decandent Delight Passion Fruit Macaron EDP 50 ml Lattafa</t>
  </si>
  <si>
    <t>COS6952</t>
  </si>
  <si>
    <t>Perfume Decandent Delight Rose Petal Macaron EDP 50 ml Lattafa</t>
  </si>
  <si>
    <t>COS6951</t>
  </si>
  <si>
    <t>Perfume Dynasty EDP 100 ml de Lattafa</t>
  </si>
  <si>
    <t>COS5613</t>
  </si>
  <si>
    <t>Perfume Eclaire Banoffi EDP 100 ml de Lattafa</t>
  </si>
  <si>
    <t>COS5738</t>
  </si>
  <si>
    <t>Perfume Eclaire Pistache EDP 100 ml Unisex de Lattafa</t>
  </si>
  <si>
    <t>COS5737</t>
  </si>
  <si>
    <t>Perfume Fakhar Platin EDP 100 ml de Lattafa</t>
  </si>
  <si>
    <t>COS5569</t>
  </si>
  <si>
    <t>Perfume Habik EDP 100 ml Hombre Lattafa</t>
  </si>
  <si>
    <t>COS5886</t>
  </si>
  <si>
    <t>Perfume Iam White Ana Abiyedh Scarlet EDP 60 ml Lattafa</t>
  </si>
  <si>
    <t>COS6190</t>
  </si>
  <si>
    <t>Perfume Lattafa Angham EDP 100 ml. Unisex</t>
  </si>
  <si>
    <t>COS4096</t>
  </si>
  <si>
    <t>Perfume Lattafa Asad EDP 12 ml Hombre Travel Spray</t>
  </si>
  <si>
    <t>COS4568</t>
  </si>
  <si>
    <t>Perfume Lattafa Badee Al Oud Noble Blush EDP 100 ml</t>
  </si>
  <si>
    <t>COS4574</t>
  </si>
  <si>
    <t>Perfume Lattafa Bayaan EDP 100 ml</t>
  </si>
  <si>
    <t>COS6881</t>
  </si>
  <si>
    <t>Perfume Lattafa Caprice Al Nashama EDP 100 ml Unisex</t>
  </si>
  <si>
    <t>COS3059</t>
  </si>
  <si>
    <t>Perfume Lattafa Eclaire EDP 100 ml</t>
  </si>
  <si>
    <t>COS4364</t>
  </si>
  <si>
    <t>Perfume Lattafa Fakhar Extrait EDP 100 ml</t>
  </si>
  <si>
    <t>COS2662</t>
  </si>
  <si>
    <t>Perfume Lattafa Hayaati EDP 100 ML Unisex</t>
  </si>
  <si>
    <t>COS2234</t>
  </si>
  <si>
    <t>Perfume Lattafa Hayaati Gold Elixir EDP 100 ML Unisex</t>
  </si>
  <si>
    <t>COS2243</t>
  </si>
  <si>
    <t>Perfume Lattafa Khamrah Dukhan EDP 100 ml</t>
  </si>
  <si>
    <t>COS4904</t>
  </si>
  <si>
    <t>Perfume Lattafa Khamrah EDP 100 ML Unisex</t>
  </si>
  <si>
    <t>COS2355</t>
  </si>
  <si>
    <t>Perfume Lattafa Khamrah Qahwa EDP 100 ml</t>
  </si>
  <si>
    <t>COS3446</t>
  </si>
  <si>
    <t>Perfume Lattafa Lail Maleki EDP 100 ML Unisex</t>
  </si>
  <si>
    <t>COS3035</t>
  </si>
  <si>
    <t>Perfume Lattafa Mashrabya EDP 100 ml Unisex</t>
  </si>
  <si>
    <t>COS4567</t>
  </si>
  <si>
    <t>Perfume Lattafa Musamam EDP 100 ml</t>
  </si>
  <si>
    <t>COS6880</t>
  </si>
  <si>
    <t>Perfume Lattafa Musamam White Intense EDP 100 ml. Unisex</t>
  </si>
  <si>
    <t>COS2745</t>
  </si>
  <si>
    <t>Perfume Lattafa Qaed al Fursan EDP 90 ML</t>
  </si>
  <si>
    <t>COS2357</t>
  </si>
  <si>
    <t>Perfume Lattafa Qaed Al Fursan Unlimited EDP 90 ml. Unisex</t>
  </si>
  <si>
    <t>COS2746</t>
  </si>
  <si>
    <t>Perfume Lattafa Yara EDP 12 ml Mujer Travel Spray</t>
  </si>
  <si>
    <t>COS4569</t>
  </si>
  <si>
    <t>Perfume Opulent Dubai EDP 100 ml Unisex de Lattafa</t>
  </si>
  <si>
    <t>COS5567</t>
  </si>
  <si>
    <t>Perfume Qaed Al Fursan Untamed EDP 90 ml Lattafa Unisex</t>
  </si>
  <si>
    <t>COS5465</t>
  </si>
  <si>
    <t>Perfume Ramz Lattafa Silver EDP 100 ML Unisex de Lattafa</t>
  </si>
  <si>
    <t>COS2217</t>
  </si>
  <si>
    <t>Perfume Yara Candy EDP 100 ml Mujer de Lattafa</t>
  </si>
  <si>
    <t>COS4322</t>
  </si>
  <si>
    <t>Perfume Yara Elixir 100 ml Lattafa</t>
  </si>
  <si>
    <t>COS6055</t>
  </si>
  <si>
    <t>Perfume Yara Moi EDP 100 ML Mujer de Lattafa</t>
  </si>
  <si>
    <t>COS2100</t>
  </si>
  <si>
    <t>Perfume Yara Tous EDP 100 ML Mujer de Lattafa</t>
  </si>
  <si>
    <t>COS2470</t>
  </si>
  <si>
    <t>Perfumed Spray BadeE Al Oud Honor And Glory White 200 ml Lattafa</t>
  </si>
  <si>
    <t>COS3762</t>
  </si>
  <si>
    <t>Set Perfume Asad EDP 100 ml + Perfume Spray 200 ml</t>
  </si>
  <si>
    <t>COS5570</t>
  </si>
  <si>
    <t>Set Perfume Badee Al Oud Noble Blush EDP 100 ml + Perfume Spray 200 ml Lattafa</t>
  </si>
  <si>
    <t>COS6956</t>
  </si>
  <si>
    <t>Set Perfume Eclaire EDP 100 ml + Perfume Spray 200 ml Lattafa</t>
  </si>
  <si>
    <t>COS6868</t>
  </si>
  <si>
    <t>Set Perfume Fakhar EDP 100 ml + Perfume Spray 200 ml Lattafa</t>
  </si>
  <si>
    <t>COS6869</t>
  </si>
  <si>
    <t>Set Perfume Fakhar Extrat EDP 100 ml + Perfume Spray 200 ml Lattafa</t>
  </si>
  <si>
    <t>COS6870</t>
  </si>
  <si>
    <t>Set Perfume Khamrah EDP 100 ml + Perfume Spray 200 ml + Ambientador 300 ml Lattafa</t>
  </si>
  <si>
    <t>COS6883</t>
  </si>
  <si>
    <t>Set Perfume Mayar EDP 100 ml + Perfume Spray 200 ml Lattafa</t>
  </si>
  <si>
    <t>COS6867</t>
  </si>
  <si>
    <t>Le Chameau</t>
  </si>
  <si>
    <t>Perfume Countryside Boulevard EDP 100 ml Le Chameau by Emper</t>
  </si>
  <si>
    <t>COS7195</t>
  </si>
  <si>
    <t>Perfume Countryside Junction EDP 100 ml Le Chameau by Emper</t>
  </si>
  <si>
    <t>COS7196</t>
  </si>
  <si>
    <t>Perfume Countryside Meadows EDP 100 ml Le Chameau by Emper</t>
  </si>
  <si>
    <t>COS7197</t>
  </si>
  <si>
    <t>Perfume Dallah Arabica EDP 100 ml Le Chameau Elite by Emper</t>
  </si>
  <si>
    <t>COS7206</t>
  </si>
  <si>
    <t>Perfume Dallah Cuba EDP 100 ml Le Chameau Elite by Emper</t>
  </si>
  <si>
    <t>COS7204</t>
  </si>
  <si>
    <t>Perfume Dallah Turkish EDP 100 ml Le Chameau Elite by Emper</t>
  </si>
  <si>
    <t>COS7205</t>
  </si>
  <si>
    <t>Perfume Iconic Dubai I EDP 100 ml Le Chameau by Emper</t>
  </si>
  <si>
    <t>COS7201</t>
  </si>
  <si>
    <t>Perfume Iconic Dubai II EDP 100 ml Le Chameau by Emper</t>
  </si>
  <si>
    <t>COS7202</t>
  </si>
  <si>
    <t>Perfume Iconic Dubai III EDP 100 ml Le Chameau by Emper</t>
  </si>
  <si>
    <t>COS7203</t>
  </si>
  <si>
    <t>Perfume Melissa Amber Nectar EDP 100 ml Le Chameau by Emper</t>
  </si>
  <si>
    <t>COS7217</t>
  </si>
  <si>
    <t>Perfume Melissa Royal Bee EDP 100 ml Le Chameau by Emper</t>
  </si>
  <si>
    <t>COS7212</t>
  </si>
  <si>
    <t>Perfume Melissa Wildflower Kiss EDP 100 ml Le Chameau by Emper</t>
  </si>
  <si>
    <t>COS7211</t>
  </si>
  <si>
    <t>Perfume Orchestra Beats EDP 100 ml Le Chameau Elite by Emper</t>
  </si>
  <si>
    <t>COS7199</t>
  </si>
  <si>
    <t>Perfume Orchestra Harmony EDP 100 ml Le Chameau Elite by Emper</t>
  </si>
  <si>
    <t>COS7200</t>
  </si>
  <si>
    <t>Perfume Orchestra Melody EDP 100 ml Le Chameau Elite by Emper</t>
  </si>
  <si>
    <t>COS7198</t>
  </si>
  <si>
    <t>Perfume Qafila 40 Miles EDP 100 ml Le Chameau by Emper</t>
  </si>
  <si>
    <t>COS7228</t>
  </si>
  <si>
    <t>Perfume Qafila Choco Dubai EDP 100 ml Le Chameau by Emper</t>
  </si>
  <si>
    <t>COS7229</t>
  </si>
  <si>
    <t>Perfume Qafila Choco Latte EDP 100 ml Le Chameau by Emper</t>
  </si>
  <si>
    <t>COS7225</t>
  </si>
  <si>
    <t>Perfume Qafila Journey To Heaven EDP 100 ml Le Chameau by Emper</t>
  </si>
  <si>
    <t>COS7227</t>
  </si>
  <si>
    <t>Perfume Qafila Pure Gold EDP 100 ml Le Chameau by Emper</t>
  </si>
  <si>
    <t>COS7226</t>
  </si>
  <si>
    <t>Perfume Qafila Torte EDP 100 ml Le Chameau by Emper</t>
  </si>
  <si>
    <t>COS7207</t>
  </si>
  <si>
    <t>Perfume Voyage Coral Waves EDP 100 ml Le Chameau Elite by Emper</t>
  </si>
  <si>
    <t>COS7194</t>
  </si>
  <si>
    <t>Perfume Voyage Sea Silk EDP 100 ml Le Chameau Elite by Emper</t>
  </si>
  <si>
    <t>COS7193</t>
  </si>
  <si>
    <t>Set Perfume Creme Couture Blueberry Punch EDP 100 ml + Roll On 10 ml Le Chameau by Emper</t>
  </si>
  <si>
    <t>COS7215</t>
  </si>
  <si>
    <t>Set Perfume Creme Couture Cotton Candy EDP 100 ml + Roll On 10 ml Le Chameau by Emper</t>
  </si>
  <si>
    <t>COS7213</t>
  </si>
  <si>
    <t>Set Perfume Creme Couture Kunafa Crush EDP 100 ml + Roll On 10 ml Le Chameau by Emper</t>
  </si>
  <si>
    <t>COS7214</t>
  </si>
  <si>
    <t>Set Perfume Creme Couture Lovely Latte EDP 100 ml + Roll On 10 ml Le Chameau by Emper</t>
  </si>
  <si>
    <t>COS7216</t>
  </si>
  <si>
    <t>Liz Claiborne</t>
  </si>
  <si>
    <t>Perfume Lucky Number 6 EDP 30 ML</t>
  </si>
  <si>
    <t>COS695</t>
  </si>
  <si>
    <t>LOEWE</t>
  </si>
  <si>
    <t>Perfume Earth Elixir EDP 100 ml Unisex LOEWE</t>
  </si>
  <si>
    <t>COS6994</t>
  </si>
  <si>
    <t>Perfume Loewe 7 EDT pour Homme 100 ml LOEWE</t>
  </si>
  <si>
    <t>COS7065</t>
  </si>
  <si>
    <t>Perfume Solo EDT 100 ml Hombre LOEWE</t>
  </si>
  <si>
    <t>COS6992</t>
  </si>
  <si>
    <t>Perfume Solo Ella EDP 100 ml Mujer LOEWE</t>
  </si>
  <si>
    <t>COS6991</t>
  </si>
  <si>
    <t>Lorenzo Pazzaglia</t>
  </si>
  <si>
    <t>Perfume Extreme Passion Extrait de Parfum 50 ml Lorenzo Pazzaglia Unisex</t>
  </si>
  <si>
    <t>COS6703</t>
  </si>
  <si>
    <t>Perfume Pax Extrait de Parfum 50 ml Lorenzo Pazzaglia Unisex</t>
  </si>
  <si>
    <t>COS6713</t>
  </si>
  <si>
    <t>Perfume Pink Milk Extrait de Parfum 50 ml Lorenzo Pazzaglia Unisex</t>
  </si>
  <si>
    <t>COS6712</t>
  </si>
  <si>
    <t>Perfume Que Chimba! Extrait de Parfum 50 ml Lorenzo Pazzaglia Unisex</t>
  </si>
  <si>
    <t>COS6716</t>
  </si>
  <si>
    <t>Perfume Sugar Kisses Extrait de Parfum 50 ml Lorenzo Pazzaglia Unisex</t>
  </si>
  <si>
    <t>COS6718</t>
  </si>
  <si>
    <t>Perfume Sum-Gria Extrait de Parfum 50 ml Lorenzo Pazzaglia Unisex</t>
  </si>
  <si>
    <t>COS6709</t>
  </si>
  <si>
    <t>Perfume Sweet Xplosion Extrait de Parfum 50 ml Lorenzo Pazzaglia Unisex</t>
  </si>
  <si>
    <t>COS6719</t>
  </si>
  <si>
    <t>Maison Alhambra</t>
  </si>
  <si>
    <t>Chants Tenderina Maison Alhambra All Over Perfume 150 ml Mujer</t>
  </si>
  <si>
    <t>COS5802</t>
  </si>
  <si>
    <t>Como Moiselle Maison Alhambra All Over Perfume 150 ml Mujer</t>
  </si>
  <si>
    <t>COS5803</t>
  </si>
  <si>
    <t>Daring Blue for Life pour Homme EDP 100 ml. Maison Alhambra</t>
  </si>
  <si>
    <t>COS3904</t>
  </si>
  <si>
    <t>Delilah pour Femme Maison Alhambra All Over Perfume 150 ml Mujer</t>
  </si>
  <si>
    <t>COS5804</t>
  </si>
  <si>
    <t>Forbidden Love Maison Alhambra All Over Perfume 150 ml Unisex</t>
  </si>
  <si>
    <t>COS5805</t>
  </si>
  <si>
    <t>Jean Lowe Immortel Maison Alhambra All Over Perfume 150 ml Hombre</t>
  </si>
  <si>
    <t>COS6410</t>
  </si>
  <si>
    <t>La Rouge Baroque Maison Alhambra All Over Perfume 150 ml Unisex</t>
  </si>
  <si>
    <t>COS5806</t>
  </si>
  <si>
    <t>La Vivacité Maison Alhambra All Over Perfume 150 ml Mujer</t>
  </si>
  <si>
    <t>COS5807</t>
  </si>
  <si>
    <t>Léonie Maison Alhambra All Over Perfume 150 ml Mujer</t>
  </si>
  <si>
    <t>COS5808</t>
  </si>
  <si>
    <t>Maison Alhambra Aquilo Pour Homme EDP 100 ml</t>
  </si>
  <si>
    <t>COS3239</t>
  </si>
  <si>
    <t>Maison Alhambra Bright Peach EDP 80 ml Unisex COS2821</t>
  </si>
  <si>
    <t>COS2821</t>
  </si>
  <si>
    <t>Maison Alhambra Camille for Women EDP 100 ml. Mujer</t>
  </si>
  <si>
    <t>COS4380</t>
  </si>
  <si>
    <t>Maison Alhambra Cerulean Blue EDP 100 ml. Unisex</t>
  </si>
  <si>
    <t>COS3557</t>
  </si>
  <si>
    <t>Maison Alhambra Dark Door Sport EDP 100 ML</t>
  </si>
  <si>
    <t>COS2424</t>
  </si>
  <si>
    <t>Maison Alhambra Domino Essence EDP 100ml</t>
  </si>
  <si>
    <t>COS4121</t>
  </si>
  <si>
    <t>Maison Alhambra Exclusif Rose Colletion EDP 100 ml</t>
  </si>
  <si>
    <t>COS3260</t>
  </si>
  <si>
    <t>Maison Alhambra Jean Lowe Azure EDP 100 ml. Unisex</t>
  </si>
  <si>
    <t>COS4381</t>
  </si>
  <si>
    <t>Maison Alhambra Jean Lowe Maitre EDP 100 ml</t>
  </si>
  <si>
    <t>COS3295</t>
  </si>
  <si>
    <t>Maison Alhambra La Rouge Baroque EDP 100 ml</t>
  </si>
  <si>
    <t>COS2478</t>
  </si>
  <si>
    <t>Maison Alhambra La Rouge Baroque Extreme EDP 100 ml. Unisex</t>
  </si>
  <si>
    <t>COS3058</t>
  </si>
  <si>
    <t>Maison Alhambra Megara EDP 50ml. Unisex COS3766</t>
  </si>
  <si>
    <t>COS3766</t>
  </si>
  <si>
    <t>Maison Alhambra Montaigne Coco EDP 100 ml Unisex</t>
  </si>
  <si>
    <t>COS2482</t>
  </si>
  <si>
    <t>Maison Alhambra Mysterious Amber EDP 80 ml. Unisex</t>
  </si>
  <si>
    <t>COS4378</t>
  </si>
  <si>
    <t>Maison Alhambra Olivia Blossom EDP 80 ML Para Mujer</t>
  </si>
  <si>
    <t>COS3238</t>
  </si>
  <si>
    <t>Maison Alhambra Opera Noir EDP 30 ml. Unisex</t>
  </si>
  <si>
    <t>COS3370</t>
  </si>
  <si>
    <t>Maison Alhambra Pacific Blue EDP 80 ml Unisex</t>
  </si>
  <si>
    <t>COS3909</t>
  </si>
  <si>
    <t>Maison Alhambra Philos Centro EDP 100 ml. Mujer</t>
  </si>
  <si>
    <t>COS3558</t>
  </si>
  <si>
    <t>Maison Alhambra Sceptre Amazonite EDP 100 ML</t>
  </si>
  <si>
    <t>COS2408</t>
  </si>
  <si>
    <t>Maison Alhambra Sceptre Bronzite EDP 100 ML Unisex</t>
  </si>
  <si>
    <t>COS2475</t>
  </si>
  <si>
    <t>Maison Alhambra Sceptre Oceana EDP 100 ML</t>
  </si>
  <si>
    <t>COS2385</t>
  </si>
  <si>
    <t>Maison Alhambra Sensual Vanilla EDP 80 ml. Unisex</t>
  </si>
  <si>
    <t>COS4377</t>
  </si>
  <si>
    <t>Maison Alhambra Summer Forever EDP 100ml</t>
  </si>
  <si>
    <t>COS4120</t>
  </si>
  <si>
    <t>Maison Alhambra Toscano Leather 80 ml EDP Unisex</t>
  </si>
  <si>
    <t>COS2481</t>
  </si>
  <si>
    <t>Maison Alhambra Your Touch for Men EDP 30 ml</t>
  </si>
  <si>
    <t>COS3369</t>
  </si>
  <si>
    <t>Maitre de Blue Maison Alhambra All Over Perfume 150 ml Hombre</t>
  </si>
  <si>
    <t>COS5809</t>
  </si>
  <si>
    <t>N°  2 Men Maison Alhambra All Over Perfume 150 ml Hombre</t>
  </si>
  <si>
    <t>COS6408</t>
  </si>
  <si>
    <t>Perfume Avant Ruby EDP 100 ml Maison Alhambra Mujer</t>
  </si>
  <si>
    <t>COS5454</t>
  </si>
  <si>
    <t>Perfume Chateau Ottoman EDP 100 ml Maison Alhambra</t>
  </si>
  <si>
    <t>COS6226</t>
  </si>
  <si>
    <t>Perfume Desirable Addiction EDP 100 ml Maison Alhambra</t>
  </si>
  <si>
    <t>COS5153</t>
  </si>
  <si>
    <t>Perfume Ebene EDP 90 ml Maison Alhambra</t>
  </si>
  <si>
    <t>COS6041</t>
  </si>
  <si>
    <t>Perfume Flint EDP 80 ml Maison Alhambra</t>
  </si>
  <si>
    <t>COS6044</t>
  </si>
  <si>
    <t>Perfume Glacier Le Noir EDP 30 ml Maison Alhambra</t>
  </si>
  <si>
    <t>COS5148</t>
  </si>
  <si>
    <t>Perfume Imperium EDP 100 ml Maison Alhambra</t>
  </si>
  <si>
    <t>COS5152</t>
  </si>
  <si>
    <t>Perfume in Perfect Harmony EDP 60 ml Maison Alhambra</t>
  </si>
  <si>
    <t>COS5151</t>
  </si>
  <si>
    <t>Perfume Jean Lowe Vibe EDP 100 ML de Maison Alhambra</t>
  </si>
  <si>
    <t>COS4839</t>
  </si>
  <si>
    <t>Perfume Jubilant Vitality EDP 100 ml Maison Alhambra</t>
  </si>
  <si>
    <t>COS5974</t>
  </si>
  <si>
    <t>Perfume Love Spark EDP 80 ml Maison Alhambra</t>
  </si>
  <si>
    <t>COS6042</t>
  </si>
  <si>
    <t>Perfume Maison Alhambra Decadent Dream EDP 100 ML Mujer</t>
  </si>
  <si>
    <t>COS4815</t>
  </si>
  <si>
    <t>Perfume Maison Alhambra Decadent Wonder EDP 100 ML Mujer</t>
  </si>
  <si>
    <t>COS4816</t>
  </si>
  <si>
    <t>Perfume Maison Alhambra Glacier Bella EDP 30 ML Mujer</t>
  </si>
  <si>
    <t>COS5307</t>
  </si>
  <si>
    <t>Perfume Maison Alhambra Glacier Gold EDP 30 ML</t>
  </si>
  <si>
    <t>COS5322</t>
  </si>
  <si>
    <t>Perfume Maison Alhambra Joyous Infini Oud EDP 100 ml</t>
  </si>
  <si>
    <t>COS3399</t>
  </si>
  <si>
    <t>Perfume Maison Alhambra Kingsman EDP 30 ml Hombre</t>
  </si>
  <si>
    <t>COS6339</t>
  </si>
  <si>
    <t>Perfume Maison Alhambra Lava EDP 100 ml</t>
  </si>
  <si>
    <t>COS4518</t>
  </si>
  <si>
    <t>Perfume Maison Alhambra Luminous Vivid EDP 100 ml Unisex</t>
  </si>
  <si>
    <t>COS5022</t>
  </si>
  <si>
    <t>Perfume Maison Alhambra Luxe Bold EDP 100 ml Unisex</t>
  </si>
  <si>
    <t>COS5017</t>
  </si>
  <si>
    <t>Perfume Maison Alhambra Luxe Emerald EDP 100 ml Unisex</t>
  </si>
  <si>
    <t>COS5020</t>
  </si>
  <si>
    <t>Perfume Maison Alhambra Luxe Gold EDP 100 ml Unisex</t>
  </si>
  <si>
    <t>COS5018</t>
  </si>
  <si>
    <t>Perfume Maison Alhambra Mia Dolcezza Verde EDP 100 ml Unisex</t>
  </si>
  <si>
    <t>COS5014</t>
  </si>
  <si>
    <t>Perfume Maison Alhambra Rose Petals EDP 80 ml Unisex</t>
  </si>
  <si>
    <t>COS2819</t>
  </si>
  <si>
    <t>Perfume Maison Alhambra Sceptre Malachite EDP 100 ML</t>
  </si>
  <si>
    <t>COS2384</t>
  </si>
  <si>
    <t>Perfume Maison Alhambra Spectrum EDP 100 ml</t>
  </si>
  <si>
    <t>COS4910</t>
  </si>
  <si>
    <t>Perfume Maison Alhambra Victorioso Heroic EDP 100 ml Hombre</t>
  </si>
  <si>
    <t>COS5023</t>
  </si>
  <si>
    <t>Perfume Maison Alhambra Winsome EDP 90 ml</t>
  </si>
  <si>
    <t>COS3255</t>
  </si>
  <si>
    <t>Perfume Maison Alhambra Woody Oud EDP 80 ml. Unisex</t>
  </si>
  <si>
    <t>COS3032</t>
  </si>
  <si>
    <t>Perfume Maison Alhambra Your Touch Oud EDP 100 ML Hombre</t>
  </si>
  <si>
    <t>COS4806</t>
  </si>
  <si>
    <t>Perfume Maison Alhambra Your Touch Tabaco EDP 100 ML Hombre</t>
  </si>
  <si>
    <t>COS4814</t>
  </si>
  <si>
    <t>Perfume Minérale Gold EDP 100 ml Maison Alhambra</t>
  </si>
  <si>
    <t>COS5976</t>
  </si>
  <si>
    <t>Perfume Mist Alive Now 250 ml Maison Alhambra</t>
  </si>
  <si>
    <t>COS6417</t>
  </si>
  <si>
    <t>Perfume Mist B.A.D Femme 250 ml Maison Alhambra</t>
  </si>
  <si>
    <t>COS6423</t>
  </si>
  <si>
    <t>Perfume Mist Chants 250 ml Maison Alhambra</t>
  </si>
  <si>
    <t>COS6418</t>
  </si>
  <si>
    <t>Perfume Mist Delilah pour Femme 250 ml Maison Alhambra</t>
  </si>
  <si>
    <t>COS6421</t>
  </si>
  <si>
    <t>Perfume Mist Desirable Addiction 250 ml Maison Alhambra</t>
  </si>
  <si>
    <t>COS6422</t>
  </si>
  <si>
    <t>Perfume Mist Glacier Bella 250 ml Maison Alhambra</t>
  </si>
  <si>
    <t>COS6424</t>
  </si>
  <si>
    <t>Perfume Mist Intrude 250 ml Maison Alhambra</t>
  </si>
  <si>
    <t>COS6425</t>
  </si>
  <si>
    <t>Perfume Mist La Voie 250 ml Maison Alhambra</t>
  </si>
  <si>
    <t>COS6416</t>
  </si>
  <si>
    <t>Perfume Mist Love Spark 250 ml Maison Alhambra</t>
  </si>
  <si>
    <t>COS6415</t>
  </si>
  <si>
    <t>Perfume Mist Mia Dolcezza 250 ml Maison Alhambra</t>
  </si>
  <si>
    <t>COS6414</t>
  </si>
  <si>
    <t>Perfume Mist Opera Noir 250 ml Maison Alhambra</t>
  </si>
  <si>
    <t>COS6419</t>
  </si>
  <si>
    <t>Perfume Mist Opera Rouge 250 ml Maison Alhambra</t>
  </si>
  <si>
    <t>COS6672</t>
  </si>
  <si>
    <t>Perfume Mist Pink Eclipse 250 ml Maison Alhambra</t>
  </si>
  <si>
    <t>COS6413</t>
  </si>
  <si>
    <t>Perfume Mist Pink Shimmer Secret 250 ml Maison Alhambra</t>
  </si>
  <si>
    <t>COS6420</t>
  </si>
  <si>
    <t>Perfume Mist So Candid 250 ml Maison Alhambra</t>
  </si>
  <si>
    <t>COS6426</t>
  </si>
  <si>
    <t>Perfume Philos Shine EDP 100 ml Maison Alhambra</t>
  </si>
  <si>
    <t>COS5972</t>
  </si>
  <si>
    <t>Perfume Reyna pour Femme EDP 30 ml Maison Alhambra</t>
  </si>
  <si>
    <t>COS6040</t>
  </si>
  <si>
    <t>Perfume Sceptre Desert EDP 100 ml Unisex de Maison Alhambra</t>
  </si>
  <si>
    <t>COS5513</t>
  </si>
  <si>
    <t>Perfume Sugar Me Candy Floss EDP 100 ml Maison Alhambra</t>
  </si>
  <si>
    <t>COS6232</t>
  </si>
  <si>
    <t>Perfume Sugar Me Carrot Cake EDP 100 ml Maison Alhambra</t>
  </si>
  <si>
    <t>COS6231</t>
  </si>
  <si>
    <t>Perfume Sugar Me Creme Brulee EDP 100 ml Maison Alhambra</t>
  </si>
  <si>
    <t>COS6233</t>
  </si>
  <si>
    <t>Perfume Sugar Me Dulce de Leche EDP 100 ml Maison Alhambra</t>
  </si>
  <si>
    <t>COS6235</t>
  </si>
  <si>
    <t>Perfume Sugar Me Marshmallow Dream EDP 100 ml Maison Alhambra</t>
  </si>
  <si>
    <t>COS6236</t>
  </si>
  <si>
    <t>Perfume Sugar Me Pistachio Chocolate EDP 100 ml Maison Alhambra</t>
  </si>
  <si>
    <t>COS6234</t>
  </si>
  <si>
    <t>Perfume The Aurum Luxura EDP 100 ml Maison Alhambra</t>
  </si>
  <si>
    <t>COS6229</t>
  </si>
  <si>
    <t>Perfume The Memory of Oud 60 ml Maison Alhambra</t>
  </si>
  <si>
    <t>COS5147</t>
  </si>
  <si>
    <t>Perfume Tonic Ice EDP 100 ml Maison Alhambra</t>
  </si>
  <si>
    <t>COS5391</t>
  </si>
  <si>
    <t>Perfume Tonic Malt EDP 100 ml Maison Alhambra</t>
  </si>
  <si>
    <t>COS5390</t>
  </si>
  <si>
    <t>Perfume Unknown n° Deep Woods EDP 100 ml Maison Alhambra</t>
  </si>
  <si>
    <t>COS6338</t>
  </si>
  <si>
    <t>Perfume Vogue Night Maison Alhambra Edp 100ML Unisex</t>
  </si>
  <si>
    <t>COS5232</t>
  </si>
  <si>
    <t>Perfume Vogue Rouge EDP 100 ml Mujer Maison Alhambra</t>
  </si>
  <si>
    <t>COS5234</t>
  </si>
  <si>
    <t>Perfume Your Touch Santal EDP 100 ml Unisex de Maison Alhambra</t>
  </si>
  <si>
    <t>COS5511</t>
  </si>
  <si>
    <t>Philos Pura Maison Alhambra All Over Perfume 150 ml Unisex</t>
  </si>
  <si>
    <t>COS5810</t>
  </si>
  <si>
    <t>Salvo Maison Alhambra All Over Perfume 150 ml Hombre</t>
  </si>
  <si>
    <t>COS5811</t>
  </si>
  <si>
    <t>Sceptre Malachite Maison Alhambra All Over Perfume 150 ml Unisex</t>
  </si>
  <si>
    <t>COS6411</t>
  </si>
  <si>
    <t>So Candid pour Femme Maison Alhambra All Over Perfume 150 ml</t>
  </si>
  <si>
    <t>COS5812</t>
  </si>
  <si>
    <t>Yeah Man Maison Alhambra All Over Perfume 150 ml Hombre</t>
  </si>
  <si>
    <t>COS6409</t>
  </si>
  <si>
    <t>Maison Asrar</t>
  </si>
  <si>
    <t>Perfume Amal EPD 100 ml Maison Asrar</t>
  </si>
  <si>
    <t>COS6490</t>
  </si>
  <si>
    <t>Perfume Aseel EDP 100 ml Maison Asrar</t>
  </si>
  <si>
    <t>COS6500</t>
  </si>
  <si>
    <t>Perfume Black EDP 100 ml Maison Asrar .</t>
  </si>
  <si>
    <t>COS6516</t>
  </si>
  <si>
    <t>Perfume Cleopatra EDP 100 ml Maison Asrar</t>
  </si>
  <si>
    <t>COS6534</t>
  </si>
  <si>
    <t>Perfume Emessa EDP 100 ml Maison Asrar</t>
  </si>
  <si>
    <t>COS5660</t>
  </si>
  <si>
    <t>Perfume Fairyland EDP 100 ml Maison Asrar</t>
  </si>
  <si>
    <t>COS6517</t>
  </si>
  <si>
    <t>Perfume Hamsat Ishq EDP 100 ml Maison Asrar .</t>
  </si>
  <si>
    <t>COS6531</t>
  </si>
  <si>
    <t>Perfume Harmony EDP 100 ml Maison Asrar .</t>
  </si>
  <si>
    <t>COS6512</t>
  </si>
  <si>
    <t>Perfume Hilm EDP 100 ml Maison Asrar</t>
  </si>
  <si>
    <t>COS6503</t>
  </si>
  <si>
    <t>Perfume Hunter EDP 100 ml Maison Asrar</t>
  </si>
  <si>
    <t>COS6521</t>
  </si>
  <si>
    <t>Perfume Khateer EDP 100 ml Maison Asrar</t>
  </si>
  <si>
    <t>COS6504</t>
  </si>
  <si>
    <t>Perfume Khayyal EDP 100 ml Maison Asrar .</t>
  </si>
  <si>
    <t>COS6537</t>
  </si>
  <si>
    <t>Perfume Kiss My Lips EDP 90 ml Maison Asrar .</t>
  </si>
  <si>
    <t>COS6494</t>
  </si>
  <si>
    <t>Perfume Legacy EDP 100 ml Maison Asrar</t>
  </si>
  <si>
    <t>COS5652</t>
  </si>
  <si>
    <t>Perfume Leo EDP 100 ml Maison Asrar .</t>
  </si>
  <si>
    <t>COS6755</t>
  </si>
  <si>
    <t>Perfume Love Key EDP 100 ml Maison Asrar</t>
  </si>
  <si>
    <t>COS6489</t>
  </si>
  <si>
    <t>Perfume Majesty Royal Collection EDP 100 ml Maison Asrar</t>
  </si>
  <si>
    <t>COS6749</t>
  </si>
  <si>
    <t>Perfume Masterpiece EDP 100 ml Maison Asrar</t>
  </si>
  <si>
    <t>COS6475</t>
  </si>
  <si>
    <t>Perfume Mohra EDP 100 ml Maison Asrar</t>
  </si>
  <si>
    <t>COS6507</t>
  </si>
  <si>
    <t>Perfume Nada EDP 100 ml Maison Asrar</t>
  </si>
  <si>
    <t>COS6473</t>
  </si>
  <si>
    <t>Perfume Never Forget Me EDP 90 ml Maison Asrar .</t>
  </si>
  <si>
    <t>COS6496</t>
  </si>
  <si>
    <t>Perfume Night in Paris EDP 90 ml Maison Asrar .</t>
  </si>
  <si>
    <t>COS6495</t>
  </si>
  <si>
    <t>Perfume Oh Honey EDP 100 ml Maison Asrar</t>
  </si>
  <si>
    <t>COS5654</t>
  </si>
  <si>
    <t>Perfume Oscar EDP 100 ml Maison Asrar .</t>
  </si>
  <si>
    <t>COS6519</t>
  </si>
  <si>
    <t>Perfume Pink Crush EDP 100 ml Maison Asrar</t>
  </si>
  <si>
    <t>COS5656</t>
  </si>
  <si>
    <t>Perfume Plot Twist EDP 100 ml Maison Asrar</t>
  </si>
  <si>
    <t>COS6529</t>
  </si>
  <si>
    <t>Perfume Regent Royal Collection EDP 100 ml Maison Asrar .</t>
  </si>
  <si>
    <t>COS6748</t>
  </si>
  <si>
    <t>Perfume Shaheen EDP 110 ml Maison Asrar</t>
  </si>
  <si>
    <t>COS6480</t>
  </si>
  <si>
    <t>Perfume Soireé EDP 100 ml Maison Asrar</t>
  </si>
  <si>
    <t>COS5655</t>
  </si>
  <si>
    <t>Perfume Sunset in Capri EDP 90 ml Maison Asrar .</t>
  </si>
  <si>
    <t>COS6492</t>
  </si>
  <si>
    <t>Perfume Throne Eclipse EDP 100 ml Maison Asrar .</t>
  </si>
  <si>
    <t>COS6497</t>
  </si>
  <si>
    <t>Perfume Throne EDP 100 ml Maison Asrar .</t>
  </si>
  <si>
    <t>COS6493</t>
  </si>
  <si>
    <t>Perfume Treasure Royal Collection EDP 100 ml Maison Asrar</t>
  </si>
  <si>
    <t>COS6750</t>
  </si>
  <si>
    <t>Perfume Unsolved Mystery EDP 100 ml Maison Asrar</t>
  </si>
  <si>
    <t>COS6485</t>
  </si>
  <si>
    <t>Perfume Vanguard Royal Collection EDP 100 ml Maison Asrar</t>
  </si>
  <si>
    <t>COS6743</t>
  </si>
  <si>
    <t>Perfume Vanilla Aura EDP 100 ml Maison Asrar</t>
  </si>
  <si>
    <t>COS6479</t>
  </si>
  <si>
    <t>Perfume Vanilla Seduction EDP 100 ml Maison Asrar</t>
  </si>
  <si>
    <t>COS6476</t>
  </si>
  <si>
    <t>Perfume Vision EDP 100 ml Maison Asrar</t>
  </si>
  <si>
    <t>COS5653</t>
  </si>
  <si>
    <t>Perfume Whisper EDP 100 ml Maison Asrar .</t>
  </si>
  <si>
    <t>COS6518</t>
  </si>
  <si>
    <t>Perfume Wood Intense EDP 80 ml Maison Asrar</t>
  </si>
  <si>
    <t>COS6487</t>
  </si>
  <si>
    <t>Mandarina Duck</t>
  </si>
  <si>
    <t>Perfume Let s Travel To New York for Man EDT 100 ml Hombre Mandarina Duck TESTER</t>
  </si>
  <si>
    <t>COS5837</t>
  </si>
  <si>
    <t>Perfume Let s Travel To Paris for Man EDT 100 ml Mandarina Duck TESTER</t>
  </si>
  <si>
    <t>COS5853</t>
  </si>
  <si>
    <t>Matin Martin</t>
  </si>
  <si>
    <t>Perfume Santorini EDP 100 ml Matin Martin .</t>
  </si>
  <si>
    <t>COS6498</t>
  </si>
  <si>
    <t>Memwa</t>
  </si>
  <si>
    <t>Perfume Liberty EDP 90 ml Memwa</t>
  </si>
  <si>
    <t>COS6522</t>
  </si>
  <si>
    <t>Perfume Memwa Adventure EDP 100 ml</t>
  </si>
  <si>
    <t>COS6462</t>
  </si>
  <si>
    <t>Perfume Memwa EDP 110 ml de Memwa .</t>
  </si>
  <si>
    <t>COS6477</t>
  </si>
  <si>
    <t>Perfume Top Summer EDP 100 ml Memwa</t>
  </si>
  <si>
    <t>COS6527</t>
  </si>
  <si>
    <t>Mercedes Benz</t>
  </si>
  <si>
    <t>Mercedes Benz Pop Edition EDP 90 ml for Women</t>
  </si>
  <si>
    <t>COS2624</t>
  </si>
  <si>
    <t>Mokib Parfums</t>
  </si>
  <si>
    <t>Perfume Mokib Ambrato Oud Parfum 100 ml Mokib Parfums</t>
  </si>
  <si>
    <t>COS5342</t>
  </si>
  <si>
    <t>Perfume Mokib Misterioso Oud Parfum 100 ml Mokib Parfums</t>
  </si>
  <si>
    <t>COS5347</t>
  </si>
  <si>
    <t>Moncler</t>
  </si>
  <si>
    <t>Moncler pour Femme EDP 100 ml</t>
  </si>
  <si>
    <t>COS3542</t>
  </si>
  <si>
    <t>Moncler pour Femme EDP 150 ml. Refill Recharge</t>
  </si>
  <si>
    <t>COS3537</t>
  </si>
  <si>
    <t>Moncler pour Femme EDP 150 ml. With Led Screen. Recargable</t>
  </si>
  <si>
    <t>COS3538</t>
  </si>
  <si>
    <t>Moncler pour Homme EDP 150 ml. Refill Recharge</t>
  </si>
  <si>
    <t>COS3539</t>
  </si>
  <si>
    <t>Moncler pour Homme EDP 150 ml. With Led Screen. Recargable</t>
  </si>
  <si>
    <t>COS3536</t>
  </si>
  <si>
    <t>Moncler pour Homme EDP 60 ml</t>
  </si>
  <si>
    <t>COS3541</t>
  </si>
  <si>
    <t>Perfume Moncler pour Homme EDP 100 ml</t>
  </si>
  <si>
    <t>COS3543</t>
  </si>
  <si>
    <t>Legend Mont Blanc Men EDP 100 Ml</t>
  </si>
  <si>
    <t>COS454</t>
  </si>
  <si>
    <t>Montblanc Individuel Tonic EDT 75 ML</t>
  </si>
  <si>
    <t>COS1281</t>
  </si>
  <si>
    <t>Montblanc Legend Blue EDP 100 ml Hombre</t>
  </si>
  <si>
    <t>COS4553</t>
  </si>
  <si>
    <t>Montblanc Legend Blue EDP 30 ml Hombre</t>
  </si>
  <si>
    <t>COS6312</t>
  </si>
  <si>
    <t>Perfume Explorer Extreme Parfum 100 ml Montblanc</t>
  </si>
  <si>
    <t>COS5777</t>
  </si>
  <si>
    <t>Perfume Individuel EDT 50 ml Hombre Montblanc</t>
  </si>
  <si>
    <t>COS6322</t>
  </si>
  <si>
    <t>Perfume Legend EDP 50 ml Montblanc</t>
  </si>
  <si>
    <t>COS6321</t>
  </si>
  <si>
    <t>Perfume Legend Elixir Montblanc Parfum 50 ml</t>
  </si>
  <si>
    <t>COS7245</t>
  </si>
  <si>
    <t>Perfume Legend Men EDT 50 ml Hombre Montblanc</t>
  </si>
  <si>
    <t>COS6319</t>
  </si>
  <si>
    <t>Perfume Legend Spirit EDT Hombre 100ML</t>
  </si>
  <si>
    <t>MONB15</t>
  </si>
  <si>
    <t>Perfume Legend Spirit EDT Hombre 30 ml Montblanc</t>
  </si>
  <si>
    <t>COS6304</t>
  </si>
  <si>
    <t>Perfume Montblanc Signature Absolue EDP 90 ml</t>
  </si>
  <si>
    <t>COS4594</t>
  </si>
  <si>
    <t>Perfume Starwalker 75ML EDT Hombre</t>
  </si>
  <si>
    <t>MONB14</t>
  </si>
  <si>
    <t>Set Perfume Legend Spirit EDT 50 ml + Gel Ducha Integral 100 ml Montblanc</t>
  </si>
  <si>
    <t>COS6764</t>
  </si>
  <si>
    <t>Moschino Toy 2 Bubble Gum EDT 100 ML Mujer COS1245</t>
  </si>
  <si>
    <t>COS1245</t>
  </si>
  <si>
    <t>MOSCHINO TOY 2 EDP 100ML MUJER</t>
  </si>
  <si>
    <t>MOS10</t>
  </si>
  <si>
    <t>Mykonos</t>
  </si>
  <si>
    <t>Perfume Bonfire Vanilla EDP 50 ml Mykonos</t>
  </si>
  <si>
    <t>COS7104</t>
  </si>
  <si>
    <t>Perfume Dreamscape EDP 100 ml Mykonos</t>
  </si>
  <si>
    <t>COS7101</t>
  </si>
  <si>
    <t>Perfume Glitch EDP 100 ml Mykonos</t>
  </si>
  <si>
    <t>COS7107</t>
  </si>
  <si>
    <t>Perfume Milk Drops EDP 50 ml Mykonos</t>
  </si>
  <si>
    <t>COS7105</t>
  </si>
  <si>
    <t>Perfume Pink Drops EDP 50 ml Mykonos</t>
  </si>
  <si>
    <t>COS7106</t>
  </si>
  <si>
    <t>Perfume Reflection EDP 100 ml Mykonos</t>
  </si>
  <si>
    <t>COS7102</t>
  </si>
  <si>
    <t>Perfume Sorrento EDP 100 ml Mykonos</t>
  </si>
  <si>
    <t>COS7103</t>
  </si>
  <si>
    <t>Nina Ricci</t>
  </si>
  <si>
    <t>Perfume Nina Nature Edición Limitada EDT 50 ml Nina Ricci</t>
  </si>
  <si>
    <t>COS4589</t>
  </si>
  <si>
    <t>Perfume Nina Ricci LAir du Temps x Alix D. Reynis EDP 50 ML Mujer</t>
  </si>
  <si>
    <t>COS4545</t>
  </si>
  <si>
    <t>Lady Million 80ML EDP Mujer Paco Rabanne</t>
  </si>
  <si>
    <t>PDL1208</t>
  </si>
  <si>
    <t>Olympea 80ML EDP Mujer Paco Rabanne</t>
  </si>
  <si>
    <t>PDL1222</t>
  </si>
  <si>
    <t>Paco Rabanne 1 million EDT 50 ML Hombre</t>
  </si>
  <si>
    <t>COS1446</t>
  </si>
  <si>
    <t>Paco Rabanne 1 Million Parfum 200 ML Hombre</t>
  </si>
  <si>
    <t>COS1335</t>
  </si>
  <si>
    <t>Paco Rabanne Fame EDP 30 ML Mujer</t>
  </si>
  <si>
    <t>COS3984</t>
  </si>
  <si>
    <t>Paco Rabanne Fame EDP 80 ML Refillable (Botella Rellenable) Mujer</t>
  </si>
  <si>
    <t>COS2018</t>
  </si>
  <si>
    <t>Paco Rabanne Fame EDP Intense 30 ml</t>
  </si>
  <si>
    <t>COS4045</t>
  </si>
  <si>
    <t>Paco Rabanne Fame EDP Intense 80 ml Recargable / Refillable</t>
  </si>
  <si>
    <t>COS4047</t>
  </si>
  <si>
    <t>Paco Rabanne Fame Parfum 30 ml</t>
  </si>
  <si>
    <t>COS4303</t>
  </si>
  <si>
    <t>Paco Rabanne Invictus Victory EDP EXTREME 100 ML Hombre</t>
  </si>
  <si>
    <t>COS1288</t>
  </si>
  <si>
    <t>Paco Rabanne Lady Million Royal EDP 30 ML Mujer</t>
  </si>
  <si>
    <t>COS3655</t>
  </si>
  <si>
    <t>Paco Rabanne Lady Million Royal EDP 50 ML Mujer</t>
  </si>
  <si>
    <t>COS3657</t>
  </si>
  <si>
    <t>Paco Rabanne Phantom EDT 50 ML Hombre</t>
  </si>
  <si>
    <t>COS1380</t>
  </si>
  <si>
    <t>Perfume 1 Million Elixir Parfum Intense 50 ml Paco Rabanne</t>
  </si>
  <si>
    <t>COS1437</t>
  </si>
  <si>
    <t>Perfume Black Xs 100 ml EDT Paco Rabanne</t>
  </si>
  <si>
    <t>PDL1219</t>
  </si>
  <si>
    <t>Perfume Fame In Love Parfum Elixir 30 ml Mujer Rabanne</t>
  </si>
  <si>
    <t>COS6906</t>
  </si>
  <si>
    <t>Perfume Fame In Love Parfum Elixir 50 ml Mujer Rabanne</t>
  </si>
  <si>
    <t>COS6905</t>
  </si>
  <si>
    <t>Perfume Million Gold Elixir Parfum Intense 200 ml 2025 Paco Rabanne</t>
  </si>
  <si>
    <t>COS6023</t>
  </si>
  <si>
    <t>Perfume Million Gold Elixir Parfum Intense 50 ml 2025 Paco Rabanne</t>
  </si>
  <si>
    <t>COS6022</t>
  </si>
  <si>
    <t>Perfume Million Gold for Her EDP 90 ml Recargable/Refill Paco Rabanne</t>
  </si>
  <si>
    <t>COS5062</t>
  </si>
  <si>
    <t>Perfume Olympéa Parfum 80 ml Paco Rabanne</t>
  </si>
  <si>
    <t>COS5061</t>
  </si>
  <si>
    <t>Perfume One Million EDT 100ml. Hombre Paco Rabanne</t>
  </si>
  <si>
    <t>PDL1224</t>
  </si>
  <si>
    <t>Perfume Paco Rabanne 1 Million Elixir Parfum Intense 100 ML</t>
  </si>
  <si>
    <t>COS2760</t>
  </si>
  <si>
    <t>Perfume Paco Rabanne 1 Million Elixir Parfum Intense 200 ML</t>
  </si>
  <si>
    <t>COS3440</t>
  </si>
  <si>
    <t>Perfume Paco Rabanne Million Gold EDP 100 ML Hombre</t>
  </si>
  <si>
    <t>COS5282</t>
  </si>
  <si>
    <t>Perfume Paco Rabanne Million Gold EDP 50 ML Hombre</t>
  </si>
  <si>
    <t>COS5281</t>
  </si>
  <si>
    <t>Perfume Paco Rabanne Million Gold EDP Intense 200 ml Hombre</t>
  </si>
  <si>
    <t>COS5283</t>
  </si>
  <si>
    <t>Perfume Paco Rabanne Million Gold for Her EDP 30 ML Mujer</t>
  </si>
  <si>
    <t>COS5280</t>
  </si>
  <si>
    <t>Perfume Paco Rabanne Million Gold for Her EDP 50 ML Mujer</t>
  </si>
  <si>
    <t>COS5279</t>
  </si>
  <si>
    <t>Perfume Paco Rabanne Olympéa Parfum 30 ML Mujer</t>
  </si>
  <si>
    <t>COS5287</t>
  </si>
  <si>
    <t>Perfume Paco Rabanne Olympéa Parfum 50 ML Mujer</t>
  </si>
  <si>
    <t>COS5275</t>
  </si>
  <si>
    <t>Perfume Paco Rabanne Phantom EDT 200 ml Recargable/Refill</t>
  </si>
  <si>
    <t>COS4759</t>
  </si>
  <si>
    <t>Perfume Phantom Elixir Parfum Intense 150 ml Paco Rabanne Recargable / Refill</t>
  </si>
  <si>
    <t>COS6016</t>
  </si>
  <si>
    <t>Perfume Phantom Intense EDP Intense 100 ml Paco Rabanne</t>
  </si>
  <si>
    <t>COS5035</t>
  </si>
  <si>
    <t>Perfume Phantom Intense EDP Intense 150 ml Recargable/Refill Paco Rabanne</t>
  </si>
  <si>
    <t>COS5034</t>
  </si>
  <si>
    <t>Perfume Phantom Parfum 200 ml Paco Rabanne Recargable/Refill</t>
  </si>
  <si>
    <t>COS6909</t>
  </si>
  <si>
    <t>Set Perfume 1 Million EDT 50 ml + Deo 150 ml + Travel Spray 10 ml Paco Rabanne 2025</t>
  </si>
  <si>
    <t>COS6997</t>
  </si>
  <si>
    <t>Set Perfume Lady Million EDP 50 ml + Travel Spray 10 ml Paco Rabanne 2025</t>
  </si>
  <si>
    <t>COS7005</t>
  </si>
  <si>
    <t>Set Perfume Million Gold for Her EDP 90 ml + Eyephoria Rockstar Máscara 8 ml 2026 Paco Rabanne</t>
  </si>
  <si>
    <t>COS6576</t>
  </si>
  <si>
    <t>Set Perfume Phantom Elixir 100 ml + Mini Parfum 10 ml + Deo Parfum 150 ml Paco Rabanne 2026</t>
  </si>
  <si>
    <t>COS6579</t>
  </si>
  <si>
    <t>Paloma Picasso</t>
  </si>
  <si>
    <t>Paloma Picasso 100ML EDP Mujer Paloma Picasso</t>
  </si>
  <si>
    <t>PP2</t>
  </si>
  <si>
    <t>Paris Corner</t>
  </si>
  <si>
    <t>Paris Corner Atomise Intensive Men EDP 100 ml (JPG Ultra Male)</t>
  </si>
  <si>
    <t>COS4191</t>
  </si>
  <si>
    <t>Paris Corner Mawj Cognac Blaze EDP 100 ml (Angels Share by Kilian)</t>
  </si>
  <si>
    <t>COS4150</t>
  </si>
  <si>
    <t>Paris Corner Rich Santal Emir Factory Edition EDP 100 ml (Rich Santal 33) COS4151</t>
  </si>
  <si>
    <t>COS4151</t>
  </si>
  <si>
    <t>Perfume A Chaos in the Ocean Valar Series EDP 100 ml Emir</t>
  </si>
  <si>
    <t>COS5678</t>
  </si>
  <si>
    <t>Perfume Affogato al Caffe EDP 100 ml Paris Corner</t>
  </si>
  <si>
    <t>COS6095</t>
  </si>
  <si>
    <t>Perfume Bayn Al Asrar in between the secrets EDP 80 ml Paris Corner</t>
  </si>
  <si>
    <t>COS5111</t>
  </si>
  <si>
    <t>Perfume Caramel Bash EDP 100 ml Paris Corner .</t>
  </si>
  <si>
    <t>COS6636</t>
  </si>
  <si>
    <t>Perfume Cherry Cola Extrait de Parfum 75 ml Emir</t>
  </si>
  <si>
    <t>COS5695</t>
  </si>
  <si>
    <t>Perfume Cherry Gossip EDP 100 ml Paris Corner .</t>
  </si>
  <si>
    <t>COS6632</t>
  </si>
  <si>
    <t>Perfume Choco Cult EDP 100 ml Ministry of Gourmand</t>
  </si>
  <si>
    <t>COS5683</t>
  </si>
  <si>
    <t>Perfume Chocolait EDP 100 ml Paris Corner</t>
  </si>
  <si>
    <t>COS6633</t>
  </si>
  <si>
    <t>Perfume Cosmic Giardino EDP 100 ml Paris Corner</t>
  </si>
  <si>
    <t>COS5679</t>
  </si>
  <si>
    <t>Perfume December Rose EDP 85 ml Unisex Paris Corner</t>
  </si>
  <si>
    <t>COS6080</t>
  </si>
  <si>
    <t>Perfume December Vainilla EDP 85 ml Paris Corner</t>
  </si>
  <si>
    <t>COS5698</t>
  </si>
  <si>
    <t>Perfume Ecstatic Blanc Fleur EDP 100 ml Pendora</t>
  </si>
  <si>
    <t>COS5680</t>
  </si>
  <si>
    <t>Perfume Emir Cedrat Essense Paris Corner Extrait de Parfum 75 ml Unisex</t>
  </si>
  <si>
    <t>COS5440</t>
  </si>
  <si>
    <t>Perfume Emir Voux Zeste EDP 100 ml Paris Corner</t>
  </si>
  <si>
    <t>COS5105</t>
  </si>
  <si>
    <t>Perfume Eshal Vanilla EDP 100 ml Paris Corner</t>
  </si>
  <si>
    <t>COS6091</t>
  </si>
  <si>
    <t>Perfume Farah Extrait de Parfum 100 ml Paris Corner</t>
  </si>
  <si>
    <t>COS5114</t>
  </si>
  <si>
    <t>Perfume Fatal Embrace EDP 100 ml Paris Corner .</t>
  </si>
  <si>
    <t>COS6637</t>
  </si>
  <si>
    <t>Perfume Frenetic Delicieuse EDP 80 ml Emir</t>
  </si>
  <si>
    <t>COS5697</t>
  </si>
  <si>
    <t>Perfume Ibisco Nirvana Extrait de Parfum 65 ml Paris Corner</t>
  </si>
  <si>
    <t>COS5694</t>
  </si>
  <si>
    <t>Perfume Indomitable EDP 100 ml Paris Corner Unisex</t>
  </si>
  <si>
    <t>COS5463</t>
  </si>
  <si>
    <t>Perfume Jardin Des Papillons EDP 100 ml Paris Corner</t>
  </si>
  <si>
    <t>COS6108</t>
  </si>
  <si>
    <t>Perfume Khair EDP 100 ml Paris Corner</t>
  </si>
  <si>
    <t>COS5692</t>
  </si>
  <si>
    <t>Perfume Khair Felicity EDP 100 ml Paris Corner</t>
  </si>
  <si>
    <t>COS5133</t>
  </si>
  <si>
    <t>Perfume Lueur D Espoir Memories of Summer EDP 100 ml Emir</t>
  </si>
  <si>
    <t>COS5689</t>
  </si>
  <si>
    <t>Perfume Lueur D Espoir Serene Grove EDP 100 ml Emir</t>
  </si>
  <si>
    <t>COS5682</t>
  </si>
  <si>
    <t>Perfume Mawj Appletini EDP 100 ml Unisex Paris Corner</t>
  </si>
  <si>
    <t>COS5815</t>
  </si>
  <si>
    <t>Perfume Meadows Eternal EDP 85 ml Paris Corner</t>
  </si>
  <si>
    <t>COS5109</t>
  </si>
  <si>
    <t>Perfume Mehwish EDP 80 ml Paris Corner</t>
  </si>
  <si>
    <t>COS6093</t>
  </si>
  <si>
    <t>Perfume Minya Caramel Dulce EDP 100 ml Mujer Paris Corner</t>
  </si>
  <si>
    <t>COS5813</t>
  </si>
  <si>
    <t>Perfume Minya EDP 100 ml Paris Corner</t>
  </si>
  <si>
    <t>COS5108</t>
  </si>
  <si>
    <t>Perfume Musk Eternal EDP 85 ml Paris Corner</t>
  </si>
  <si>
    <t>COS5107</t>
  </si>
  <si>
    <t>Perfume My Boutique Night EDP 100 ml Paris Corner Mujer</t>
  </si>
  <si>
    <t>COS5443</t>
  </si>
  <si>
    <t>Perfume Mysterium EDP 100 ml Paris Corner Hombre</t>
  </si>
  <si>
    <t>COS5450</t>
  </si>
  <si>
    <t>Perfume Nouf EDP 100 ml Paris Corner</t>
  </si>
  <si>
    <t>COS5691</t>
  </si>
  <si>
    <t>Perfume Opulentia Flame EDP 100 ml Emir</t>
  </si>
  <si>
    <t>COS5684</t>
  </si>
  <si>
    <t>Perfume Papillon des Vents EDP 100 ml Paris Corner</t>
  </si>
  <si>
    <t>COS6099</t>
  </si>
  <si>
    <t>Perfume Paris Corner Juicy Melange Emir EDP 100 ml</t>
  </si>
  <si>
    <t>COS4629</t>
  </si>
  <si>
    <t>Perfume Paris Corner Khair Pistachio EDP 100 ml. Unisex</t>
  </si>
  <si>
    <t>COS3547</t>
  </si>
  <si>
    <t>Perfume Paris Corner Ophidian Black Cherry EDP 100 ml</t>
  </si>
  <si>
    <t>COS4626</t>
  </si>
  <si>
    <t>Perfume Paris Corner Ophidian Sweet Surrender EDP 100 ml</t>
  </si>
  <si>
    <t>COS4614</t>
  </si>
  <si>
    <t>Perfume Paris Corner Prodigy Noir EDP 100 ml</t>
  </si>
  <si>
    <t>COS4621</t>
  </si>
  <si>
    <t>Perfume Paris Corner Taskeen Lactéa Divina EDP 100 ml</t>
  </si>
  <si>
    <t>COS4630</t>
  </si>
  <si>
    <t>Perfume Paris Corner Virilis EDP 100 ml</t>
  </si>
  <si>
    <t>COS4636</t>
  </si>
  <si>
    <t>Perfume Paris Corner Voux Patisserie Emir EDP 100 ml</t>
  </si>
  <si>
    <t>COS4632</t>
  </si>
  <si>
    <t>Perfume Paris Corner Zodíac EDP 100 ml</t>
  </si>
  <si>
    <t>COS4623</t>
  </si>
  <si>
    <t>Perfume Perseviron EDP 100 ml Unisex Paris Corner</t>
  </si>
  <si>
    <t>COS6077</t>
  </si>
  <si>
    <t>Perfume Pinkling EDP 100 ml Paris Corner .</t>
  </si>
  <si>
    <t>COS6631</t>
  </si>
  <si>
    <t>Perfume Plum Liquor EDP 100 ml Paris Corner .</t>
  </si>
  <si>
    <t>COS6638</t>
  </si>
  <si>
    <t>Perfume Qissa Gala EDP 100 ml Paris Corner</t>
  </si>
  <si>
    <t>COS6340</t>
  </si>
  <si>
    <t>Perfume Reham Rose Petals EDP 100 ml Paris Corner .</t>
  </si>
  <si>
    <t>COS6094</t>
  </si>
  <si>
    <t>Perfume Reham Wild Mineral EDP 100 ml Unisex Paris Corner</t>
  </si>
  <si>
    <t>COS6090</t>
  </si>
  <si>
    <t>Perfume Taskeen EDP 100 ml Paris Corner Unisex</t>
  </si>
  <si>
    <t>COS5442</t>
  </si>
  <si>
    <t>Perfume Taskeen Wowie EDP 100 ml Paris Corner .</t>
  </si>
  <si>
    <t>COS6630</t>
  </si>
  <si>
    <t>Perfume Vibrant Vetiver Delight EDP 100 ml Emir</t>
  </si>
  <si>
    <t>COS5696</t>
  </si>
  <si>
    <t>Perfume Wild and Tobacco Extrait de Parfum 75 ml Emir</t>
  </si>
  <si>
    <t>COS5693</t>
  </si>
  <si>
    <t>Perfume Zahri Amara EDP 100 ml Paris Corner .</t>
  </si>
  <si>
    <t>COS6635</t>
  </si>
  <si>
    <t>Perfume Zodiac Solmaris EDP 100 ml Unisex Paris Corner</t>
  </si>
  <si>
    <t>COS6109</t>
  </si>
  <si>
    <t>Set Perfume Khair Confection EDP 100 ml + 25 ml Paris Corner</t>
  </si>
  <si>
    <t>COS6626</t>
  </si>
  <si>
    <t>Set Perfume Khair Confection EDP 100 ml + Perfumed Spray  200 ml Paris Corner .</t>
  </si>
  <si>
    <t>COS6763</t>
  </si>
  <si>
    <t>Set Perfume Khair Felicity EDP 100 ml + 25 ml Paris Corner</t>
  </si>
  <si>
    <t>COS6627</t>
  </si>
  <si>
    <t>Set Perfume Khair Fusion EDP 100 ml + 25 ml Paris Corner .</t>
  </si>
  <si>
    <t>COS6628</t>
  </si>
  <si>
    <t>Set Perfume Khair Fusion EDP 100 ml + Perfumed Spray  200 ml Paris Corner .</t>
  </si>
  <si>
    <t>COS6762</t>
  </si>
  <si>
    <t>Set Perfume Khair Pistachio EDP 100 ml + 25 ml Paris Corner .</t>
  </si>
  <si>
    <t>COS6629</t>
  </si>
  <si>
    <t>Set Perfume Khair Pistachio EDP 100 ml + Perfumed Spray  200 ml Paris Corner</t>
  </si>
  <si>
    <t>COS6760</t>
  </si>
  <si>
    <t>Set Perfume Qissa Delicious EDP 100 ML + Perfumed Spray 200 ml Paris Corner .</t>
  </si>
  <si>
    <t>COS6753</t>
  </si>
  <si>
    <t>Set Perfume Qissa Pink EDP 100 ml + Perfumed Spray  200 ml Paris Corner</t>
  </si>
  <si>
    <t>COS6759</t>
  </si>
  <si>
    <t>Set Perfume Taskeen Caramel Cascade EDP 100 ml + Perfumed Spray  200 ml Paris Corner</t>
  </si>
  <si>
    <t>COS6761</t>
  </si>
  <si>
    <t>Paris Hilton</t>
  </si>
  <si>
    <t>Can Can Burlesque 100ML EDP Mujer Paris Hilton</t>
  </si>
  <si>
    <t>PH7</t>
  </si>
  <si>
    <t>Gold Rush Paris Hilton Edp Mujer 100ML</t>
  </si>
  <si>
    <t>PARIS02</t>
  </si>
  <si>
    <t>Just Me 100ML EDP Mujer Paris Hilton</t>
  </si>
  <si>
    <t>PH4</t>
  </si>
  <si>
    <t>Paris Hilton EDP 100 ml Mujer Paris Hilton</t>
  </si>
  <si>
    <t>PH2</t>
  </si>
  <si>
    <t>Perfume Can Can 100ML EDP Mujer Paris Hilton</t>
  </si>
  <si>
    <t>PH1</t>
  </si>
  <si>
    <t>Perfume Ruby Rush EDP 100 ml Paris Hilton</t>
  </si>
  <si>
    <t>COS6200</t>
  </si>
  <si>
    <t>Platinum Rush Paris Hilton EDP 100 ml</t>
  </si>
  <si>
    <t>COS682</t>
  </si>
  <si>
    <t>Rose Rush Paris Hilton Edp Mujer 100ML</t>
  </si>
  <si>
    <t>PH20</t>
  </si>
  <si>
    <t>Puig</t>
  </si>
  <si>
    <t>Agua Brava A.Puig Edc 100Ml Hombre</t>
  </si>
  <si>
    <t>PUIG10</t>
  </si>
  <si>
    <t>Perfume Aqua Quorum EDT Hombre 100Ml Puig</t>
  </si>
  <si>
    <t>PUIG08</t>
  </si>
  <si>
    <t>Quorum 100ML EDT Hombre Puig</t>
  </si>
  <si>
    <t>PUIG04</t>
  </si>
  <si>
    <t>Quorum Silver 100ML EDT Hombre Puig</t>
  </si>
  <si>
    <t>PUIG03</t>
  </si>
  <si>
    <t>Set Perfume Aqua Quorum EDT 100 ml + Deo 150 ml Puig 2025</t>
  </si>
  <si>
    <t>COS5430</t>
  </si>
  <si>
    <t>Perfume Ralph Club New York EDP 60 ml Ralph Lauren</t>
  </si>
  <si>
    <t>COS5932</t>
  </si>
  <si>
    <t>Set Perfume Polo Blue EDT 125 ml + 40 ml + Deo 75 ml Ralph Lauren 2026</t>
  </si>
  <si>
    <t>COS7034</t>
  </si>
  <si>
    <t>Set Perfume Polo Ralph Lauren Est. 67 EDP Extreme 125 ml + 40 ml</t>
  </si>
  <si>
    <t>COS7035</t>
  </si>
  <si>
    <t>Set Perfume Polo Ralph Lauren Est. 67 EDT 125 ml + 40 ml 2026</t>
  </si>
  <si>
    <t>COS7038</t>
  </si>
  <si>
    <t>Set Perfume Polo Red EDT 125 ml + 40 ml + Deo 75 ml Ralph Lauren 2026</t>
  </si>
  <si>
    <t>COS7039</t>
  </si>
  <si>
    <t>Perfume Hawas for Her Pink EDP 100 ml Rasasi</t>
  </si>
  <si>
    <t>COS6261</t>
  </si>
  <si>
    <t>Perfume Hawas for Him Atlantis EDP 100 ml Rasasi</t>
  </si>
  <si>
    <t>COS6263</t>
  </si>
  <si>
    <t>Perfume Hawas for Him Highness Rasasi EDP 100 ml Hombre</t>
  </si>
  <si>
    <t>COS7116</t>
  </si>
  <si>
    <t>Perfume Hawas for Him Overdose Rasasi EDP 100 ml Hombre</t>
  </si>
  <si>
    <t>COS7117</t>
  </si>
  <si>
    <t>Perfume Hawas London EDP 100 ml Rasasi</t>
  </si>
  <si>
    <t>COS6376</t>
  </si>
  <si>
    <t>Perfume Hawas Reina Rasasi EDP 100 ml Unisex</t>
  </si>
  <si>
    <t>COS7118</t>
  </si>
  <si>
    <t>Rave</t>
  </si>
  <si>
    <t>Nardo Rave EDP 100 ML</t>
  </si>
  <si>
    <t>COS2399</t>
  </si>
  <si>
    <t>Perfume Luxure Woman EDP 100 ml Rave</t>
  </si>
  <si>
    <t>COS5669</t>
  </si>
  <si>
    <t>Perfume Rave Au Soleil EDP 100 ml Mujer</t>
  </si>
  <si>
    <t>COS6225</t>
  </si>
  <si>
    <t>Perfume Rave Nuit Parfaite EDP 100 ml Hombre</t>
  </si>
  <si>
    <t>COS6224</t>
  </si>
  <si>
    <t>Rave Les Femmes Pure Desire Gold EDP 100 ml COS3905</t>
  </si>
  <si>
    <t>COS3905</t>
  </si>
  <si>
    <t>Rayhaan</t>
  </si>
  <si>
    <t>Perfume Aquatica EDP 100 ml Hombre Rayhaan</t>
  </si>
  <si>
    <t>COS5993</t>
  </si>
  <si>
    <t>Perfume Nocturno Elixir EDP 100 ml Hombre Rayhaan</t>
  </si>
  <si>
    <t>COS6928</t>
  </si>
  <si>
    <t>Perfume Obsidian EDP 100 ml Hombre Rayhaan</t>
  </si>
  <si>
    <t>COS5994</t>
  </si>
  <si>
    <t>Perfume Pharaoh EDP 100 ml Unisex Rayhaan</t>
  </si>
  <si>
    <t>COS6925</t>
  </si>
  <si>
    <t>Perfume Rayhaan Ayka for Her  Floral Collection  EDP 100 ml</t>
  </si>
  <si>
    <t>COS4900</t>
  </si>
  <si>
    <t>Perfume Rayhaan Azul EDP 100 ml Hombre</t>
  </si>
  <si>
    <t>COS7031</t>
  </si>
  <si>
    <t>Perfume Rayhaan Dahliya for Her Floral Collection EDP 100 ml</t>
  </si>
  <si>
    <t>COS4971</t>
  </si>
  <si>
    <t>Perfume Rayhaan Floriana for Her Floral Collection EDP 100 ml</t>
  </si>
  <si>
    <t>COS4972</t>
  </si>
  <si>
    <t>Perfume Rayhaan Imperia Intense for Him Imperia Collection EDP 100 ml</t>
  </si>
  <si>
    <t>COS4902</t>
  </si>
  <si>
    <t>Perfume Rayhaan Pacific Aloha EDP 100 ml</t>
  </si>
  <si>
    <t>COS7032</t>
  </si>
  <si>
    <t>Perfume Terra EDP 100 ml Hombre Rayhaan</t>
  </si>
  <si>
    <t>COS5995</t>
  </si>
  <si>
    <t>Perfume Tonquin Giza EDP 100 ml Unisex Rayhaan</t>
  </si>
  <si>
    <t>COS6926</t>
  </si>
  <si>
    <t>Perfume Tropical Vibe EDP 100 ml Unisex Rayhaan</t>
  </si>
  <si>
    <t>COS5996</t>
  </si>
  <si>
    <t>Rayhaan Imperia for Him Imperia Collection EDP 100ml</t>
  </si>
  <si>
    <t>COS4089</t>
  </si>
  <si>
    <t>Reyane Tradition</t>
  </si>
  <si>
    <t>Perfume Acqua di Parisis Venizia EDP 100 ml Mujer</t>
  </si>
  <si>
    <t>COS6554</t>
  </si>
  <si>
    <t>Risala</t>
  </si>
  <si>
    <t>Desodorante Al Azeem Perfumed Spray 200 ml Risala</t>
  </si>
  <si>
    <t>COS6132</t>
  </si>
  <si>
    <t>Desodorante An Island Perfumed Spray 200 ml Risala</t>
  </si>
  <si>
    <t>COS6133</t>
  </si>
  <si>
    <t>Desodorante Hope Perfumed Spray 200 ml Risala</t>
  </si>
  <si>
    <t>COS6131</t>
  </si>
  <si>
    <t>Desodorante Sayf Almajd Perfumed Spray 200 ml Risala</t>
  </si>
  <si>
    <t>COS6138</t>
  </si>
  <si>
    <t>Desodorante Sharaf Perfumed Spray 200 ml Risala</t>
  </si>
  <si>
    <t>COS6123</t>
  </si>
  <si>
    <t>Perfume Al Sayyad Gold EDP 100 ml Risala</t>
  </si>
  <si>
    <t>COS6112</t>
  </si>
  <si>
    <t>Perfume Blue Bomb Extreme EDP 100 ml Risala</t>
  </si>
  <si>
    <t>COS6127</t>
  </si>
  <si>
    <t>Perfume Florican EDP 100 ml Risala</t>
  </si>
  <si>
    <t>COS5187</t>
  </si>
  <si>
    <t>Perfume Lahn Alward EDP 75 ml Risala</t>
  </si>
  <si>
    <t>COS6124</t>
  </si>
  <si>
    <t>Perfume Najma Nova EDP 100 ml Risala</t>
  </si>
  <si>
    <t>COS5207</t>
  </si>
  <si>
    <t>Perfume Oasis Fruity Oud EDP 100 ml Risala</t>
  </si>
  <si>
    <t>COS6115</t>
  </si>
  <si>
    <t>Perfume Oud Aswad EDP 100 ml Risala</t>
  </si>
  <si>
    <t>COS6120</t>
  </si>
  <si>
    <t>Perfume Risala 120 Clock EDP 100 ml</t>
  </si>
  <si>
    <t>COS4885</t>
  </si>
  <si>
    <t>Perfume Risala Amalia EDP 100 ml</t>
  </si>
  <si>
    <t>COS4849</t>
  </si>
  <si>
    <t>Perfume Risala An Island EDP 100 ml</t>
  </si>
  <si>
    <t>COS4846</t>
  </si>
  <si>
    <t>Perfume Risala Angels of Heaven EDP 100 ml</t>
  </si>
  <si>
    <t>COS4896</t>
  </si>
  <si>
    <t>Perfume Risala Elixir EDP 105 ml</t>
  </si>
  <si>
    <t>COS4879</t>
  </si>
  <si>
    <t>Perfume Risala Emir Al Saharaa EDP 90 ml</t>
  </si>
  <si>
    <t>COS4858</t>
  </si>
  <si>
    <t>Perfume Risala Jockey EDP 100 ml</t>
  </si>
  <si>
    <t>COS4857</t>
  </si>
  <si>
    <t>Perfume Risala Kashmir EDP 100 ml</t>
  </si>
  <si>
    <t>COS4842</t>
  </si>
  <si>
    <t>Perfume Risala Lets Be Strong EDP 100 ml</t>
  </si>
  <si>
    <t>COS4844</t>
  </si>
  <si>
    <t>Perfume Risala Pure Ombre EDP 100 ml</t>
  </si>
  <si>
    <t>COS4851</t>
  </si>
  <si>
    <t>Perfume Risala Valley of Gold EDP 100 ml</t>
  </si>
  <si>
    <t>COS4847</t>
  </si>
  <si>
    <t>Perfume Risala Valley of Love EDP 100 ml</t>
  </si>
  <si>
    <t>COS4845</t>
  </si>
  <si>
    <t>Perfume Sensual Oud EDP 100 ml Risala</t>
  </si>
  <si>
    <t>COS6125</t>
  </si>
  <si>
    <t>Perfume Touq Gold EDP 100 ml Risala</t>
  </si>
  <si>
    <t>COS5200</t>
  </si>
  <si>
    <t>Perfume Touq Silver EDP 100 ml Risala</t>
  </si>
  <si>
    <t>COS5214</t>
  </si>
  <si>
    <t>Risala Al Azeem EDP 110 ml</t>
  </si>
  <si>
    <t>COS4395</t>
  </si>
  <si>
    <t>Risala Sayf Almajd EDP 105 ml</t>
  </si>
  <si>
    <t>COS4396</t>
  </si>
  <si>
    <t>Risala Surur EDP 100 ml</t>
  </si>
  <si>
    <t>COS4397</t>
  </si>
  <si>
    <t>Riviera Privé</t>
  </si>
  <si>
    <t>Perfume Aqua Riviera EDP 100 ml Riviera Privé .</t>
  </si>
  <si>
    <t>COS6465</t>
  </si>
  <si>
    <t>Perfume Candy pour Femme EDP 100 ml Riviera Privé .</t>
  </si>
  <si>
    <t>COS6508</t>
  </si>
  <si>
    <t>Perfume LaBella EDP 100 ml Riviera Privé</t>
  </si>
  <si>
    <t>COS6523</t>
  </si>
  <si>
    <t>Perfume Lady EDP 100 ml Riviera Privé</t>
  </si>
  <si>
    <t>COS6466</t>
  </si>
  <si>
    <t>Perfume Laura EDP 100 ml Riviera Privé .</t>
  </si>
  <si>
    <t>COS6511</t>
  </si>
  <si>
    <t>Perfume My Riviera EDP 100 ml Riviera Privé</t>
  </si>
  <si>
    <t>COS6526</t>
  </si>
  <si>
    <t>Perfume Opulent Night EDP 100 ml Riviera Privé .</t>
  </si>
  <si>
    <t>COS6501</t>
  </si>
  <si>
    <t>Perfume Yes! EDP 100 ml Riviera Privé</t>
  </si>
  <si>
    <t>COS6472</t>
  </si>
  <si>
    <t>Perfume Sweet Tooth Me Espresso EDP 75 ml Mujer Sabrina Carpenter</t>
  </si>
  <si>
    <t>COS5666</t>
  </si>
  <si>
    <t>Salvatore Ferragamo</t>
  </si>
  <si>
    <t>Perfume Salvatore Ferragamo Pour Femme EDP 100 ml. (Sin Tapa) TESTER</t>
  </si>
  <si>
    <t>COS2129</t>
  </si>
  <si>
    <t>Shakira</t>
  </si>
  <si>
    <t>Dance 80ML EDT Mujer Shakira</t>
  </si>
  <si>
    <t>SHADD2</t>
  </si>
  <si>
    <t>Perfume Amarillo EDP 80 ml Shakira 2025</t>
  </si>
  <si>
    <t>COS6002</t>
  </si>
  <si>
    <t>Perfume Shakira Dance Midnight Muse EDT 80 ML Mujer</t>
  </si>
  <si>
    <t>COS5272</t>
  </si>
  <si>
    <t>Perfume Shakira Dance Midnight Star Le EDT 80 ML  Mujer</t>
  </si>
  <si>
    <t>COS5273</t>
  </si>
  <si>
    <t>Rock! by Shakira 80ML EDT Mujer Shakira</t>
  </si>
  <si>
    <t>SHADD8</t>
  </si>
  <si>
    <t>Set Perfume Amarillo EDP 80 ml + Body Lotion 75 ml 2026 Shakira</t>
  </si>
  <si>
    <t>COS6566</t>
  </si>
  <si>
    <t>Set Perfume Shakira Dance Midnight EDT 80 ml + Deo Spray 150 ml</t>
  </si>
  <si>
    <t>COS5426</t>
  </si>
  <si>
    <t>Set Perfume Shakira Dance Midnight Muse EDT 80 ml + Deo 150 ml</t>
  </si>
  <si>
    <t>COS6565</t>
  </si>
  <si>
    <t>Shakira Dance Midnight 80ml Edt Mujer</t>
  </si>
  <si>
    <t>COS1122</t>
  </si>
  <si>
    <t>Shakira Dance Red Midnight 2021 EDT 80 ML Mujer</t>
  </si>
  <si>
    <t>COS1377</t>
  </si>
  <si>
    <t>Shakira Fucsia EDP 80 ml</t>
  </si>
  <si>
    <t>COS3505</t>
  </si>
  <si>
    <t>Shakira Rojo Eau de Parfum 50 Ml</t>
  </si>
  <si>
    <t>COS5887</t>
  </si>
  <si>
    <t>Shakira Rojo EDP 80 ml</t>
  </si>
  <si>
    <t>COS3220</t>
  </si>
  <si>
    <t>Sospiro</t>
  </si>
  <si>
    <t>Perfume Sospiro Dolce Melodia EDP 100 ml Unisex</t>
  </si>
  <si>
    <t>COS6654</t>
  </si>
  <si>
    <t>Perfume Sospiro Dolce Sonata EDP 100 ml Unisex</t>
  </si>
  <si>
    <t>COS6653</t>
  </si>
  <si>
    <t>Perfume Sospiro Erba Pura Mágica EDP 100 ml Unisex</t>
  </si>
  <si>
    <t>COS6658</t>
  </si>
  <si>
    <t>Perfume Sospiro Il Padrino EDP 100 ml Unisex</t>
  </si>
  <si>
    <t>COS6646</t>
  </si>
  <si>
    <t>Perfume Sospiro Vibranna EDP 100 ml Unisex</t>
  </si>
  <si>
    <t>COS6656</t>
  </si>
  <si>
    <t>Superdry</t>
  </si>
  <si>
    <t>Perfume Real SuperDry 01 EDT 100 ml Hombre</t>
  </si>
  <si>
    <t>COS6141</t>
  </si>
  <si>
    <t>Perfume Real SuperDry 01 EDT 100 ml Mujer</t>
  </si>
  <si>
    <t>COS6140</t>
  </si>
  <si>
    <t>Perfume Superdry Real 01 Hombre EDT 100 ml TESTER .</t>
  </si>
  <si>
    <t>COS6183</t>
  </si>
  <si>
    <t>Perfume Superdry Real 01 Mujer EDT 100 ml TESTER .</t>
  </si>
  <si>
    <t>COS6184</t>
  </si>
  <si>
    <t>Swiss Arabian</t>
  </si>
  <si>
    <t>Perfume Amber And Apricot EDP 100 ml Swiss Arabian</t>
  </si>
  <si>
    <t>COS7135</t>
  </si>
  <si>
    <t>Perfume Cardamom And Apple EDP 100 ml Swiss Arabian</t>
  </si>
  <si>
    <t>COS7131</t>
  </si>
  <si>
    <t>Perfume Casa Blanca EDP 100 ml Swiss Arabian</t>
  </si>
  <si>
    <t>COS7175</t>
  </si>
  <si>
    <t>Perfume Enigma of Taif Extrait de Parfum 100 ml Swiss Arabian</t>
  </si>
  <si>
    <t>COS7129</t>
  </si>
  <si>
    <t>Perfume Essence of Casa Blanca Extrait de Parfum 100 ml Swiss Arabian</t>
  </si>
  <si>
    <t>COS7181</t>
  </si>
  <si>
    <t>Perfume Incense 01 Extrait de Parfum 50 ml Swiss Arabian</t>
  </si>
  <si>
    <t>COS7147</t>
  </si>
  <si>
    <t>Perfume Jasmine And Vanilla EDP 100 ml Swiss Arabian</t>
  </si>
  <si>
    <t>COS7133</t>
  </si>
  <si>
    <t>Perfume Layali 15 ml Concentrated Perfume Oil Swiss Arabian</t>
  </si>
  <si>
    <t>COS7183</t>
  </si>
  <si>
    <t>Perfume Musk 07 EDP 50 ml Unisex Swiss Arabian</t>
  </si>
  <si>
    <t>COS7141</t>
  </si>
  <si>
    <t>Perfume Opulence of Dubai Extrait de Parfum 100 ml Swiss Arabian</t>
  </si>
  <si>
    <t>COS7179</t>
  </si>
  <si>
    <t>Perfume Oud 01 EDP 50 ml Unisex Swiss Arabian</t>
  </si>
  <si>
    <t>COS7145</t>
  </si>
  <si>
    <t>Perfume Patchouli 01 Extrait de Parfum 50 ml Swiss Arabian</t>
  </si>
  <si>
    <t>COS7153</t>
  </si>
  <si>
    <t>Perfume Rose 01 EDP 50 ml Unisex Swiss Arabian</t>
  </si>
  <si>
    <t>COS7143</t>
  </si>
  <si>
    <t>Perfume Rose And Patchouli EDP 100 ml Swiss Arabian</t>
  </si>
  <si>
    <t>COS7137</t>
  </si>
  <si>
    <t>Perfume Shaghaf Amber Infusion EDP 75 ml Swiss Arabian</t>
  </si>
  <si>
    <t>COS7171</t>
  </si>
  <si>
    <t>Perfume Shaghaf for Men EDP 75 ml Swiss Arabian</t>
  </si>
  <si>
    <t>COS7155</t>
  </si>
  <si>
    <t>Perfume Shaghaf for Women EDP 75 ml Swiss Arabian</t>
  </si>
  <si>
    <t>COS7157</t>
  </si>
  <si>
    <t>Perfume Shaghaf Necta Blush EDP 75 ml Swiss Arabian</t>
  </si>
  <si>
    <t>COS7173</t>
  </si>
  <si>
    <t>Perfume Shaghaf Oud Ahmar EDP 75 ml Swiss Arabian</t>
  </si>
  <si>
    <t>COS7163</t>
  </si>
  <si>
    <t>Perfume Shaghaf Oud Azraq EDP 75 ml Swiss Arabian</t>
  </si>
  <si>
    <t>COS7161</t>
  </si>
  <si>
    <t>Perfume Shaghaf Oud EDP 75 ml Swiss Arabian</t>
  </si>
  <si>
    <t>COS7159</t>
  </si>
  <si>
    <t>Perfume Shaghaf Oud Royale EDP 75 ml Swiss Arabian</t>
  </si>
  <si>
    <t>COS7167</t>
  </si>
  <si>
    <t>Perfume Shaghaf Oud Tonka Concentrated Perfume Oil 12 ml Swiss Arabian</t>
  </si>
  <si>
    <t>COS7139</t>
  </si>
  <si>
    <t>Perfume Shaghaf Oud Tonka EDP 75 ml Swiss Arabian</t>
  </si>
  <si>
    <t>COS7165</t>
  </si>
  <si>
    <t>Perfume Shaghaf Vanilla Toffee EDP 75 ml Swiss Arabian</t>
  </si>
  <si>
    <t>COS7169</t>
  </si>
  <si>
    <t>Perfume Soul of Bali Extrait de Parfum 100 ml Swiss Arabian</t>
  </si>
  <si>
    <t>COS7127</t>
  </si>
  <si>
    <t>Perfume Tobacco 01 Extrait de Parfum 50 ml Swiss Arabian</t>
  </si>
  <si>
    <t>COS7149</t>
  </si>
  <si>
    <t>Perfume Valencia EDP 100 ml Swiss Arabian</t>
  </si>
  <si>
    <t>COS7177</t>
  </si>
  <si>
    <t>Perfume Vanilla 01 Extrait de Parfum 50 ml Swiss Arabian</t>
  </si>
  <si>
    <t>COS7151</t>
  </si>
  <si>
    <t>Perfume Alien Pulp Mugler EDP Fruitée 100 ml Recargable Refill</t>
  </si>
  <si>
    <t>COS6896</t>
  </si>
  <si>
    <t>Perfume Angel Nova Mugler EDP Fruitée 25 ml Recargable / Refill</t>
  </si>
  <si>
    <t>COS5964</t>
  </si>
  <si>
    <t>Perfume Angel Stellar Mugler EDP Lumineuse 100 ml Recargable</t>
  </si>
  <si>
    <t>COS5579</t>
  </si>
  <si>
    <t>Tous</t>
  </si>
  <si>
    <t>Perfume Tous Man Sport EDT 100 ml</t>
  </si>
  <si>
    <t>COS6148</t>
  </si>
  <si>
    <t>Tous Man 100ML EDT Hombre Tous</t>
  </si>
  <si>
    <t>TOUS01</t>
  </si>
  <si>
    <t>Perfume Tubbees Berry Blast EDP 50 ml Grandeur</t>
  </si>
  <si>
    <t>COS5341</t>
  </si>
  <si>
    <t>Perfume Tubbees Berry Explosion EDP 50 ml</t>
  </si>
  <si>
    <t>COS6293</t>
  </si>
  <si>
    <t>Perfume Tubbees Blueberry Sorbet EDP 50 ml</t>
  </si>
  <si>
    <t>COS6294</t>
  </si>
  <si>
    <t>Perfume Tubbees Bubble Gum EDP 50 ml Grandeur</t>
  </si>
  <si>
    <t>COS5349</t>
  </si>
  <si>
    <t>Perfume Tubbees Candy Pop EDP 50 ml Grandeur</t>
  </si>
  <si>
    <t>COS5344</t>
  </si>
  <si>
    <t>Perfume Tubbees Cherry Luxe EDP 50 ml Grandeur</t>
  </si>
  <si>
    <t>COS5355</t>
  </si>
  <si>
    <t>Perfume Tubbees Chocolate Fudge EDP 50 ml Grandeur</t>
  </si>
  <si>
    <t>COS5354</t>
  </si>
  <si>
    <t>Perfume Tubbees Cookies  And  Cream EDP 50 ml Grandeur</t>
  </si>
  <si>
    <t>COS5358</t>
  </si>
  <si>
    <t>Perfume Tubbees Cotton Candy EDP 50 ml Grandeur</t>
  </si>
  <si>
    <t>COS5351</t>
  </si>
  <si>
    <t>Perfume Tubbees Dreamy Treats EDP 50 ml Grandeur</t>
  </si>
  <si>
    <t>COS5340</t>
  </si>
  <si>
    <t>Perfume Tubbees Golden Praline Bliss EDP 50 ml</t>
  </si>
  <si>
    <t>COS6296</t>
  </si>
  <si>
    <t>Perfume Tubbees Lemon-A-Licious EDP 50 ml</t>
  </si>
  <si>
    <t>COS6297</t>
  </si>
  <si>
    <t>Perfume Tubbees Lychee Lush EDP 50 ml Grandeur</t>
  </si>
  <si>
    <t>COS5966</t>
  </si>
  <si>
    <t>Perfume Tubbees Matcha Made in Heaven EDP 50 ml</t>
  </si>
  <si>
    <t>COS6298</t>
  </si>
  <si>
    <t>Perfume Tubbees Passion Fruit Mojito EDP 50 ml</t>
  </si>
  <si>
    <t>COS6299</t>
  </si>
  <si>
    <t>Perfume Tubbees Pink Sugar EDP 50 ml Grandeur</t>
  </si>
  <si>
    <t>COS5352</t>
  </si>
  <si>
    <t>Perfume Tubbees Pistachio Kunafa EDP 50 ml Grandeur</t>
  </si>
  <si>
    <t>COS5965</t>
  </si>
  <si>
    <t>Perfume Tubbees Strawberrry Cheesecake EDP 50 ml Grandeur</t>
  </si>
  <si>
    <t>COS5357</t>
  </si>
  <si>
    <t>Perfume Tubbees Sweet Caramel EDP 50 ml Grandeur</t>
  </si>
  <si>
    <t>COS5350</t>
  </si>
  <si>
    <t>Perfume Tubbees Sweet Mango Melody EDP 50 ml .</t>
  </si>
  <si>
    <t>COS6300</t>
  </si>
  <si>
    <t>Perfume Tubbees Tira-Miss-You EDP 50 ml</t>
  </si>
  <si>
    <t>COS6301</t>
  </si>
  <si>
    <t>Perfume Tubbees Tres Leches EDP 50 ml</t>
  </si>
  <si>
    <t>COS6302</t>
  </si>
  <si>
    <t>Perfume Tubbees Unicorn Vanilla EDP 50 ml Grandeur</t>
  </si>
  <si>
    <t>COS5353</t>
  </si>
  <si>
    <t>Perfume Valentino Donna EDP 100 ml</t>
  </si>
  <si>
    <t>COS6931</t>
  </si>
  <si>
    <t>Bright Crystal 90ML EDT Mujer Versace</t>
  </si>
  <si>
    <t>VER8</t>
  </si>
  <si>
    <t>Perfume Versace Crystal Noir pour Femme Parfum 90 ml</t>
  </si>
  <si>
    <t>COS6982</t>
  </si>
  <si>
    <t>Perfume Versace Eros EDP 100ml EDP Hombre de Versace</t>
  </si>
  <si>
    <t>COS387</t>
  </si>
  <si>
    <t>Perfume Versace Eros EDT 100 ml EDT Hombre de Versace</t>
  </si>
  <si>
    <t>VER4</t>
  </si>
  <si>
    <t>Perfume Versace Eros Energy EDP 100 ML Hombre de Versace</t>
  </si>
  <si>
    <t>COS4523</t>
  </si>
  <si>
    <t>Perfume Versace Eros Energy EDP 200 ml Hombre de Versace</t>
  </si>
  <si>
    <t>COS4522</t>
  </si>
  <si>
    <t>Perfume Versace Eros Flame EDP 100 ml Hombre de Versace</t>
  </si>
  <si>
    <t>VERS30</t>
  </si>
  <si>
    <t>Perfume Versace Eros Najim pour Homme 100 ml Parfum</t>
  </si>
  <si>
    <t>COS7066</t>
  </si>
  <si>
    <t>Perfume Versace Eros Parfum 100 ml Hombre de Versace</t>
  </si>
  <si>
    <t>COS1492</t>
  </si>
  <si>
    <t>Perfume Versace Eros Parfum 200 ml Hombre de Versace</t>
  </si>
  <si>
    <t>COS4964</t>
  </si>
  <si>
    <t>Perfume Versace Yellow Diamond EDT 200 ml Mujer</t>
  </si>
  <si>
    <t>COS5502</t>
  </si>
  <si>
    <t>Set Perfume Versace Eros Parfum pour Homme 100 ml + Mini 5 ml + Gel de Ducha 150 ml</t>
  </si>
  <si>
    <t>COS7071</t>
  </si>
  <si>
    <t>Versace Bright Cristal Absolu pour Femme EDP 30 ml</t>
  </si>
  <si>
    <t>COS7126</t>
  </si>
  <si>
    <t>Versace Eau Fraiche EDT 200 ML Hombre</t>
  </si>
  <si>
    <t>COS1436</t>
  </si>
  <si>
    <t>Versace Eros EDT 200 ML Hombre</t>
  </si>
  <si>
    <t>COS1336</t>
  </si>
  <si>
    <t>Versace Eros Men EDP 200 ml</t>
  </si>
  <si>
    <t>COS878</t>
  </si>
  <si>
    <t>Versace Man Eau Fraiche 100ML EDT Hombre Versace</t>
  </si>
  <si>
    <t>VERS14</t>
  </si>
  <si>
    <t>Versace Pour Homme  EDT 200 ML</t>
  </si>
  <si>
    <t>COS546</t>
  </si>
  <si>
    <t>Versace Pour Homme Dylan Blue 100ML EDT Hombre Versace</t>
  </si>
  <si>
    <t>VER2</t>
  </si>
  <si>
    <t>Versace Pour Homme Dylan Blue 200ML EDT hombre Versace VER3</t>
  </si>
  <si>
    <t>VER3</t>
  </si>
  <si>
    <t>Versace pour Homme Edt 100 Ml Hombre</t>
  </si>
  <si>
    <t>VERS25</t>
  </si>
  <si>
    <t>Versace Yellow Diamond Intense EDP 90 ml</t>
  </si>
  <si>
    <t>VERS28</t>
  </si>
  <si>
    <t>Viktor  And  Rolf</t>
  </si>
  <si>
    <t>Spicebomb Black Dark Leather EDP 90 ml Viktor  And  Rolf</t>
  </si>
  <si>
    <t>COS4305</t>
  </si>
  <si>
    <t>Perfume Accento EDP 100 ml Unisex Xerjoff</t>
  </si>
  <si>
    <t>COS7027</t>
  </si>
  <si>
    <t>Perfume Torino 21 EDP 50 ml Unisex Xerjoff</t>
  </si>
  <si>
    <t>COS7022</t>
  </si>
  <si>
    <t>Black Opium 90ml EDP Mujer YSL YSL12</t>
  </si>
  <si>
    <t>YSL12</t>
  </si>
  <si>
    <t>Black Opium Yves Saint Laurent EDP 50ml</t>
  </si>
  <si>
    <t>COS585</t>
  </si>
  <si>
    <t>LHomme YSL EDT 100 ml COS527</t>
  </si>
  <si>
    <t>COS527</t>
  </si>
  <si>
    <t xml:space="preserve">Libre Yves Saint Laurent EDP 90 ml Mujer Recargable / Refillable    </t>
  </si>
  <si>
    <t>YSL57</t>
  </si>
  <si>
    <t>Libre YvesSaintLaurent Edp Intense 90ml Mujer</t>
  </si>
  <si>
    <t>COS2845</t>
  </si>
  <si>
    <t>New y Men YSL EDP 60 ml / Cosmetic</t>
  </si>
  <si>
    <t>Perfume Black Opium EDP Glitter 30 ml Yves Saint Laurent</t>
  </si>
  <si>
    <t>COS5899</t>
  </si>
  <si>
    <t>Perfume Black Opium EDP Glitter 50 ml Yves Saint Laurent</t>
  </si>
  <si>
    <t>COS5897</t>
  </si>
  <si>
    <t>Perfume Black Opium EDP Glitter 90 ml Yves Saint Laurent</t>
  </si>
  <si>
    <t>COS6396</t>
  </si>
  <si>
    <t>Perfume Black Opium EDP Over Red 30 ml</t>
  </si>
  <si>
    <t>COS5333</t>
  </si>
  <si>
    <t>Perfume Black Opium EDP Over Red 90 ml</t>
  </si>
  <si>
    <t>COS5334</t>
  </si>
  <si>
    <t>Perfume Iced Cologne EDT Intense 100 ml Yves Saint Laurent</t>
  </si>
  <si>
    <t>COS7036</t>
  </si>
  <si>
    <t>Perfume Libre Berry Crush EDP Fruitée 30 ml Yves Saint Laurent</t>
  </si>
  <si>
    <t>COS7091</t>
  </si>
  <si>
    <t>Perfume Libre Berry Crush EDP Fruitée 50 ml Yves Saint Laurent</t>
  </si>
  <si>
    <t>COS6975</t>
  </si>
  <si>
    <t>Perfume Libre Berry Crush EDP Fruitée 90 ml Yves Saint Laurent</t>
  </si>
  <si>
    <t>COS7088</t>
  </si>
  <si>
    <t>Perfume Libre Flowers  And  Flames EDP Florale 30 ml de Yves Saint Laurent</t>
  </si>
  <si>
    <t>COS5585</t>
  </si>
  <si>
    <t>Perfume Libre Flowers  And  Flames EDP Florale 90 ml de Yves Saint Laurent</t>
  </si>
  <si>
    <t>COS5586</t>
  </si>
  <si>
    <t>Perfume Libre LEau Nue Parfum de Peau 50 ml Yves Saint Laurent</t>
  </si>
  <si>
    <t>COS7090</t>
  </si>
  <si>
    <t>Perfume Libre LEau Nue Parfum de Peau 90 ml Yves Saint Laurent</t>
  </si>
  <si>
    <t>COS7087</t>
  </si>
  <si>
    <t>Yves Saint Laurent Black Opium Le Parfum 90 ml</t>
  </si>
  <si>
    <t>COS2846</t>
  </si>
  <si>
    <t>Yves Saint Laurent Libre EDP 30 ml Mujer Recargable/Refill</t>
  </si>
  <si>
    <t>COS1222</t>
  </si>
  <si>
    <t>Yves Saint Laurent Libre EDP Intense 50 ml Mujer Recargable/Refill</t>
  </si>
  <si>
    <t>COS3650</t>
  </si>
  <si>
    <t>Yves Saint Laurent Libre Le Parfum 30 ML Mujer</t>
  </si>
  <si>
    <t>COS3179</t>
  </si>
  <si>
    <t>Yves Saint Laurent Myslf EDP 100 ml Recargable / Refillable</t>
  </si>
  <si>
    <t>COS3647</t>
  </si>
  <si>
    <t>Yves Saint Laurent Myslf EDP 60 ml. Recargable</t>
  </si>
  <si>
    <t>COS3648</t>
  </si>
  <si>
    <t>Zakat Parfums</t>
  </si>
  <si>
    <t>Perfume World Cup EDP 80 ml Zakat Parfums</t>
  </si>
  <si>
    <t>COS7045</t>
  </si>
  <si>
    <t>Perfume World Cup Vip EDP 80 ml Zakat Parfums</t>
  </si>
  <si>
    <t>COS7046</t>
  </si>
  <si>
    <t>Zimaya</t>
  </si>
  <si>
    <t>Perfume Anhaar Dune EDP 100 ml Zimaya Unisex</t>
  </si>
  <si>
    <t>COS6165</t>
  </si>
  <si>
    <t>Perfume Anhaar Valley EDP 100 ml Zimaya Unisex</t>
  </si>
  <si>
    <t>COS6158</t>
  </si>
  <si>
    <t>Perfume Night Shadow EDP 100 ml Zimaya Unisex</t>
  </si>
  <si>
    <t>COS6166</t>
  </si>
  <si>
    <t>Perfume Noor Jazz EDP 100 ml Zimaya Unisex</t>
  </si>
  <si>
    <t>COS6162</t>
  </si>
  <si>
    <t>Perfume Rabab Pulp EDP 100 ml Zimaya Unisex</t>
  </si>
  <si>
    <t>COS6159</t>
  </si>
  <si>
    <t>Perfume Ramsh Diva White EDP 100 ml Zimaya Mujer</t>
  </si>
  <si>
    <t>COS6164</t>
  </si>
  <si>
    <t>Perfume Ramsh Imperium EDP 100 ml Zimaya Unisex</t>
  </si>
  <si>
    <t>COS6163</t>
  </si>
  <si>
    <t>Perfume Roses Are White EDP 100 ml Zimaya Unisex</t>
  </si>
  <si>
    <t>COS6161</t>
  </si>
  <si>
    <t>PEDIDO MAYORISTA
MAYORISTA</t>
  </si>
  <si>
    <t>CLIENTE</t>
  </si>
  <si>
    <t>FECHA:</t>
  </si>
  <si>
    <t>RUT:</t>
  </si>
  <si>
    <t>CORREO:</t>
  </si>
  <si>
    <t>NUMERO DE CONTACTO:</t>
  </si>
  <si>
    <t>SUBTOTAL</t>
  </si>
  <si>
    <t>TOTAL PEDIDO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</si>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</sst>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2">
    <font>
      <sz val="11"/>
      <color theme="1"/>
      <name val="Aptos Narrow"/>
    </font>
    <font>
      <sz val="11"/>
      <name val="Calibri"/>
    </font>
    <font>
      <b/>
      <sz val="11"/>
      <color rgb="FFFFFFFF"/>
      <name val="Aptos Narrow"/>
    </font>
    <font>
      <sz val="11"/>
      <color rgb="FF000000"/>
      <name val="Calibri"/>
    </font>
    <font>
      <sz val="11"/>
      <name val="Aptos Narrow"/>
    </font>
    <font>
      <b/>
      <sz val="22"/>
      <color rgb="FF000000"/>
      <name val="Calibri"/>
    </font>
    <font>
      <b/>
      <sz val="11"/>
      <color theme="0"/>
      <name val="Aptos Narrow"/>
    </font>
    <font>
      <sz val="11"/>
      <color theme="1"/>
      <name val="Calibri"/>
    </font>
    <font>
      <b/>
      <sz val="11"/>
      <name val="Aptos Narrow"/>
    </font>
    <font>
      <b/>
      <sz val="22"/>
      <color rgb="FF000000"/>
      <name val="Calibri"/>
    </font>
    <font>
      <sz val="11"/>
      <name val="Calibri"/>
      <family val="2"/>
    </font>
    <font>
      <sz val="11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79989013336588644"/>
        <bgColor indexed="65"/>
      </patternFill>
    </fill>
    <fill>
      <patternFill patternType="solid">
        <fgColor rgb="FFA5A5A5"/>
      </patternFill>
    </fill>
    <fill>
      <patternFill patternType="solid">
        <fgColor theme="1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111111"/>
      </patternFill>
    </fill>
    <fill>
      <patternFill patternType="solid">
        <fgColor rgb="FFFFF8DC"/>
      </patternFill>
    </fill>
    <fill>
      <patternFill patternType="solid">
        <fgColor rgb="FFE2B700"/>
      </patternFill>
    </fill>
    <fill>
      <patternFill patternType="solid">
        <fgColor rgb="FFFFF2CC"/>
      </patternFill>
    </fill>
    <fill>
      <patternFill patternType="solid">
        <fgColor theme="1"/>
      </patternFill>
    </fill>
    <fill>
      <patternFill patternType="solid">
        <fgColor rgb="FF000000"/>
      </patternFill>
    </fill>
    <fill>
      <patternFill patternType="solid">
        <fgColor theme="0"/>
        <bgColor indexed="64"/>
      </patternFill>
    </fill>
    <fill>
      <patternFill patternType="solid">
        <fgColor rgb="FFFFE98B"/>
        <bgColor indexed="64"/>
      </patternFill>
    </fill>
  </fills>
  <borders count="4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/>
      <top style="thin">
        <color indexed="64"/>
      </top>
      <bottom/>
      <diagonal/>
    </border>
    <border>
      <left style="thin">
        <color rgb="FFD9D9D9"/>
      </left>
      <right style="hair">
        <color rgb="FFE7E7E7"/>
      </right>
      <top style="thin">
        <color rgb="FFD9D9D9"/>
      </top>
      <bottom style="hair">
        <color rgb="FFE7E7E7"/>
      </bottom>
      <diagonal/>
    </border>
    <border>
      <left style="hair">
        <color rgb="FFE7E7E7"/>
      </left>
      <right style="hair">
        <color rgb="FFE7E7E7"/>
      </right>
      <top style="thin">
        <color rgb="FFD9D9D9"/>
      </top>
      <bottom style="hair">
        <color rgb="FFE7E7E7"/>
      </bottom>
      <diagonal/>
    </border>
    <border>
      <left style="hair">
        <color rgb="FFE7E7E7"/>
      </left>
      <right style="thin">
        <color rgb="FFD9D9D9"/>
      </right>
      <top style="thin">
        <color rgb="FFD9D9D9"/>
      </top>
      <bottom style="hair">
        <color rgb="FFE7E7E7"/>
      </bottom>
      <diagonal/>
    </border>
    <border>
      <left style="thin">
        <color rgb="FFD9D9D9"/>
      </left>
      <right style="hair">
        <color rgb="FFE7E7E7"/>
      </right>
      <top style="hair">
        <color rgb="FFE7E7E7"/>
      </top>
      <bottom style="hair">
        <color rgb="FFE7E7E7"/>
      </bottom>
      <diagonal/>
    </border>
    <border>
      <left style="hair">
        <color rgb="FFE7E7E7"/>
      </left>
      <right style="hair">
        <color rgb="FFE7E7E7"/>
      </right>
      <top style="hair">
        <color rgb="FFE7E7E7"/>
      </top>
      <bottom style="hair">
        <color rgb="FFE7E7E7"/>
      </bottom>
      <diagonal/>
    </border>
    <border>
      <left style="hair">
        <color rgb="FFE7E7E7"/>
      </left>
      <right style="thin">
        <color rgb="FFD9D9D9"/>
      </right>
      <top style="hair">
        <color rgb="FFE7E7E7"/>
      </top>
      <bottom style="hair">
        <color rgb="FFE7E7E7"/>
      </bottom>
      <diagonal/>
    </border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double">
        <color rgb="FF3F3F3F"/>
      </left>
      <right/>
      <top/>
      <bottom/>
      <diagonal/>
    </border>
  </borders>
  <cellStyleXfs count="2">
    <xf numFmtId="0" fontId="0" fillId="0" borderId="20"/>
    <xf numFmtId="0" fontId="6" fillId="3" borderId="19"/>
  </cellStyleXfs>
  <cellXfs count="113">
    <xf numFmtId="0" fontId="0" fillId="0" borderId="0" xfId="0" applyBorder="1"/>
    <xf numFmtId="0" fontId="4" fillId="0" borderId="2" xfId="0" applyFont="1" applyBorder="1"/>
    <xf numFmtId="0" fontId="0" fillId="0" borderId="2" xfId="0" applyBorder="1" applyAlignment="1">
      <alignment horizontal="center" vertical="center"/>
    </xf>
    <xf numFmtId="0" fontId="0" fillId="2" borderId="0" xfId="0" applyFill="1" applyBorder="1"/>
    <xf numFmtId="0" fontId="0" fillId="0" borderId="3" xfId="0" applyBorder="1" applyAlignment="1">
      <alignment horizontal="center" vertical="center"/>
    </xf>
    <xf numFmtId="0" fontId="2" fillId="4" borderId="10" xfId="0" applyFont="1" applyFill="1" applyBorder="1"/>
    <xf numFmtId="1" fontId="2" fillId="4" borderId="10" xfId="0" applyNumberFormat="1" applyFont="1" applyFill="1" applyBorder="1" applyAlignment="1">
      <alignment horizontal="center"/>
    </xf>
    <xf numFmtId="0" fontId="0" fillId="0" borderId="11" xfId="0" applyBorder="1"/>
    <xf numFmtId="0" fontId="0" fillId="5" borderId="5" xfId="0" applyFill="1" applyBorder="1"/>
    <xf numFmtId="0" fontId="0" fillId="5" borderId="7" xfId="0" applyFill="1" applyBorder="1"/>
    <xf numFmtId="0" fontId="0" fillId="5" borderId="9" xfId="0" applyFill="1" applyBorder="1"/>
    <xf numFmtId="0" fontId="7" fillId="5" borderId="4" xfId="0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0" fontId="7" fillId="5" borderId="8" xfId="0" applyFont="1" applyFill="1" applyBorder="1" applyAlignment="1">
      <alignment horizontal="right"/>
    </xf>
    <xf numFmtId="1" fontId="0" fillId="0" borderId="11" xfId="0" applyNumberFormat="1" applyBorder="1"/>
    <xf numFmtId="164" fontId="0" fillId="0" borderId="0" xfId="0" applyNumberFormat="1" applyBorder="1" applyAlignment="1">
      <alignment horizontal="right"/>
    </xf>
    <xf numFmtId="164" fontId="0" fillId="0" borderId="11" xfId="0" applyNumberFormat="1" applyBorder="1"/>
    <xf numFmtId="0" fontId="2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1" fontId="2" fillId="6" borderId="13" xfId="0" applyNumberFormat="1" applyFont="1" applyFill="1" applyBorder="1" applyAlignment="1">
      <alignment horizontal="center" vertical="center"/>
    </xf>
    <xf numFmtId="164" fontId="2" fillId="6" borderId="13" xfId="0" applyNumberFormat="1" applyFont="1" applyFill="1" applyBorder="1" applyAlignment="1">
      <alignment horizontal="center" vertical="center"/>
    </xf>
    <xf numFmtId="164" fontId="2" fillId="6" borderId="14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1" fontId="0" fillId="0" borderId="16" xfId="0" applyNumberFormat="1" applyBorder="1" applyAlignment="1">
      <alignment wrapText="1"/>
    </xf>
    <xf numFmtId="3" fontId="0" fillId="0" borderId="16" xfId="0" applyNumberFormat="1" applyBorder="1" applyAlignment="1">
      <alignment wrapText="1"/>
    </xf>
    <xf numFmtId="1" fontId="0" fillId="7" borderId="16" xfId="0" applyNumberFormat="1" applyFill="1" applyBorder="1" applyAlignment="1">
      <alignment horizontal="center" wrapText="1"/>
    </xf>
    <xf numFmtId="3" fontId="0" fillId="0" borderId="17" xfId="0" applyNumberFormat="1" applyBorder="1" applyAlignment="1">
      <alignment wrapText="1"/>
    </xf>
    <xf numFmtId="0" fontId="0" fillId="0" borderId="18" xfId="0" applyBorder="1"/>
    <xf numFmtId="0" fontId="6" fillId="10" borderId="0" xfId="0" applyFont="1" applyFill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3" fontId="0" fillId="0" borderId="0" xfId="0" applyNumberFormat="1" applyBorder="1"/>
    <xf numFmtId="0" fontId="2" fillId="11" borderId="0" xfId="0" applyFont="1" applyFill="1" applyBorder="1" applyAlignment="1">
      <alignment horizontal="center"/>
    </xf>
    <xf numFmtId="3" fontId="2" fillId="11" borderId="0" xfId="0" applyNumberFormat="1" applyFont="1" applyFill="1" applyBorder="1" applyAlignment="1">
      <alignment horizontal="center"/>
    </xf>
    <xf numFmtId="1" fontId="2" fillId="11" borderId="0" xfId="0" applyNumberFormat="1" applyFont="1" applyFill="1" applyBorder="1" applyAlignment="1">
      <alignment horizontal="center"/>
    </xf>
    <xf numFmtId="1" fontId="0" fillId="9" borderId="20" xfId="0" applyNumberFormat="1" applyFill="1" applyAlignment="1">
      <alignment horizontal="center"/>
    </xf>
    <xf numFmtId="1" fontId="0" fillId="13" borderId="0" xfId="0" applyNumberFormat="1" applyFill="1" applyBorder="1" applyAlignment="1">
      <alignment horizontal="center"/>
    </xf>
    <xf numFmtId="0" fontId="0" fillId="13" borderId="0" xfId="0" applyFill="1" applyBorder="1"/>
    <xf numFmtId="1" fontId="11" fillId="13" borderId="0" xfId="0" applyNumberFormat="1" applyFont="1" applyFill="1" applyBorder="1" applyAlignment="1">
      <alignment horizontal="center"/>
    </xf>
    <xf numFmtId="0" fontId="11" fillId="13" borderId="0" xfId="0" applyFont="1" applyFill="1" applyBorder="1"/>
    <xf numFmtId="1" fontId="0" fillId="12" borderId="0" xfId="0" applyNumberFormat="1" applyFill="1" applyBorder="1" applyAlignment="1">
      <alignment horizontal="center"/>
    </xf>
    <xf numFmtId="0" fontId="0" fillId="12" borderId="0" xfId="0" applyFill="1" applyBorder="1"/>
    <xf numFmtId="0" fontId="0" fillId="12" borderId="20" xfId="0" applyFill="1"/>
    <xf numFmtId="1" fontId="0" fillId="12" borderId="20" xfId="0" applyNumberFormat="1" applyFill="1" applyAlignment="1">
      <alignment horizontal="center"/>
    </xf>
    <xf numFmtId="0" fontId="10" fillId="12" borderId="1" xfId="0" applyFont="1" applyFill="1" applyBorder="1" applyAlignment="1">
      <alignment wrapText="1"/>
    </xf>
    <xf numFmtId="1" fontId="10" fillId="12" borderId="1" xfId="0" applyNumberFormat="1" applyFont="1" applyFill="1" applyBorder="1" applyAlignment="1">
      <alignment wrapText="1"/>
    </xf>
    <xf numFmtId="1" fontId="10" fillId="12" borderId="1" xfId="0" applyNumberFormat="1" applyFont="1" applyFill="1" applyBorder="1" applyAlignment="1">
      <alignment horizontal="center" wrapText="1"/>
    </xf>
    <xf numFmtId="1" fontId="11" fillId="12" borderId="0" xfId="0" applyNumberFormat="1" applyFont="1" applyFill="1" applyBorder="1" applyAlignment="1">
      <alignment horizontal="center"/>
    </xf>
    <xf numFmtId="0" fontId="11" fillId="12" borderId="0" xfId="0" applyFont="1" applyFill="1" applyBorder="1"/>
    <xf numFmtId="0" fontId="1" fillId="13" borderId="21" xfId="0" applyFont="1" applyFill="1" applyBorder="1" applyAlignment="1">
      <alignment wrapText="1"/>
    </xf>
    <xf numFmtId="1" fontId="1" fillId="13" borderId="21" xfId="0" applyNumberFormat="1" applyFont="1" applyFill="1" applyBorder="1" applyAlignment="1">
      <alignment wrapText="1"/>
    </xf>
    <xf numFmtId="1" fontId="1" fillId="13" borderId="21" xfId="0" applyNumberFormat="1" applyFont="1" applyFill="1" applyBorder="1" applyAlignment="1">
      <alignment horizontal="center" wrapText="1"/>
    </xf>
    <xf numFmtId="1" fontId="11" fillId="12" borderId="20" xfId="0" applyNumberFormat="1" applyFont="1" applyFill="1" applyAlignment="1">
      <alignment horizontal="center"/>
    </xf>
    <xf numFmtId="0" fontId="0" fillId="13" borderId="21" xfId="0" applyFill="1" applyBorder="1"/>
    <xf numFmtId="1" fontId="0" fillId="13" borderId="21" xfId="0" applyNumberFormat="1" applyFill="1" applyBorder="1"/>
    <xf numFmtId="1" fontId="0" fillId="13" borderId="21" xfId="0" applyNumberFormat="1" applyFill="1" applyBorder="1" applyAlignment="1">
      <alignment horizontal="center"/>
    </xf>
    <xf numFmtId="0" fontId="0" fillId="0" borderId="20" xfId="0"/>
    <xf numFmtId="0" fontId="0" fillId="0" borderId="20" xfId="0" applyAlignment="1">
      <alignment horizontal="center" vertical="center"/>
    </xf>
    <xf numFmtId="0" fontId="3" fillId="0" borderId="20" xfId="0" applyFont="1" applyAlignment="1">
      <alignment horizontal="center" vertical="center"/>
    </xf>
    <xf numFmtId="1" fontId="0" fillId="13" borderId="20" xfId="0" applyNumberFormat="1" applyFill="1" applyAlignment="1">
      <alignment horizontal="center"/>
    </xf>
    <xf numFmtId="0" fontId="0" fillId="13" borderId="20" xfId="0" applyFill="1"/>
    <xf numFmtId="1" fontId="11" fillId="13" borderId="20" xfId="0" applyNumberFormat="1" applyFont="1" applyFill="1" applyAlignment="1">
      <alignment horizontal="center"/>
    </xf>
    <xf numFmtId="0" fontId="10" fillId="13" borderId="21" xfId="0" applyFont="1" applyFill="1" applyBorder="1" applyAlignment="1">
      <alignment wrapText="1"/>
    </xf>
    <xf numFmtId="1" fontId="10" fillId="13" borderId="21" xfId="0" applyNumberFormat="1" applyFont="1" applyFill="1" applyBorder="1" applyAlignment="1">
      <alignment wrapText="1"/>
    </xf>
    <xf numFmtId="1" fontId="10" fillId="13" borderId="21" xfId="0" applyNumberFormat="1" applyFont="1" applyFill="1" applyBorder="1" applyAlignment="1">
      <alignment horizontal="center" wrapText="1"/>
    </xf>
    <xf numFmtId="0" fontId="11" fillId="13" borderId="20" xfId="0" applyFont="1" applyFill="1"/>
    <xf numFmtId="1" fontId="0" fillId="0" borderId="0" xfId="0" applyNumberFormat="1" applyBorder="1" applyAlignment="1">
      <alignment horizontal="center"/>
    </xf>
    <xf numFmtId="1" fontId="0" fillId="0" borderId="0" xfId="0" applyNumberFormat="1" applyBorder="1"/>
    <xf numFmtId="164" fontId="0" fillId="0" borderId="0" xfId="0" applyNumberFormat="1" applyBorder="1"/>
    <xf numFmtId="0" fontId="1" fillId="0" borderId="20" xfId="0" applyFont="1" applyAlignment="1">
      <alignment wrapText="1"/>
    </xf>
    <xf numFmtId="0" fontId="2" fillId="4" borderId="40" xfId="0" applyFont="1" applyFill="1" applyBorder="1"/>
    <xf numFmtId="1" fontId="2" fillId="4" borderId="40" xfId="0" applyNumberFormat="1" applyFont="1" applyFill="1" applyBorder="1" applyAlignment="1">
      <alignment horizontal="center"/>
    </xf>
    <xf numFmtId="0" fontId="1" fillId="0" borderId="41" xfId="0" applyFont="1" applyBorder="1" applyAlignment="1">
      <alignment wrapText="1"/>
    </xf>
    <xf numFmtId="1" fontId="1" fillId="0" borderId="41" xfId="0" applyNumberFormat="1" applyFont="1" applyBorder="1" applyAlignment="1">
      <alignment wrapText="1"/>
    </xf>
    <xf numFmtId="1" fontId="1" fillId="0" borderId="41" xfId="0" applyNumberFormat="1" applyFont="1" applyBorder="1" applyAlignment="1">
      <alignment horizontal="center" wrapText="1"/>
    </xf>
    <xf numFmtId="164" fontId="0" fillId="0" borderId="20" xfId="0" applyNumberFormat="1"/>
    <xf numFmtId="164" fontId="0" fillId="0" borderId="18" xfId="0" applyNumberFormat="1" applyBorder="1" applyAlignment="1">
      <alignment horizontal="right"/>
    </xf>
    <xf numFmtId="164" fontId="6" fillId="10" borderId="40" xfId="0" applyNumberFormat="1" applyFont="1" applyFill="1" applyBorder="1" applyAlignment="1">
      <alignment horizontal="right"/>
    </xf>
    <xf numFmtId="164" fontId="0" fillId="13" borderId="21" xfId="0" applyNumberFormat="1" applyFill="1" applyBorder="1"/>
    <xf numFmtId="164" fontId="1" fillId="13" borderId="21" xfId="0" applyNumberFormat="1" applyFont="1" applyFill="1" applyBorder="1" applyAlignment="1">
      <alignment wrapText="1"/>
    </xf>
    <xf numFmtId="164" fontId="10" fillId="13" borderId="21" xfId="0" applyNumberFormat="1" applyFont="1" applyFill="1" applyBorder="1" applyAlignment="1">
      <alignment wrapText="1"/>
    </xf>
    <xf numFmtId="164" fontId="1" fillId="0" borderId="41" xfId="0" applyNumberFormat="1" applyFont="1" applyBorder="1" applyAlignment="1">
      <alignment wrapText="1"/>
    </xf>
    <xf numFmtId="164" fontId="6" fillId="10" borderId="10" xfId="0" applyNumberFormat="1" applyFont="1" applyFill="1" applyBorder="1" applyAlignment="1">
      <alignment horizontal="right"/>
    </xf>
    <xf numFmtId="164" fontId="1" fillId="0" borderId="20" xfId="0" applyNumberFormat="1" applyFont="1" applyAlignment="1">
      <alignment wrapText="1"/>
    </xf>
    <xf numFmtId="164" fontId="1" fillId="12" borderId="20" xfId="0" applyNumberFormat="1" applyFont="1" applyFill="1" applyAlignment="1">
      <alignment wrapText="1"/>
    </xf>
    <xf numFmtId="164" fontId="10" fillId="12" borderId="1" xfId="0" applyNumberFormat="1" applyFont="1" applyFill="1" applyBorder="1" applyAlignment="1">
      <alignment wrapText="1"/>
    </xf>
    <xf numFmtId="0" fontId="5" fillId="0" borderId="39" xfId="0" applyFont="1" applyBorder="1" applyAlignment="1">
      <alignment horizontal="center" vertical="center" wrapText="1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1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8" fillId="8" borderId="38" xfId="1" applyFont="1" applyFill="1" applyBorder="1" applyAlignment="1">
      <alignment horizontal="center"/>
    </xf>
    <xf numFmtId="0" fontId="0" fillId="0" borderId="30" xfId="0" applyBorder="1"/>
    <xf numFmtId="0" fontId="9" fillId="0" borderId="29" xfId="0" applyFont="1" applyBorder="1" applyAlignment="1">
      <alignment horizontal="center" vertical="center" wrapText="1"/>
    </xf>
    <xf numFmtId="0" fontId="0" fillId="0" borderId="27" xfId="0" applyBorder="1"/>
    <xf numFmtId="0" fontId="0" fillId="0" borderId="22" xfId="0" applyBorder="1"/>
    <xf numFmtId="0" fontId="0" fillId="0" borderId="25" xfId="0" applyBorder="1"/>
    <xf numFmtId="1" fontId="0" fillId="0" borderId="0" xfId="0" applyNumberFormat="1" applyBorder="1"/>
    <xf numFmtId="164" fontId="0" fillId="0" borderId="0" xfId="0" applyNumberFormat="1" applyBorder="1"/>
    <xf numFmtId="0" fontId="0" fillId="0" borderId="23" xfId="0" applyBorder="1"/>
    <xf numFmtId="0" fontId="0" fillId="0" borderId="26" xfId="0" applyBorder="1"/>
    <xf numFmtId="0" fontId="0" fillId="0" borderId="28" xfId="0" applyBorder="1"/>
    <xf numFmtId="0" fontId="0" fillId="0" borderId="24" xfId="0" applyBorder="1"/>
    <xf numFmtId="164" fontId="0" fillId="0" borderId="20" xfId="0" applyNumberFormat="1"/>
    <xf numFmtId="0" fontId="7" fillId="5" borderId="29" xfId="0" applyFont="1" applyFill="1" applyBorder="1" applyAlignment="1">
      <alignment horizontal="left" vertical="center"/>
    </xf>
    <xf numFmtId="0" fontId="0" fillId="0" borderId="42" xfId="0" applyBorder="1"/>
    <xf numFmtId="0" fontId="0" fillId="0" borderId="20" xfId="0" applyBorder="1"/>
  </cellXfs>
  <cellStyles count="2">
    <cellStyle name="Celda de comprobación" xfId="1" xr:uid="{00000000-0005-0000-0000-000001000000}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&quot;$&quot;#,##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bottom" textRotation="0" wrapText="1" indent="0" justifyLastLine="0" shrinkToFit="0" readingOrder="0"/>
    </dxf>
    <dxf>
      <border outline="0">
        <top style="double">
          <color rgb="FF3F3F3F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285751</xdr:colOff>
      <xdr:row>1</xdr:row>
      <xdr:rowOff>180974</xdr:rowOff>
    </xdr:from>
    <xdr:to>
      <xdr:col>1</xdr:col>
      <xdr:colOff>752475</xdr:colOff>
      <xdr:row>8</xdr:row>
      <xdr:rowOff>9524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BF138C1-82BB-73CB-2E82-725303C9E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1" y="371474"/>
          <a:ext cx="1619249" cy="1457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2</xdr:row>
      <xdr:rowOff>0</xdr:rowOff>
    </xdr:from>
    <xdr:to>
      <xdr:col>1</xdr:col>
      <xdr:colOff>192927</xdr:colOff>
      <xdr:row>8</xdr:row>
      <xdr:rowOff>9270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FCAD5B-F91A-329E-FF25-F10BF112F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381000"/>
          <a:ext cx="1621677" cy="145707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3101FE-7A01-49D2-A914-9BA3E809274A}" name="Tabla1" displayName="Tabla1" ref="A13:H1388" totalsRowShown="0" dataDxfId="0" tableBorderDxfId="8">
  <autoFilter ref="A13:H1388" xr:uid="{E83101FE-7A01-49D2-A914-9BA3E809274A}"/>
  <tableColumns count="8">
    <tableColumn id="1" xr3:uid="{AC1A32E0-987B-4B6C-B41C-6FF2C8032133}" name="Linea" dataDxfId="7"/>
    <tableColumn id="2" xr3:uid="{84B43D66-0F0A-440C-ACD5-E2A53F695D79}" name="Nombre" dataDxfId="6"/>
    <tableColumn id="3" xr3:uid="{5EF1E94E-988C-4ABE-9DB3-0793342EC8D4}" name="SKU" dataDxfId="5"/>
    <tableColumn id="4" xr3:uid="{0AFD304C-6252-4CB9-9AD5-A0732CFBAB60}" name="EAN" dataDxfId="4"/>
    <tableColumn id="5" xr3:uid="{ADEAD30F-2A36-4E9F-835E-4F25048612BF}" name="GÉNERO" dataDxfId="3"/>
    <tableColumn id="6" xr3:uid="{7983351B-2CB4-4F3C-BD43-B2C118057A7D}" name="FORMATO" dataDxfId="2"/>
    <tableColumn id="7" xr3:uid="{80545505-47A6-4D58-A66D-91B353AEB741}" name="PRECIO" dataDxfId="1"/>
    <tableColumn id="8" xr3:uid="{E6090DB1-8B3E-406B-8048-8D2B88266FCA}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4448D3-33B4-46B5-9F17-CFF35F2AC78B}">
  <we:reference id="WA200005502" version="1.0.0.13" store="Omex" storeType="OMEX"/>
  <we:alternateReferences>
    <we:reference id="WA200005502" version="1.0.0.13" store="WA200005502" storeType="OMEX"/>
  </we:alternateReferences>
  <we:properties>
    <we:property name="docId" value="&quot;awWMvIdzjeXA7obeT4P9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I1388"/>
  <sheetViews>
    <sheetView tabSelected="1" workbookViewId="0">
      <selection activeCell="G1389" sqref="G1389"/>
    </sheetView>
  </sheetViews>
  <sheetFormatPr baseColWidth="10" defaultColWidth="0" defaultRowHeight="15"/>
  <cols>
    <col min="1" max="1" width="17.28515625" customWidth="1"/>
    <col min="2" max="2" width="82.140625" customWidth="1"/>
    <col min="3" max="3" width="13.7109375" customWidth="1"/>
    <col min="4" max="4" width="14.5703125" style="66" customWidth="1"/>
    <col min="5" max="5" width="17.42578125" customWidth="1"/>
    <col min="6" max="6" width="14.28515625" customWidth="1"/>
    <col min="7" max="7" width="13" style="15" customWidth="1"/>
    <col min="8" max="8" width="12.7109375" customWidth="1"/>
    <col min="9" max="9" width="0.140625" hidden="1" customWidth="1"/>
    <col min="10" max="13" width="13" hidden="1" customWidth="1"/>
    <col min="14" max="16384" width="13" hidden="1"/>
  </cols>
  <sheetData>
    <row r="2" spans="1:9" ht="15" customHeight="1" thickBot="1">
      <c r="C2" s="28"/>
      <c r="D2" s="30"/>
      <c r="E2" s="28"/>
      <c r="F2" s="28"/>
      <c r="G2" s="76"/>
      <c r="H2" s="28"/>
    </row>
    <row r="3" spans="1:9" ht="31.5" customHeight="1" thickBot="1">
      <c r="A3" s="2"/>
      <c r="B3" s="86" t="s">
        <v>0</v>
      </c>
      <c r="C3" s="87"/>
      <c r="D3" s="87"/>
      <c r="E3" s="87"/>
      <c r="F3" s="87"/>
      <c r="G3" s="88"/>
      <c r="H3" s="28"/>
    </row>
    <row r="4" spans="1:9" ht="21" customHeight="1">
      <c r="A4" s="2"/>
      <c r="B4" s="89"/>
      <c r="C4" s="90"/>
      <c r="D4" s="91"/>
      <c r="E4" s="91"/>
      <c r="F4" s="92"/>
      <c r="G4" s="93"/>
      <c r="H4" s="28"/>
    </row>
    <row r="5" spans="1:9" ht="15.75" customHeight="1">
      <c r="A5" s="2"/>
      <c r="B5" s="89"/>
      <c r="C5" s="90"/>
      <c r="D5" s="91"/>
      <c r="E5" s="91"/>
      <c r="F5" s="92"/>
      <c r="G5" s="93"/>
      <c r="H5" s="28"/>
    </row>
    <row r="6" spans="1:9" ht="15" customHeight="1">
      <c r="A6" s="2"/>
      <c r="B6" s="89"/>
      <c r="C6" s="90"/>
      <c r="D6" s="91"/>
      <c r="E6" s="91"/>
      <c r="F6" s="92"/>
      <c r="G6" s="93"/>
      <c r="H6" s="28"/>
    </row>
    <row r="7" spans="1:9" ht="15" customHeight="1">
      <c r="A7" s="2"/>
      <c r="B7" s="89"/>
      <c r="C7" s="90"/>
      <c r="D7" s="91"/>
      <c r="E7" s="91"/>
      <c r="F7" s="92"/>
      <c r="G7" s="93"/>
      <c r="H7" s="28"/>
    </row>
    <row r="8" spans="1:9" ht="15" customHeight="1">
      <c r="A8" s="2"/>
      <c r="B8" s="94"/>
      <c r="C8" s="95"/>
      <c r="D8" s="95"/>
      <c r="E8" s="95"/>
      <c r="F8" s="95"/>
      <c r="G8" s="96"/>
      <c r="H8" s="28"/>
    </row>
    <row r="9" spans="1:9" s="56" customFormat="1" ht="15" customHeight="1">
      <c r="A9" s="57"/>
      <c r="B9" s="58"/>
      <c r="G9" s="75"/>
    </row>
    <row r="10" spans="1:9" ht="33.950000000000003" customHeight="1">
      <c r="A10" s="4"/>
      <c r="D10"/>
      <c r="G10" s="68"/>
    </row>
    <row r="11" spans="1:9" ht="15" customHeight="1" thickTop="1" thickBot="1">
      <c r="A11" s="97" t="s">
        <v>1</v>
      </c>
      <c r="B11" s="98"/>
      <c r="C11" s="98"/>
      <c r="D11" s="98"/>
      <c r="E11" s="98"/>
      <c r="F11" s="98"/>
      <c r="G11" s="98"/>
      <c r="H11" s="98"/>
    </row>
    <row r="12" spans="1:9" s="3" customFormat="1" ht="15" customHeight="1" thickTop="1">
      <c r="A12" s="111"/>
      <c r="B12" s="112"/>
      <c r="C12" s="112"/>
      <c r="D12" s="112"/>
      <c r="E12" s="112"/>
      <c r="F12" s="112"/>
      <c r="G12" s="112"/>
      <c r="H12" s="112"/>
    </row>
    <row r="13" spans="1:9" ht="15.75" customHeight="1">
      <c r="A13" s="70" t="s">
        <v>2</v>
      </c>
      <c r="B13" s="70" t="s">
        <v>3</v>
      </c>
      <c r="C13" s="70" t="s">
        <v>4</v>
      </c>
      <c r="D13" s="71" t="s">
        <v>5</v>
      </c>
      <c r="E13" s="70" t="s">
        <v>6</v>
      </c>
      <c r="F13" s="70" t="s">
        <v>7</v>
      </c>
      <c r="G13" s="77" t="s">
        <v>8</v>
      </c>
      <c r="H13" s="29" t="s">
        <v>9</v>
      </c>
    </row>
    <row r="14" spans="1:9" s="37" customFormat="1">
      <c r="A14" s="53" t="s">
        <v>10</v>
      </c>
      <c r="B14" s="53" t="s">
        <v>11</v>
      </c>
      <c r="C14" s="54" t="s">
        <v>12</v>
      </c>
      <c r="D14" s="55">
        <v>6290171002338</v>
      </c>
      <c r="E14" s="53" t="s">
        <v>13</v>
      </c>
      <c r="F14" s="53" t="s">
        <v>14</v>
      </c>
      <c r="G14" s="78">
        <v>26351</v>
      </c>
      <c r="H14" s="59"/>
      <c r="I14" s="36"/>
    </row>
    <row r="15" spans="1:9" s="60" customFormat="1">
      <c r="A15" s="53" t="s">
        <v>10</v>
      </c>
      <c r="B15" s="53" t="s">
        <v>15</v>
      </c>
      <c r="C15" s="54" t="s">
        <v>16</v>
      </c>
      <c r="D15" s="55">
        <v>6290171072256</v>
      </c>
      <c r="E15" s="53" t="s">
        <v>17</v>
      </c>
      <c r="F15" s="53" t="s">
        <v>14</v>
      </c>
      <c r="G15" s="78">
        <v>14316</v>
      </c>
      <c r="H15" s="59"/>
      <c r="I15" s="59"/>
    </row>
    <row r="16" spans="1:9" s="37" customFormat="1">
      <c r="A16" s="53" t="s">
        <v>18</v>
      </c>
      <c r="B16" s="53" t="s">
        <v>19</v>
      </c>
      <c r="C16" s="54" t="s">
        <v>20</v>
      </c>
      <c r="D16" s="55">
        <v>6291106814873</v>
      </c>
      <c r="E16" s="53" t="s">
        <v>17</v>
      </c>
      <c r="F16" s="53" t="s">
        <v>14</v>
      </c>
      <c r="G16" s="78">
        <v>36178</v>
      </c>
      <c r="H16" s="59"/>
      <c r="I16" s="36" t="str">
        <f>IF(H16&gt;0,COUNTIF($H$16:H16,"&gt;0"),"")</f>
        <v/>
      </c>
    </row>
    <row r="17" spans="1:9" s="37" customFormat="1">
      <c r="A17" s="53" t="s">
        <v>18</v>
      </c>
      <c r="B17" s="53" t="s">
        <v>21</v>
      </c>
      <c r="C17" s="54" t="s">
        <v>22</v>
      </c>
      <c r="D17" s="55">
        <v>6291106814859</v>
      </c>
      <c r="E17" s="53" t="s">
        <v>17</v>
      </c>
      <c r="F17" s="53" t="s">
        <v>14</v>
      </c>
      <c r="G17" s="78">
        <v>33408</v>
      </c>
      <c r="H17" s="59"/>
      <c r="I17" s="36" t="str">
        <f>IF(H17&gt;0,COUNTIF($H$16:H17,"&gt;0"),"")</f>
        <v/>
      </c>
    </row>
    <row r="18" spans="1:9" s="60" customFormat="1">
      <c r="A18" s="53" t="s">
        <v>23</v>
      </c>
      <c r="B18" s="53" t="s">
        <v>24</v>
      </c>
      <c r="C18" s="54" t="s">
        <v>25</v>
      </c>
      <c r="D18" s="55">
        <v>850050062677</v>
      </c>
      <c r="E18" s="53" t="s">
        <v>13</v>
      </c>
      <c r="F18" s="53" t="s">
        <v>14</v>
      </c>
      <c r="G18" s="78">
        <v>54892</v>
      </c>
      <c r="H18" s="59"/>
      <c r="I18" s="59"/>
    </row>
    <row r="19" spans="1:9" s="37" customFormat="1" ht="12.75" customHeight="1">
      <c r="A19" s="49" t="s">
        <v>26</v>
      </c>
      <c r="B19" s="49" t="s">
        <v>27</v>
      </c>
      <c r="C19" s="50" t="s">
        <v>28</v>
      </c>
      <c r="D19" s="51">
        <v>6295199805022</v>
      </c>
      <c r="E19" s="49" t="s">
        <v>13</v>
      </c>
      <c r="F19" s="49" t="s">
        <v>14</v>
      </c>
      <c r="G19" s="79">
        <v>33408</v>
      </c>
      <c r="H19" s="59"/>
      <c r="I19" s="36"/>
    </row>
    <row r="20" spans="1:9" s="37" customFormat="1" ht="15.75" customHeight="1">
      <c r="A20" s="49" t="s">
        <v>26</v>
      </c>
      <c r="B20" s="49" t="s">
        <v>29</v>
      </c>
      <c r="C20" s="50" t="s">
        <v>30</v>
      </c>
      <c r="D20" s="51">
        <v>6294015164176</v>
      </c>
      <c r="E20" s="49" t="s">
        <v>17</v>
      </c>
      <c r="F20" s="49" t="s">
        <v>14</v>
      </c>
      <c r="G20" s="79">
        <v>28775</v>
      </c>
      <c r="H20" s="59"/>
      <c r="I20" s="36"/>
    </row>
    <row r="21" spans="1:9" s="37" customFormat="1" ht="15.75" customHeight="1">
      <c r="A21" s="49" t="s">
        <v>31</v>
      </c>
      <c r="B21" s="49" t="s">
        <v>32</v>
      </c>
      <c r="C21" s="50" t="s">
        <v>33</v>
      </c>
      <c r="D21" s="51">
        <v>3614273903172</v>
      </c>
      <c r="E21" s="49" t="s">
        <v>13</v>
      </c>
      <c r="F21" s="49" t="s">
        <v>14</v>
      </c>
      <c r="G21" s="79">
        <v>40418</v>
      </c>
      <c r="H21" s="59"/>
      <c r="I21" s="36"/>
    </row>
    <row r="22" spans="1:9" s="37" customFormat="1" ht="15" customHeight="1">
      <c r="A22" s="49" t="s">
        <v>34</v>
      </c>
      <c r="B22" s="49" t="s">
        <v>35</v>
      </c>
      <c r="C22" s="50" t="s">
        <v>36</v>
      </c>
      <c r="D22" s="51">
        <v>88300107438</v>
      </c>
      <c r="E22" s="49" t="s">
        <v>17</v>
      </c>
      <c r="F22" s="49" t="s">
        <v>14</v>
      </c>
      <c r="G22" s="79">
        <v>28168</v>
      </c>
      <c r="H22" s="59"/>
      <c r="I22" s="36"/>
    </row>
    <row r="23" spans="1:9" s="60" customFormat="1" ht="15" customHeight="1">
      <c r="A23" s="49" t="s">
        <v>37</v>
      </c>
      <c r="B23" s="49" t="s">
        <v>38</v>
      </c>
      <c r="C23" s="50" t="s">
        <v>39</v>
      </c>
      <c r="D23" s="51">
        <v>3432240506306</v>
      </c>
      <c r="E23" s="49" t="s">
        <v>13</v>
      </c>
      <c r="F23" s="49" t="s">
        <v>14</v>
      </c>
      <c r="G23" s="79">
        <v>63288</v>
      </c>
      <c r="H23" s="59"/>
      <c r="I23" s="59"/>
    </row>
    <row r="24" spans="1:9" s="60" customFormat="1" ht="15" customHeight="1">
      <c r="A24" s="49" t="s">
        <v>37</v>
      </c>
      <c r="B24" s="49" t="s">
        <v>40</v>
      </c>
      <c r="C24" s="50" t="s">
        <v>41</v>
      </c>
      <c r="D24" s="51">
        <v>3432240506641</v>
      </c>
      <c r="E24" s="49" t="s">
        <v>42</v>
      </c>
      <c r="F24" s="49" t="s">
        <v>14</v>
      </c>
      <c r="G24" s="79">
        <v>76791</v>
      </c>
      <c r="H24" s="59"/>
      <c r="I24" s="59"/>
    </row>
    <row r="25" spans="1:9" s="60" customFormat="1" ht="15" customHeight="1">
      <c r="A25" s="49" t="s">
        <v>43</v>
      </c>
      <c r="B25" s="49" t="s">
        <v>44</v>
      </c>
      <c r="C25" s="50" t="s">
        <v>45</v>
      </c>
      <c r="D25" s="51">
        <v>8411061055182</v>
      </c>
      <c r="E25" s="49" t="s">
        <v>13</v>
      </c>
      <c r="F25" s="49" t="s">
        <v>14</v>
      </c>
      <c r="G25" s="79">
        <v>33149</v>
      </c>
      <c r="H25" s="59"/>
      <c r="I25" s="59"/>
    </row>
    <row r="26" spans="1:9" s="60" customFormat="1" ht="15" customHeight="1">
      <c r="A26" s="49" t="s">
        <v>43</v>
      </c>
      <c r="B26" s="49" t="s">
        <v>46</v>
      </c>
      <c r="C26" s="50" t="s">
        <v>47</v>
      </c>
      <c r="D26" s="51">
        <v>8411061043868</v>
      </c>
      <c r="E26" s="49" t="s">
        <v>13</v>
      </c>
      <c r="F26" s="49" t="s">
        <v>14</v>
      </c>
      <c r="G26" s="79">
        <v>61643</v>
      </c>
      <c r="H26" s="59"/>
      <c r="I26" s="59"/>
    </row>
    <row r="27" spans="1:9" s="60" customFormat="1" ht="15" customHeight="1">
      <c r="A27" s="49" t="s">
        <v>43</v>
      </c>
      <c r="B27" s="49" t="s">
        <v>48</v>
      </c>
      <c r="C27" s="50" t="s">
        <v>49</v>
      </c>
      <c r="D27" s="51">
        <v>8411061853207</v>
      </c>
      <c r="E27" s="49" t="s">
        <v>13</v>
      </c>
      <c r="F27" s="49" t="s">
        <v>14</v>
      </c>
      <c r="G27" s="79">
        <v>90985</v>
      </c>
      <c r="H27" s="59"/>
      <c r="I27" s="59"/>
    </row>
    <row r="28" spans="1:9" s="37" customFormat="1" ht="15" customHeight="1">
      <c r="A28" s="49" t="s">
        <v>43</v>
      </c>
      <c r="B28" s="49" t="s">
        <v>50</v>
      </c>
      <c r="C28" s="50" t="s">
        <v>51</v>
      </c>
      <c r="D28" s="51">
        <v>8411061124413</v>
      </c>
      <c r="E28" s="49" t="s">
        <v>42</v>
      </c>
      <c r="F28" s="49" t="s">
        <v>14</v>
      </c>
      <c r="G28" s="79">
        <v>53248</v>
      </c>
      <c r="H28" s="59"/>
      <c r="I28" s="36"/>
    </row>
    <row r="29" spans="1:9" s="37" customFormat="1" ht="15" customHeight="1">
      <c r="A29" s="49" t="s">
        <v>43</v>
      </c>
      <c r="B29" s="49" t="s">
        <v>52</v>
      </c>
      <c r="C29" s="50" t="s">
        <v>53</v>
      </c>
      <c r="D29" s="51">
        <v>8411061063415</v>
      </c>
      <c r="E29" s="49" t="s">
        <v>13</v>
      </c>
      <c r="F29" s="49" t="s">
        <v>14</v>
      </c>
      <c r="G29" s="79">
        <v>36264</v>
      </c>
      <c r="H29" s="59"/>
      <c r="I29" s="36"/>
    </row>
    <row r="30" spans="1:9" s="37" customFormat="1" ht="15" customHeight="1">
      <c r="A30" s="49" t="s">
        <v>43</v>
      </c>
      <c r="B30" s="49" t="s">
        <v>54</v>
      </c>
      <c r="C30" s="50" t="s">
        <v>55</v>
      </c>
      <c r="D30" s="51">
        <v>8411061106297</v>
      </c>
      <c r="E30" s="49" t="s">
        <v>13</v>
      </c>
      <c r="F30" s="49" t="s">
        <v>14</v>
      </c>
      <c r="G30" s="79">
        <v>59990</v>
      </c>
      <c r="H30" s="59"/>
      <c r="I30" s="36"/>
    </row>
    <row r="31" spans="1:9" s="37" customFormat="1" ht="15" customHeight="1">
      <c r="A31" s="49" t="s">
        <v>43</v>
      </c>
      <c r="B31" s="49" t="s">
        <v>56</v>
      </c>
      <c r="C31" s="50" t="s">
        <v>57</v>
      </c>
      <c r="D31" s="51">
        <v>8411061077160</v>
      </c>
      <c r="E31" s="49" t="s">
        <v>42</v>
      </c>
      <c r="F31" s="49" t="s">
        <v>14</v>
      </c>
      <c r="G31" s="79">
        <v>88475</v>
      </c>
      <c r="H31" s="59"/>
      <c r="I31" s="36"/>
    </row>
    <row r="32" spans="1:9" s="60" customFormat="1" ht="15" customHeight="1">
      <c r="A32" s="49" t="s">
        <v>58</v>
      </c>
      <c r="B32" s="49" t="s">
        <v>59</v>
      </c>
      <c r="C32" s="50" t="s">
        <v>60</v>
      </c>
      <c r="D32" s="51">
        <v>3386460113724</v>
      </c>
      <c r="E32" s="49" t="s">
        <v>13</v>
      </c>
      <c r="F32" s="49" t="s">
        <v>14</v>
      </c>
      <c r="G32" s="79">
        <v>33322</v>
      </c>
      <c r="H32" s="59"/>
      <c r="I32" s="59"/>
    </row>
    <row r="33" spans="1:9" s="60" customFormat="1" ht="15" customHeight="1">
      <c r="A33" s="49" t="s">
        <v>58</v>
      </c>
      <c r="B33" s="49" t="s">
        <v>61</v>
      </c>
      <c r="C33" s="50" t="s">
        <v>62</v>
      </c>
      <c r="D33" s="51">
        <v>3386460113731</v>
      </c>
      <c r="E33" s="49" t="s">
        <v>13</v>
      </c>
      <c r="F33" s="49" t="s">
        <v>63</v>
      </c>
      <c r="G33" s="79">
        <v>24620</v>
      </c>
      <c r="H33" s="59"/>
      <c r="I33" s="59"/>
    </row>
    <row r="34" spans="1:9" s="37" customFormat="1" ht="15" customHeight="1">
      <c r="A34" s="49" t="s">
        <v>64</v>
      </c>
      <c r="B34" s="49" t="s">
        <v>65</v>
      </c>
      <c r="C34" s="50" t="s">
        <v>66</v>
      </c>
      <c r="D34" s="51">
        <v>8057971188192</v>
      </c>
      <c r="E34" s="49" t="s">
        <v>42</v>
      </c>
      <c r="F34" s="49" t="s">
        <v>14</v>
      </c>
      <c r="G34" s="79">
        <v>48141</v>
      </c>
      <c r="H34" s="59"/>
      <c r="I34" s="36"/>
    </row>
    <row r="35" spans="1:9" s="37" customFormat="1" ht="15" customHeight="1">
      <c r="A35" s="49" t="s">
        <v>64</v>
      </c>
      <c r="B35" s="49" t="s">
        <v>67</v>
      </c>
      <c r="C35" s="50" t="s">
        <v>68</v>
      </c>
      <c r="D35" s="51">
        <v>8054754403527</v>
      </c>
      <c r="E35" s="49" t="s">
        <v>13</v>
      </c>
      <c r="F35" s="49" t="s">
        <v>69</v>
      </c>
      <c r="G35" s="79">
        <v>35918</v>
      </c>
      <c r="H35" s="59"/>
      <c r="I35" s="36"/>
    </row>
    <row r="36" spans="1:9" s="60" customFormat="1" ht="15" customHeight="1">
      <c r="A36" s="49" t="s">
        <v>64</v>
      </c>
      <c r="B36" s="49" t="s">
        <v>70</v>
      </c>
      <c r="C36" s="50" t="s">
        <v>71</v>
      </c>
      <c r="D36" s="51">
        <v>8054754403572</v>
      </c>
      <c r="E36" s="49" t="s">
        <v>13</v>
      </c>
      <c r="F36" s="49" t="s">
        <v>69</v>
      </c>
      <c r="G36" s="79">
        <v>50219</v>
      </c>
      <c r="H36" s="59"/>
      <c r="I36" s="59"/>
    </row>
    <row r="37" spans="1:9" s="60" customFormat="1" ht="15" customHeight="1">
      <c r="A37" s="49" t="s">
        <v>64</v>
      </c>
      <c r="B37" s="49" t="s">
        <v>72</v>
      </c>
      <c r="C37" s="50" t="s">
        <v>73</v>
      </c>
      <c r="D37" s="51">
        <v>8054754403398</v>
      </c>
      <c r="E37" s="49" t="s">
        <v>42</v>
      </c>
      <c r="F37" s="49" t="s">
        <v>69</v>
      </c>
      <c r="G37" s="79">
        <v>41025</v>
      </c>
      <c r="H37" s="59"/>
      <c r="I37" s="59"/>
    </row>
    <row r="38" spans="1:9" s="60" customFormat="1" ht="15" customHeight="1">
      <c r="A38" s="49" t="s">
        <v>74</v>
      </c>
      <c r="B38" s="49" t="s">
        <v>75</v>
      </c>
      <c r="C38" s="50" t="s">
        <v>76</v>
      </c>
      <c r="D38" s="51">
        <v>6291108525067</v>
      </c>
      <c r="E38" s="49" t="s">
        <v>13</v>
      </c>
      <c r="F38" s="49" t="s">
        <v>14</v>
      </c>
      <c r="G38" s="79">
        <v>15701</v>
      </c>
      <c r="H38" s="59"/>
      <c r="I38" s="59"/>
    </row>
    <row r="39" spans="1:9" s="60" customFormat="1" ht="15" customHeight="1">
      <c r="A39" s="49" t="s">
        <v>74</v>
      </c>
      <c r="B39" s="49" t="s">
        <v>77</v>
      </c>
      <c r="C39" s="50" t="s">
        <v>78</v>
      </c>
      <c r="D39" s="51">
        <v>6291103660060</v>
      </c>
      <c r="E39" s="49" t="s">
        <v>42</v>
      </c>
      <c r="F39" s="49" t="s">
        <v>14</v>
      </c>
      <c r="G39" s="79">
        <v>14056</v>
      </c>
      <c r="H39" s="59"/>
      <c r="I39" s="59"/>
    </row>
    <row r="40" spans="1:9" s="37" customFormat="1" ht="15" customHeight="1">
      <c r="A40" s="49" t="s">
        <v>79</v>
      </c>
      <c r="B40" s="49" t="s">
        <v>80</v>
      </c>
      <c r="C40" s="50" t="s">
        <v>81</v>
      </c>
      <c r="D40" s="51">
        <v>6290360375694</v>
      </c>
      <c r="E40" s="49" t="s">
        <v>13</v>
      </c>
      <c r="F40" s="49" t="s">
        <v>14</v>
      </c>
      <c r="G40" s="79">
        <v>29208</v>
      </c>
      <c r="H40" s="59"/>
      <c r="I40" s="36"/>
    </row>
    <row r="41" spans="1:9" s="37" customFormat="1" ht="15" customHeight="1">
      <c r="A41" s="49" t="s">
        <v>79</v>
      </c>
      <c r="B41" s="49" t="s">
        <v>82</v>
      </c>
      <c r="C41" s="50" t="s">
        <v>83</v>
      </c>
      <c r="D41" s="51">
        <v>6290360378053</v>
      </c>
      <c r="E41" s="49" t="s">
        <v>17</v>
      </c>
      <c r="F41" s="49" t="s">
        <v>14</v>
      </c>
      <c r="G41" s="79">
        <v>33408</v>
      </c>
      <c r="H41" s="59"/>
      <c r="I41" s="36" t="str">
        <f>IF(H41&gt;0,COUNTIF($H$16:H41,"&gt;0"),"")</f>
        <v/>
      </c>
    </row>
    <row r="42" spans="1:9" s="37" customFormat="1" ht="15" customHeight="1">
      <c r="A42" s="49" t="s">
        <v>84</v>
      </c>
      <c r="B42" s="49" t="s">
        <v>85</v>
      </c>
      <c r="C42" s="50">
        <v>4232</v>
      </c>
      <c r="D42" s="51">
        <v>3614273955539</v>
      </c>
      <c r="E42" s="49" t="s">
        <v>13</v>
      </c>
      <c r="F42" s="49" t="s">
        <v>14</v>
      </c>
      <c r="G42" s="79">
        <v>92460</v>
      </c>
      <c r="H42" s="59"/>
      <c r="I42" s="36" t="str">
        <f>IF(H42&gt;0,COUNTIF($H$16:H42,"&gt;0"),"")</f>
        <v/>
      </c>
    </row>
    <row r="43" spans="1:9" s="37" customFormat="1" ht="15" customHeight="1">
      <c r="A43" s="49" t="s">
        <v>84</v>
      </c>
      <c r="B43" s="49" t="s">
        <v>86</v>
      </c>
      <c r="C43" s="50" t="s">
        <v>87</v>
      </c>
      <c r="D43" s="51">
        <v>3614274822052</v>
      </c>
      <c r="E43" s="49" t="s">
        <v>13</v>
      </c>
      <c r="F43" s="49" t="s">
        <v>69</v>
      </c>
      <c r="G43" s="79">
        <v>91072</v>
      </c>
      <c r="H43" s="59"/>
      <c r="I43" s="36"/>
    </row>
    <row r="44" spans="1:9" s="60" customFormat="1" ht="15" customHeight="1">
      <c r="A44" s="49" t="s">
        <v>88</v>
      </c>
      <c r="B44" s="49" t="s">
        <v>1250</v>
      </c>
      <c r="C44" s="50" t="s">
        <v>1251</v>
      </c>
      <c r="D44" s="51">
        <v>3614229823806</v>
      </c>
      <c r="E44" s="49" t="s">
        <v>13</v>
      </c>
      <c r="F44" s="49" t="s">
        <v>14</v>
      </c>
      <c r="G44" s="79">
        <v>34273</v>
      </c>
      <c r="H44" s="59"/>
      <c r="I44" s="59" t="s">
        <v>2730</v>
      </c>
    </row>
    <row r="45" spans="1:9" s="60" customFormat="1" ht="15" customHeight="1">
      <c r="A45" s="49" t="s">
        <v>88</v>
      </c>
      <c r="B45" s="49" t="s">
        <v>89</v>
      </c>
      <c r="C45" s="50" t="s">
        <v>90</v>
      </c>
      <c r="D45" s="51">
        <v>3616304957741</v>
      </c>
      <c r="E45" s="49" t="s">
        <v>13</v>
      </c>
      <c r="F45" s="49" t="s">
        <v>69</v>
      </c>
      <c r="G45" s="79"/>
      <c r="H45" s="59"/>
      <c r="I45" s="59"/>
    </row>
    <row r="46" spans="1:9" s="37" customFormat="1" ht="15" customHeight="1">
      <c r="A46" s="49" t="s">
        <v>91</v>
      </c>
      <c r="B46" s="49" t="s">
        <v>92</v>
      </c>
      <c r="C46" s="50" t="s">
        <v>93</v>
      </c>
      <c r="D46" s="51">
        <v>8431754342016</v>
      </c>
      <c r="E46" s="49" t="s">
        <v>42</v>
      </c>
      <c r="F46" s="49" t="s">
        <v>14</v>
      </c>
      <c r="G46" s="79">
        <v>25312</v>
      </c>
      <c r="H46" s="59"/>
      <c r="I46" s="36" t="str">
        <f>IF(H46&gt;0,COUNTIF($H$16:H46,"&gt;0"),"")</f>
        <v/>
      </c>
    </row>
    <row r="47" spans="1:9" s="37" customFormat="1" ht="15" customHeight="1">
      <c r="A47" s="49" t="s">
        <v>91</v>
      </c>
      <c r="B47" s="49" t="s">
        <v>94</v>
      </c>
      <c r="C47" s="50" t="s">
        <v>95</v>
      </c>
      <c r="D47" s="51">
        <v>8431754462516</v>
      </c>
      <c r="E47" s="49" t="s">
        <v>13</v>
      </c>
      <c r="F47" s="49" t="s">
        <v>14</v>
      </c>
      <c r="G47" s="79">
        <v>25312</v>
      </c>
      <c r="H47" s="59"/>
      <c r="I47" s="36" t="str">
        <f>IF(H47&gt;0,COUNTIF($H$16:H47,"&gt;0"),"")</f>
        <v/>
      </c>
    </row>
    <row r="48" spans="1:9" s="37" customFormat="1" ht="15" customHeight="1">
      <c r="A48" s="49" t="s">
        <v>96</v>
      </c>
      <c r="B48" s="49" t="s">
        <v>97</v>
      </c>
      <c r="C48" s="50" t="s">
        <v>98</v>
      </c>
      <c r="D48" s="51">
        <v>3346130013457</v>
      </c>
      <c r="E48" s="49" t="s">
        <v>13</v>
      </c>
      <c r="F48" s="49" t="s">
        <v>14</v>
      </c>
      <c r="G48" s="79">
        <v>84754</v>
      </c>
      <c r="H48" s="59"/>
      <c r="I48" s="36"/>
    </row>
    <row r="49" spans="1:9" s="37" customFormat="1" ht="15" customHeight="1">
      <c r="A49" s="49" t="s">
        <v>99</v>
      </c>
      <c r="B49" s="49" t="s">
        <v>100</v>
      </c>
      <c r="C49" s="50" t="s">
        <v>101</v>
      </c>
      <c r="D49" s="51">
        <v>8435415032315</v>
      </c>
      <c r="E49" s="49" t="s">
        <v>13</v>
      </c>
      <c r="F49" s="49" t="s">
        <v>14</v>
      </c>
      <c r="G49" s="79">
        <v>72203</v>
      </c>
      <c r="H49" s="59"/>
      <c r="I49" s="36"/>
    </row>
    <row r="50" spans="1:9" s="37" customFormat="1" ht="12.75" customHeight="1">
      <c r="A50" s="53" t="s">
        <v>99</v>
      </c>
      <c r="B50" s="53" t="s">
        <v>102</v>
      </c>
      <c r="C50" s="54" t="s">
        <v>103</v>
      </c>
      <c r="D50" s="55">
        <v>8435415065191</v>
      </c>
      <c r="E50" s="53" t="s">
        <v>13</v>
      </c>
      <c r="F50" s="53" t="s">
        <v>14</v>
      </c>
      <c r="G50" s="78">
        <v>92024</v>
      </c>
      <c r="H50" s="59"/>
      <c r="I50" s="36"/>
    </row>
    <row r="51" spans="1:9" s="37" customFormat="1" ht="15.75" customHeight="1">
      <c r="A51" s="49" t="s">
        <v>104</v>
      </c>
      <c r="B51" s="49" t="s">
        <v>105</v>
      </c>
      <c r="C51" s="50" t="s">
        <v>106</v>
      </c>
      <c r="D51" s="51">
        <v>850051043354</v>
      </c>
      <c r="E51" s="49" t="s">
        <v>17</v>
      </c>
      <c r="F51" s="49" t="s">
        <v>14</v>
      </c>
      <c r="G51" s="79">
        <v>51517</v>
      </c>
      <c r="H51" s="59"/>
      <c r="I51" s="36"/>
    </row>
    <row r="52" spans="1:9" s="37" customFormat="1">
      <c r="A52" s="53" t="s">
        <v>104</v>
      </c>
      <c r="B52" s="53" t="s">
        <v>107</v>
      </c>
      <c r="C52" s="54" t="s">
        <v>108</v>
      </c>
      <c r="D52" s="55">
        <v>850051043583</v>
      </c>
      <c r="E52" s="53" t="s">
        <v>17</v>
      </c>
      <c r="F52" s="53" t="s">
        <v>14</v>
      </c>
      <c r="G52" s="78">
        <v>64586</v>
      </c>
      <c r="H52" s="59"/>
      <c r="I52" s="36"/>
    </row>
    <row r="53" spans="1:9" s="60" customFormat="1">
      <c r="A53" s="53" t="s">
        <v>109</v>
      </c>
      <c r="B53" s="53" t="s">
        <v>110</v>
      </c>
      <c r="C53" s="54" t="s">
        <v>111</v>
      </c>
      <c r="D53" s="55">
        <v>6291108735411</v>
      </c>
      <c r="E53" s="53" t="s">
        <v>13</v>
      </c>
      <c r="F53" s="53" t="s">
        <v>14</v>
      </c>
      <c r="G53" s="78">
        <v>20549</v>
      </c>
      <c r="H53" s="59"/>
      <c r="I53" s="59"/>
    </row>
    <row r="54" spans="1:9" s="37" customFormat="1" ht="15.75" customHeight="1">
      <c r="A54" s="49" t="s">
        <v>109</v>
      </c>
      <c r="B54" s="49" t="s">
        <v>112</v>
      </c>
      <c r="C54" s="50" t="s">
        <v>113</v>
      </c>
      <c r="D54" s="51">
        <v>6290362346548</v>
      </c>
      <c r="E54" s="49" t="s">
        <v>13</v>
      </c>
      <c r="F54" s="49" t="s">
        <v>14</v>
      </c>
      <c r="G54" s="79">
        <v>28948</v>
      </c>
      <c r="H54" s="59"/>
      <c r="I54" s="36"/>
    </row>
    <row r="55" spans="1:9" s="37" customFormat="1" ht="15" customHeight="1">
      <c r="A55" s="53" t="s">
        <v>109</v>
      </c>
      <c r="B55" s="53" t="s">
        <v>114</v>
      </c>
      <c r="C55" s="54" t="s">
        <v>115</v>
      </c>
      <c r="D55" s="55">
        <v>6290360593722</v>
      </c>
      <c r="E55" s="53" t="s">
        <v>17</v>
      </c>
      <c r="F55" s="53" t="s">
        <v>14</v>
      </c>
      <c r="G55" s="78">
        <v>21504</v>
      </c>
      <c r="H55" s="59"/>
      <c r="I55" s="36"/>
    </row>
    <row r="56" spans="1:9" s="37" customFormat="1">
      <c r="A56" s="53" t="s">
        <v>109</v>
      </c>
      <c r="B56" s="53" t="s">
        <v>116</v>
      </c>
      <c r="C56" s="54" t="s">
        <v>117</v>
      </c>
      <c r="D56" s="55">
        <v>6291107458328</v>
      </c>
      <c r="E56" s="53" t="s">
        <v>17</v>
      </c>
      <c r="F56" s="53" t="s">
        <v>14</v>
      </c>
      <c r="G56" s="78">
        <v>19250</v>
      </c>
      <c r="H56" s="59"/>
      <c r="I56" s="36"/>
    </row>
    <row r="57" spans="1:9" s="37" customFormat="1" ht="15" customHeight="1">
      <c r="A57" s="49" t="s">
        <v>118</v>
      </c>
      <c r="B57" s="49" t="s">
        <v>119</v>
      </c>
      <c r="C57" s="50" t="s">
        <v>120</v>
      </c>
      <c r="D57" s="51">
        <v>3386460149440</v>
      </c>
      <c r="E57" s="49" t="s">
        <v>42</v>
      </c>
      <c r="F57" s="49" t="s">
        <v>14</v>
      </c>
      <c r="G57" s="79">
        <v>26784</v>
      </c>
      <c r="H57" s="59"/>
      <c r="I57" s="36" t="str">
        <f>IF(H57&gt;0,COUNTIF($H$16:H57,"&gt;0"),"")</f>
        <v/>
      </c>
    </row>
    <row r="58" spans="1:9" s="37" customFormat="1" ht="15" customHeight="1">
      <c r="A58" s="49" t="s">
        <v>118</v>
      </c>
      <c r="B58" s="49" t="s">
        <v>121</v>
      </c>
      <c r="C58" s="50" t="s">
        <v>122</v>
      </c>
      <c r="D58" s="51">
        <v>737052895956</v>
      </c>
      <c r="E58" s="49" t="s">
        <v>13</v>
      </c>
      <c r="F58" s="49" t="s">
        <v>14</v>
      </c>
      <c r="G58" s="79">
        <v>24274</v>
      </c>
      <c r="H58" s="59"/>
      <c r="I58" s="36"/>
    </row>
    <row r="59" spans="1:9" s="37" customFormat="1" ht="15" customHeight="1">
      <c r="A59" s="49" t="s">
        <v>123</v>
      </c>
      <c r="B59" s="49" t="s">
        <v>124</v>
      </c>
      <c r="C59" s="50" t="s">
        <v>125</v>
      </c>
      <c r="D59" s="51">
        <v>3614274104370</v>
      </c>
      <c r="E59" s="49" t="s">
        <v>42</v>
      </c>
      <c r="F59" s="49" t="s">
        <v>14</v>
      </c>
      <c r="G59" s="79">
        <v>77742</v>
      </c>
      <c r="H59" s="59"/>
      <c r="I59" s="36"/>
    </row>
    <row r="60" spans="1:9" s="37" customFormat="1" ht="15" customHeight="1">
      <c r="A60" s="49" t="s">
        <v>123</v>
      </c>
      <c r="B60" s="49" t="s">
        <v>126</v>
      </c>
      <c r="C60" s="50" t="s">
        <v>127</v>
      </c>
      <c r="D60" s="51">
        <v>3614273069175</v>
      </c>
      <c r="E60" s="49" t="s">
        <v>42</v>
      </c>
      <c r="F60" s="49" t="s">
        <v>14</v>
      </c>
      <c r="G60" s="79">
        <v>72982</v>
      </c>
      <c r="H60" s="59"/>
      <c r="I60" s="36"/>
    </row>
    <row r="61" spans="1:9" s="37" customFormat="1" ht="15" customHeight="1">
      <c r="A61" s="49" t="s">
        <v>128</v>
      </c>
      <c r="B61" s="49" t="s">
        <v>129</v>
      </c>
      <c r="C61" s="50" t="s">
        <v>130</v>
      </c>
      <c r="D61" s="51">
        <v>3386460101035</v>
      </c>
      <c r="E61" s="49" t="s">
        <v>13</v>
      </c>
      <c r="F61" s="49" t="s">
        <v>14</v>
      </c>
      <c r="G61" s="79">
        <v>38515</v>
      </c>
      <c r="H61" s="59"/>
      <c r="I61" s="36"/>
    </row>
    <row r="62" spans="1:9" s="60" customFormat="1" ht="21.75" customHeight="1">
      <c r="A62" s="49" t="s">
        <v>128</v>
      </c>
      <c r="B62" s="49" t="s">
        <v>131</v>
      </c>
      <c r="C62" s="50" t="s">
        <v>132</v>
      </c>
      <c r="D62" s="51">
        <v>3386460155397</v>
      </c>
      <c r="E62" s="49" t="s">
        <v>42</v>
      </c>
      <c r="F62" s="49" t="s">
        <v>14</v>
      </c>
      <c r="G62" s="79">
        <v>39640</v>
      </c>
      <c r="H62" s="59"/>
      <c r="I62" s="59"/>
    </row>
    <row r="63" spans="1:9" s="60" customFormat="1" ht="21.75" customHeight="1">
      <c r="A63" s="49" t="s">
        <v>133</v>
      </c>
      <c r="B63" s="49" t="s">
        <v>134</v>
      </c>
      <c r="C63" s="50" t="s">
        <v>135</v>
      </c>
      <c r="D63" s="51">
        <v>8011003878611</v>
      </c>
      <c r="E63" s="49" t="s">
        <v>17</v>
      </c>
      <c r="F63" s="49" t="s">
        <v>14</v>
      </c>
      <c r="G63" s="79">
        <v>38169</v>
      </c>
      <c r="H63" s="59"/>
      <c r="I63" s="59"/>
    </row>
    <row r="64" spans="1:9" s="60" customFormat="1" ht="21.75" customHeight="1">
      <c r="A64" s="49" t="s">
        <v>136</v>
      </c>
      <c r="B64" s="49" t="s">
        <v>2063</v>
      </c>
      <c r="C64" s="50" t="s">
        <v>2064</v>
      </c>
      <c r="D64" s="51">
        <v>3349668576111</v>
      </c>
      <c r="E64" s="49" t="s">
        <v>13</v>
      </c>
      <c r="F64" s="49" t="s">
        <v>14</v>
      </c>
      <c r="G64" s="79">
        <v>47795</v>
      </c>
      <c r="H64" s="59"/>
      <c r="I64" s="59" t="s">
        <v>2730</v>
      </c>
    </row>
    <row r="65" spans="1:9" s="60" customFormat="1" ht="21.75" customHeight="1">
      <c r="A65" s="49" t="s">
        <v>136</v>
      </c>
      <c r="B65" s="49" t="s">
        <v>137</v>
      </c>
      <c r="C65" s="50" t="s">
        <v>138</v>
      </c>
      <c r="D65" s="51">
        <v>3349668515660</v>
      </c>
      <c r="E65" s="49" t="s">
        <v>13</v>
      </c>
      <c r="F65" s="49" t="s">
        <v>14</v>
      </c>
      <c r="G65" s="79">
        <v>66404</v>
      </c>
      <c r="H65" s="59"/>
      <c r="I65" s="59"/>
    </row>
    <row r="66" spans="1:9" s="60" customFormat="1" ht="21.75" customHeight="1">
      <c r="A66" s="49" t="s">
        <v>136</v>
      </c>
      <c r="B66" s="49" t="s">
        <v>139</v>
      </c>
      <c r="C66" s="50" t="s">
        <v>140</v>
      </c>
      <c r="D66" s="51">
        <v>3349668661640</v>
      </c>
      <c r="E66" s="49" t="s">
        <v>13</v>
      </c>
      <c r="F66" s="49" t="s">
        <v>14</v>
      </c>
      <c r="G66" s="79">
        <v>82590</v>
      </c>
      <c r="H66" s="59"/>
      <c r="I66" s="59"/>
    </row>
    <row r="67" spans="1:9" s="60" customFormat="1" ht="15" customHeight="1">
      <c r="A67" s="49" t="s">
        <v>141</v>
      </c>
      <c r="B67" s="49" t="s">
        <v>142</v>
      </c>
      <c r="C67" s="50" t="s">
        <v>143</v>
      </c>
      <c r="D67" s="51">
        <v>3614273760164</v>
      </c>
      <c r="E67" s="49" t="s">
        <v>42</v>
      </c>
      <c r="F67" s="49" t="s">
        <v>14</v>
      </c>
      <c r="G67" s="79">
        <v>108815</v>
      </c>
      <c r="H67" s="59"/>
      <c r="I67" s="59"/>
    </row>
    <row r="68" spans="1:9" s="60" customFormat="1" ht="15" customHeight="1">
      <c r="A68" s="49" t="s">
        <v>141</v>
      </c>
      <c r="B68" s="49" t="s">
        <v>144</v>
      </c>
      <c r="C68" s="50" t="s">
        <v>145</v>
      </c>
      <c r="D68" s="51">
        <v>3614273961707</v>
      </c>
      <c r="E68" s="49" t="s">
        <v>42</v>
      </c>
      <c r="F68" s="49" t="s">
        <v>14</v>
      </c>
      <c r="G68" s="79">
        <v>119548</v>
      </c>
      <c r="H68" s="59"/>
      <c r="I68" s="59"/>
    </row>
    <row r="69" spans="1:9" s="60" customFormat="1" ht="15" customHeight="1">
      <c r="A69" s="49" t="s">
        <v>146</v>
      </c>
      <c r="B69" s="49" t="s">
        <v>147</v>
      </c>
      <c r="C69" s="50" t="s">
        <v>148</v>
      </c>
      <c r="D69" s="51">
        <v>614514464441</v>
      </c>
      <c r="E69" s="49" t="s">
        <v>13</v>
      </c>
      <c r="F69" s="49" t="s">
        <v>14</v>
      </c>
      <c r="G69" s="79">
        <v>38342</v>
      </c>
      <c r="H69" s="59"/>
      <c r="I69" s="59"/>
    </row>
    <row r="70" spans="1:9" s="60" customFormat="1" ht="15" customHeight="1">
      <c r="A70" s="49" t="s">
        <v>146</v>
      </c>
      <c r="B70" s="49" t="s">
        <v>149</v>
      </c>
      <c r="C70" s="50" t="s">
        <v>150</v>
      </c>
      <c r="D70" s="51">
        <v>614514331026</v>
      </c>
      <c r="E70" s="49" t="s">
        <v>13</v>
      </c>
      <c r="F70" s="49" t="s">
        <v>14</v>
      </c>
      <c r="G70" s="79">
        <v>20981</v>
      </c>
      <c r="H70" s="59"/>
      <c r="I70" s="59" t="s">
        <v>2730</v>
      </c>
    </row>
    <row r="71" spans="1:9" s="60" customFormat="1" ht="15" customHeight="1">
      <c r="A71" s="49" t="s">
        <v>146</v>
      </c>
      <c r="B71" s="49" t="s">
        <v>149</v>
      </c>
      <c r="C71" s="50" t="s">
        <v>150</v>
      </c>
      <c r="D71" s="51">
        <v>614514331026</v>
      </c>
      <c r="E71" s="49" t="s">
        <v>13</v>
      </c>
      <c r="F71" s="49" t="s">
        <v>14</v>
      </c>
      <c r="G71" s="79">
        <v>20981</v>
      </c>
      <c r="H71" s="59"/>
      <c r="I71" s="59"/>
    </row>
    <row r="72" spans="1:9" s="60" customFormat="1" ht="15" customHeight="1">
      <c r="A72" s="49" t="s">
        <v>151</v>
      </c>
      <c r="B72" s="49" t="s">
        <v>152</v>
      </c>
      <c r="C72" s="50" t="s">
        <v>153</v>
      </c>
      <c r="D72" s="51">
        <v>3605972455338</v>
      </c>
      <c r="E72" s="49" t="s">
        <v>13</v>
      </c>
      <c r="F72" s="49" t="s">
        <v>14</v>
      </c>
      <c r="G72" s="79"/>
      <c r="H72" s="59"/>
      <c r="I72" s="59"/>
    </row>
    <row r="73" spans="1:9" s="37" customFormat="1">
      <c r="A73" s="53" t="s">
        <v>151</v>
      </c>
      <c r="B73" s="53" t="s">
        <v>154</v>
      </c>
      <c r="C73" s="54" t="s">
        <v>155</v>
      </c>
      <c r="D73" s="55">
        <v>3605972386021</v>
      </c>
      <c r="E73" s="53" t="s">
        <v>42</v>
      </c>
      <c r="F73" s="53" t="s">
        <v>14</v>
      </c>
      <c r="G73" s="78">
        <v>23668</v>
      </c>
      <c r="H73" s="59"/>
      <c r="I73" s="36"/>
    </row>
    <row r="74" spans="1:9" s="37" customFormat="1" ht="15" customHeight="1">
      <c r="A74" s="49" t="s">
        <v>151</v>
      </c>
      <c r="B74" s="49" t="s">
        <v>156</v>
      </c>
      <c r="C74" s="50" t="s">
        <v>157</v>
      </c>
      <c r="D74" s="51">
        <v>3605973093898</v>
      </c>
      <c r="E74" s="49" t="s">
        <v>13</v>
      </c>
      <c r="F74" s="49" t="s">
        <v>69</v>
      </c>
      <c r="G74" s="79">
        <v>19336</v>
      </c>
      <c r="H74" s="59"/>
      <c r="I74" s="36"/>
    </row>
    <row r="75" spans="1:9" s="37" customFormat="1" ht="15.75" customHeight="1">
      <c r="A75" s="49" t="s">
        <v>158</v>
      </c>
      <c r="B75" s="49" t="s">
        <v>159</v>
      </c>
      <c r="C75" s="50" t="s">
        <v>160</v>
      </c>
      <c r="D75" s="51">
        <v>810023677451</v>
      </c>
      <c r="E75" s="49" t="s">
        <v>42</v>
      </c>
      <c r="F75" s="49" t="s">
        <v>14</v>
      </c>
      <c r="G75" s="79">
        <v>26092</v>
      </c>
      <c r="H75" s="59"/>
      <c r="I75" s="36"/>
    </row>
    <row r="76" spans="1:9" s="37" customFormat="1" ht="15" customHeight="1">
      <c r="A76" s="49" t="s">
        <v>158</v>
      </c>
      <c r="B76" s="49" t="s">
        <v>161</v>
      </c>
      <c r="C76" s="50" t="s">
        <v>162</v>
      </c>
      <c r="D76" s="51">
        <v>810023677345</v>
      </c>
      <c r="E76" s="49" t="s">
        <v>42</v>
      </c>
      <c r="F76" s="49" t="s">
        <v>14</v>
      </c>
      <c r="G76" s="79">
        <v>27822</v>
      </c>
      <c r="H76" s="59"/>
      <c r="I76" s="36"/>
    </row>
    <row r="77" spans="1:9" s="37" customFormat="1" ht="12.75" customHeight="1">
      <c r="A77" s="49" t="s">
        <v>158</v>
      </c>
      <c r="B77" s="49" t="s">
        <v>163</v>
      </c>
      <c r="C77" s="50" t="s">
        <v>164</v>
      </c>
      <c r="D77" s="51">
        <v>810023672913</v>
      </c>
      <c r="E77" s="49" t="s">
        <v>42</v>
      </c>
      <c r="F77" s="49" t="s">
        <v>14</v>
      </c>
      <c r="G77" s="79">
        <v>27822</v>
      </c>
      <c r="H77" s="59"/>
      <c r="I77" s="36"/>
    </row>
    <row r="78" spans="1:9" s="37" customFormat="1" ht="15" customHeight="1">
      <c r="A78" s="49" t="s">
        <v>165</v>
      </c>
      <c r="B78" s="49" t="s">
        <v>166</v>
      </c>
      <c r="C78" s="50" t="s">
        <v>167</v>
      </c>
      <c r="D78" s="51">
        <v>3439600055726</v>
      </c>
      <c r="E78" s="49" t="s">
        <v>13</v>
      </c>
      <c r="F78" s="49" t="s">
        <v>14</v>
      </c>
      <c r="G78" s="79">
        <v>45458</v>
      </c>
      <c r="H78" s="59"/>
      <c r="I78" s="36"/>
    </row>
    <row r="79" spans="1:9" s="37" customFormat="1" ht="15" customHeight="1">
      <c r="A79" s="49" t="s">
        <v>168</v>
      </c>
      <c r="B79" s="49" t="s">
        <v>169</v>
      </c>
      <c r="C79" s="50" t="s">
        <v>170</v>
      </c>
      <c r="D79" s="51">
        <v>7640496670160</v>
      </c>
      <c r="E79" s="49" t="s">
        <v>13</v>
      </c>
      <c r="F79" s="49" t="s">
        <v>14</v>
      </c>
      <c r="G79" s="79">
        <v>21591</v>
      </c>
      <c r="H79" s="59"/>
      <c r="I79" s="36"/>
    </row>
    <row r="80" spans="1:9" s="37" customFormat="1" ht="15" customHeight="1">
      <c r="A80" s="49" t="s">
        <v>168</v>
      </c>
      <c r="B80" s="49" t="s">
        <v>171</v>
      </c>
      <c r="C80" s="50" t="s">
        <v>172</v>
      </c>
      <c r="D80" s="51">
        <v>7640496670139</v>
      </c>
      <c r="E80" s="49" t="s">
        <v>42</v>
      </c>
      <c r="F80" s="49" t="s">
        <v>14</v>
      </c>
      <c r="G80" s="79">
        <v>21591</v>
      </c>
      <c r="H80" s="59"/>
      <c r="I80" s="36"/>
    </row>
    <row r="81" spans="1:9" s="37" customFormat="1" ht="15" customHeight="1">
      <c r="A81" s="49" t="s">
        <v>173</v>
      </c>
      <c r="B81" s="49" t="s">
        <v>174</v>
      </c>
      <c r="C81" s="50" t="s">
        <v>175</v>
      </c>
      <c r="D81" s="51">
        <v>5055810056919</v>
      </c>
      <c r="E81" s="49" t="s">
        <v>17</v>
      </c>
      <c r="F81" s="49" t="s">
        <v>14</v>
      </c>
      <c r="G81" s="79">
        <v>9123</v>
      </c>
      <c r="H81" s="59"/>
      <c r="I81" s="36"/>
    </row>
    <row r="82" spans="1:9" s="60" customFormat="1" ht="15" customHeight="1">
      <c r="A82" s="49" t="s">
        <v>176</v>
      </c>
      <c r="B82" s="49" t="s">
        <v>177</v>
      </c>
      <c r="C82" s="50" t="s">
        <v>178</v>
      </c>
      <c r="D82" s="51">
        <v>3614272732209</v>
      </c>
      <c r="E82" s="49" t="s">
        <v>13</v>
      </c>
      <c r="F82" s="49" t="s">
        <v>14</v>
      </c>
      <c r="G82" s="79">
        <v>85532</v>
      </c>
      <c r="H82" s="59"/>
      <c r="I82" s="59"/>
    </row>
    <row r="83" spans="1:9" s="60" customFormat="1" ht="15" customHeight="1">
      <c r="A83" s="49" t="s">
        <v>176</v>
      </c>
      <c r="B83" s="49" t="s">
        <v>179</v>
      </c>
      <c r="C83" s="50" t="s">
        <v>180</v>
      </c>
      <c r="D83" s="51">
        <v>3614272732230</v>
      </c>
      <c r="E83" s="49" t="s">
        <v>13</v>
      </c>
      <c r="F83" s="49" t="s">
        <v>14</v>
      </c>
      <c r="G83" s="79">
        <v>62941</v>
      </c>
      <c r="H83" s="59"/>
      <c r="I83" s="59"/>
    </row>
    <row r="84" spans="1:9" s="37" customFormat="1" ht="15" customHeight="1">
      <c r="A84" s="49" t="s">
        <v>181</v>
      </c>
      <c r="B84" s="49" t="s">
        <v>182</v>
      </c>
      <c r="C84" s="50" t="s">
        <v>183</v>
      </c>
      <c r="D84" s="51">
        <v>2212241600003</v>
      </c>
      <c r="E84" s="49" t="s">
        <v>17</v>
      </c>
      <c r="F84" s="49" t="s">
        <v>14</v>
      </c>
      <c r="G84" s="79">
        <v>34792</v>
      </c>
      <c r="H84" s="59"/>
      <c r="I84" s="36"/>
    </row>
    <row r="85" spans="1:9" s="39" customFormat="1" ht="15" customHeight="1">
      <c r="A85" s="62" t="s">
        <v>184</v>
      </c>
      <c r="B85" s="62" t="s">
        <v>185</v>
      </c>
      <c r="C85" s="63" t="s">
        <v>186</v>
      </c>
      <c r="D85" s="64">
        <v>8011003907052</v>
      </c>
      <c r="E85" s="62" t="s">
        <v>13</v>
      </c>
      <c r="F85" s="62" t="s">
        <v>69</v>
      </c>
      <c r="G85" s="80">
        <v>65538</v>
      </c>
      <c r="H85" s="61"/>
      <c r="I85" s="38"/>
    </row>
    <row r="86" spans="1:9" s="39" customFormat="1" ht="15" customHeight="1">
      <c r="A86" s="62" t="s">
        <v>184</v>
      </c>
      <c r="B86" s="62" t="s">
        <v>187</v>
      </c>
      <c r="C86" s="63" t="s">
        <v>188</v>
      </c>
      <c r="D86" s="64">
        <v>8011003907106</v>
      </c>
      <c r="E86" s="62" t="s">
        <v>13</v>
      </c>
      <c r="F86" s="62" t="s">
        <v>69</v>
      </c>
      <c r="G86" s="80">
        <v>72982</v>
      </c>
      <c r="H86" s="61"/>
      <c r="I86" s="38"/>
    </row>
    <row r="87" spans="1:9" s="39" customFormat="1" ht="15" customHeight="1">
      <c r="A87" s="62" t="s">
        <v>189</v>
      </c>
      <c r="B87" s="62" t="s">
        <v>190</v>
      </c>
      <c r="C87" s="63" t="s">
        <v>191</v>
      </c>
      <c r="D87" s="64">
        <v>8054320902584</v>
      </c>
      <c r="E87" s="62" t="s">
        <v>17</v>
      </c>
      <c r="F87" s="62" t="s">
        <v>14</v>
      </c>
      <c r="G87" s="80">
        <v>147611</v>
      </c>
      <c r="H87" s="61"/>
      <c r="I87" s="38" t="str">
        <f>IF(H87&gt;0,COUNTIF($H$16:H87,"&gt;0"),"")</f>
        <v/>
      </c>
    </row>
    <row r="88" spans="1:9" s="39" customFormat="1" ht="15" customHeight="1">
      <c r="A88" s="62" t="s">
        <v>189</v>
      </c>
      <c r="B88" s="62" t="s">
        <v>192</v>
      </c>
      <c r="C88" s="63" t="s">
        <v>193</v>
      </c>
      <c r="D88" s="64">
        <v>8033488155070</v>
      </c>
      <c r="E88" s="62" t="s">
        <v>17</v>
      </c>
      <c r="F88" s="62" t="s">
        <v>14</v>
      </c>
      <c r="G88" s="80">
        <v>147611</v>
      </c>
      <c r="H88" s="61"/>
      <c r="I88" s="38" t="str">
        <f>IF(H88&gt;0,COUNTIF($H$16:H88,"&gt;0"),"")</f>
        <v/>
      </c>
    </row>
    <row r="89" spans="1:9" s="39" customFormat="1" ht="15" customHeight="1">
      <c r="A89" s="62" t="s">
        <v>194</v>
      </c>
      <c r="B89" s="62" t="s">
        <v>195</v>
      </c>
      <c r="C89" s="63" t="s">
        <v>196</v>
      </c>
      <c r="D89" s="64">
        <v>3365440328624</v>
      </c>
      <c r="E89" s="62" t="s">
        <v>13</v>
      </c>
      <c r="F89" s="62" t="s">
        <v>14</v>
      </c>
      <c r="G89" s="80">
        <v>92460</v>
      </c>
      <c r="H89" s="61"/>
      <c r="I89" s="38" t="str">
        <f>IF(H89&gt;0,COUNTIF($H$16:H89,"&gt;0"),"")</f>
        <v/>
      </c>
    </row>
    <row r="90" spans="1:9" s="65" customFormat="1" ht="15" customHeight="1">
      <c r="A90" s="62" t="s">
        <v>194</v>
      </c>
      <c r="B90" s="62" t="s">
        <v>197</v>
      </c>
      <c r="C90" s="63">
        <v>3614272050358</v>
      </c>
      <c r="D90" s="64">
        <v>3614272050358</v>
      </c>
      <c r="E90" s="62" t="s">
        <v>13</v>
      </c>
      <c r="F90" s="62" t="s">
        <v>14</v>
      </c>
      <c r="G90" s="80">
        <v>89168</v>
      </c>
      <c r="H90" s="61"/>
      <c r="I90" s="61"/>
    </row>
    <row r="91" spans="1:9" s="56" customFormat="1" ht="15" customHeight="1">
      <c r="A91" s="72"/>
      <c r="B91" s="72"/>
      <c r="C91" s="73"/>
      <c r="D91" s="74"/>
      <c r="E91" s="72"/>
      <c r="F91" s="72"/>
      <c r="G91" s="81"/>
      <c r="H91" s="43"/>
      <c r="I91" s="35" t="str">
        <f>IF(H91&gt;0,COUNTIF($H$16:H91,"&gt;0"),"")</f>
        <v/>
      </c>
    </row>
    <row r="92" spans="1:9" ht="15.75" customHeight="1">
      <c r="A92" s="5" t="s">
        <v>2</v>
      </c>
      <c r="B92" s="5" t="s">
        <v>3</v>
      </c>
      <c r="C92" s="5" t="s">
        <v>4</v>
      </c>
      <c r="D92" s="6" t="s">
        <v>5</v>
      </c>
      <c r="E92" s="5" t="s">
        <v>6</v>
      </c>
      <c r="F92" s="5" t="s">
        <v>7</v>
      </c>
      <c r="G92" s="82" t="s">
        <v>8</v>
      </c>
      <c r="H92" s="29"/>
      <c r="I92" s="38" t="str">
        <f>IF(H92&gt;0,COUNTIF($H$16:H92,"&gt;0"),"")</f>
        <v/>
      </c>
    </row>
    <row r="93" spans="1:9" s="56" customFormat="1" ht="15" customHeight="1">
      <c r="A93" s="69" t="s">
        <v>198</v>
      </c>
      <c r="B93" s="69" t="s">
        <v>199</v>
      </c>
      <c r="C93" s="69" t="s">
        <v>200</v>
      </c>
      <c r="D93" s="69">
        <v>8410190631168</v>
      </c>
      <c r="E93" s="69" t="s">
        <v>13</v>
      </c>
      <c r="F93" s="69" t="s">
        <v>14</v>
      </c>
      <c r="G93" s="83">
        <v>22456</v>
      </c>
      <c r="I93" s="38" t="str">
        <f>IF(H93&gt;0,COUNTIF($H$16:H93,"&gt;0"),"")</f>
        <v/>
      </c>
    </row>
    <row r="94" spans="1:9" s="56" customFormat="1" ht="15" customHeight="1">
      <c r="A94" s="69" t="s">
        <v>198</v>
      </c>
      <c r="B94" s="69" t="s">
        <v>201</v>
      </c>
      <c r="C94" s="69" t="s">
        <v>202</v>
      </c>
      <c r="D94" s="69">
        <v>8410190635388</v>
      </c>
      <c r="E94" s="69" t="s">
        <v>13</v>
      </c>
      <c r="F94" s="69" t="s">
        <v>69</v>
      </c>
      <c r="G94" s="83">
        <v>23148</v>
      </c>
      <c r="I94" s="38" t="str">
        <f>IF(H94&gt;0,COUNTIF($H$16:H94,"&gt;0"),"")</f>
        <v/>
      </c>
    </row>
    <row r="95" spans="1:9" s="56" customFormat="1" ht="15" customHeight="1">
      <c r="A95" s="69" t="s">
        <v>198</v>
      </c>
      <c r="B95" s="69" t="s">
        <v>203</v>
      </c>
      <c r="C95" s="69" t="s">
        <v>204</v>
      </c>
      <c r="D95" s="69">
        <v>8410190634176</v>
      </c>
      <c r="E95" s="69" t="s">
        <v>13</v>
      </c>
      <c r="F95" s="69" t="s">
        <v>14</v>
      </c>
      <c r="G95" s="83">
        <v>20981</v>
      </c>
      <c r="I95" s="38" t="str">
        <f>IF(H95&gt;0,COUNTIF($H$16:H95,"&gt;0"),"")</f>
        <v/>
      </c>
    </row>
    <row r="96" spans="1:9" s="56" customFormat="1" ht="15" customHeight="1">
      <c r="A96" s="69" t="s">
        <v>198</v>
      </c>
      <c r="B96" s="69" t="s">
        <v>205</v>
      </c>
      <c r="C96" s="69" t="s">
        <v>206</v>
      </c>
      <c r="D96" s="69">
        <v>8410190631793</v>
      </c>
      <c r="E96" s="69" t="s">
        <v>17</v>
      </c>
      <c r="F96" s="69" t="s">
        <v>14</v>
      </c>
      <c r="G96" s="83">
        <v>18904</v>
      </c>
      <c r="I96" s="38" t="str">
        <f>IF(H96&gt;0,COUNTIF($H$16:H96,"&gt;0"),"")</f>
        <v/>
      </c>
    </row>
    <row r="97" spans="1:9" s="56" customFormat="1" ht="15" customHeight="1">
      <c r="A97" s="69" t="s">
        <v>198</v>
      </c>
      <c r="B97" s="69" t="s">
        <v>207</v>
      </c>
      <c r="C97" s="69" t="s">
        <v>208</v>
      </c>
      <c r="D97" s="69">
        <v>8410190622104</v>
      </c>
      <c r="E97" s="69" t="s">
        <v>42</v>
      </c>
      <c r="F97" s="69" t="s">
        <v>14</v>
      </c>
      <c r="G97" s="83">
        <v>22456</v>
      </c>
      <c r="I97" s="38" t="str">
        <f>IF(H97&gt;0,COUNTIF($H$16:H97,"&gt;0"),"")</f>
        <v/>
      </c>
    </row>
    <row r="98" spans="1:9" s="56" customFormat="1" ht="15" customHeight="1">
      <c r="A98" s="69" t="s">
        <v>198</v>
      </c>
      <c r="B98" s="69" t="s">
        <v>209</v>
      </c>
      <c r="C98" s="69" t="s">
        <v>210</v>
      </c>
      <c r="D98" s="69">
        <v>8410190623934</v>
      </c>
      <c r="E98" s="69" t="s">
        <v>42</v>
      </c>
      <c r="F98" s="69" t="s">
        <v>14</v>
      </c>
      <c r="G98" s="83">
        <v>22456</v>
      </c>
      <c r="I98" s="38" t="str">
        <f>IF(H98&gt;0,COUNTIF($H$16:H98,"&gt;0"),"")</f>
        <v/>
      </c>
    </row>
    <row r="99" spans="1:9" s="56" customFormat="1" ht="15" customHeight="1">
      <c r="A99" s="69" t="s">
        <v>198</v>
      </c>
      <c r="B99" s="69" t="s">
        <v>211</v>
      </c>
      <c r="C99" s="69" t="s">
        <v>212</v>
      </c>
      <c r="D99" s="69">
        <v>8410190627871</v>
      </c>
      <c r="E99" s="69" t="s">
        <v>42</v>
      </c>
      <c r="F99" s="69" t="s">
        <v>14</v>
      </c>
      <c r="G99" s="83">
        <v>24187</v>
      </c>
      <c r="I99" s="38" t="str">
        <f>IF(H99&gt;0,COUNTIF($H$16:H99,"&gt;0"),"")</f>
        <v/>
      </c>
    </row>
    <row r="100" spans="1:9" s="56" customFormat="1" ht="15" customHeight="1">
      <c r="A100" s="69" t="s">
        <v>198</v>
      </c>
      <c r="B100" s="69" t="s">
        <v>213</v>
      </c>
      <c r="C100" s="69" t="s">
        <v>214</v>
      </c>
      <c r="D100" s="69">
        <v>8410190627888</v>
      </c>
      <c r="E100" s="69" t="s">
        <v>42</v>
      </c>
      <c r="F100" s="69" t="s">
        <v>14</v>
      </c>
      <c r="G100" s="83">
        <v>24187</v>
      </c>
      <c r="I100" s="38" t="str">
        <f>IF(H100&gt;0,COUNTIF($H$16:H100,"&gt;0"),"")</f>
        <v/>
      </c>
    </row>
    <row r="101" spans="1:9" s="56" customFormat="1" ht="15" customHeight="1">
      <c r="A101" s="69" t="s">
        <v>198</v>
      </c>
      <c r="B101" s="69" t="s">
        <v>215</v>
      </c>
      <c r="C101" s="69" t="s">
        <v>216</v>
      </c>
      <c r="D101" s="69">
        <v>8410190634107</v>
      </c>
      <c r="E101" s="69" t="s">
        <v>13</v>
      </c>
      <c r="F101" s="69" t="s">
        <v>14</v>
      </c>
      <c r="G101" s="83">
        <v>13970</v>
      </c>
      <c r="I101" s="38" t="str">
        <f>IF(H101&gt;0,COUNTIF($H$16:H101,"&gt;0"),"")</f>
        <v/>
      </c>
    </row>
    <row r="102" spans="1:9" s="56" customFormat="1" ht="15" customHeight="1">
      <c r="A102" s="69" t="s">
        <v>198</v>
      </c>
      <c r="B102" s="69" t="s">
        <v>217</v>
      </c>
      <c r="C102" s="69" t="s">
        <v>218</v>
      </c>
      <c r="D102" s="69">
        <v>8410190631106</v>
      </c>
      <c r="E102" s="69" t="s">
        <v>42</v>
      </c>
      <c r="F102" s="69" t="s">
        <v>14</v>
      </c>
      <c r="G102" s="83">
        <v>11460</v>
      </c>
      <c r="I102" s="38" t="str">
        <f>IF(H102&gt;0,COUNTIF($H$16:H102,"&gt;0"),"")</f>
        <v/>
      </c>
    </row>
    <row r="103" spans="1:9" s="56" customFormat="1" ht="15" customHeight="1">
      <c r="A103" s="69" t="s">
        <v>198</v>
      </c>
      <c r="B103" s="69" t="s">
        <v>219</v>
      </c>
      <c r="C103" s="69" t="s">
        <v>220</v>
      </c>
      <c r="D103" s="69">
        <v>8410190634145</v>
      </c>
      <c r="E103" s="69" t="s">
        <v>13</v>
      </c>
      <c r="F103" s="69" t="s">
        <v>14</v>
      </c>
      <c r="G103" s="83">
        <v>11460</v>
      </c>
      <c r="I103" s="38" t="str">
        <f>IF(H103&gt;0,COUNTIF($H$16:H103,"&gt;0"),"")</f>
        <v/>
      </c>
    </row>
    <row r="104" spans="1:9" s="56" customFormat="1" ht="15" customHeight="1">
      <c r="A104" s="69" t="s">
        <v>10</v>
      </c>
      <c r="B104" s="69" t="s">
        <v>221</v>
      </c>
      <c r="C104" s="69" t="s">
        <v>222</v>
      </c>
      <c r="D104" s="69">
        <v>6290171071020</v>
      </c>
      <c r="E104" s="69" t="s">
        <v>17</v>
      </c>
      <c r="F104" s="69" t="s">
        <v>14</v>
      </c>
      <c r="G104" s="83">
        <v>15269</v>
      </c>
      <c r="I104" s="38" t="str">
        <f>IF(H104&gt;0,COUNTIF($H$16:H104,"&gt;0"),"")</f>
        <v/>
      </c>
    </row>
    <row r="105" spans="1:9" s="56" customFormat="1" ht="15" customHeight="1">
      <c r="A105" s="69" t="s">
        <v>10</v>
      </c>
      <c r="B105" s="69" t="s">
        <v>15</v>
      </c>
      <c r="C105" s="69" t="s">
        <v>16</v>
      </c>
      <c r="D105" s="69">
        <v>6290171072256</v>
      </c>
      <c r="E105" s="69" t="s">
        <v>17</v>
      </c>
      <c r="F105" s="69" t="s">
        <v>14</v>
      </c>
      <c r="G105" s="83">
        <v>14316</v>
      </c>
      <c r="I105" s="38" t="str">
        <f>IF(H105&gt;0,COUNTIF($H$16:H105,"&gt;0"),"")</f>
        <v/>
      </c>
    </row>
    <row r="106" spans="1:9" s="56" customFormat="1" ht="15" customHeight="1">
      <c r="A106" s="69" t="s">
        <v>10</v>
      </c>
      <c r="B106" s="69" t="s">
        <v>223</v>
      </c>
      <c r="C106" s="69" t="s">
        <v>224</v>
      </c>
      <c r="D106" s="69">
        <v>6290171075738</v>
      </c>
      <c r="E106" s="69" t="s">
        <v>17</v>
      </c>
      <c r="F106" s="69" t="s">
        <v>14</v>
      </c>
      <c r="G106" s="83">
        <v>35225</v>
      </c>
      <c r="I106" s="38" t="str">
        <f>IF(H106&gt;0,COUNTIF($H$16:H106,"&gt;0"),"")</f>
        <v/>
      </c>
    </row>
    <row r="107" spans="1:9" s="56" customFormat="1">
      <c r="A107" s="69" t="s">
        <v>10</v>
      </c>
      <c r="B107" s="69" t="s">
        <v>225</v>
      </c>
      <c r="C107" s="69" t="s">
        <v>226</v>
      </c>
      <c r="D107" s="69">
        <v>6290171075905</v>
      </c>
      <c r="E107" s="69" t="s">
        <v>17</v>
      </c>
      <c r="F107" s="69" t="s">
        <v>14</v>
      </c>
      <c r="G107" s="83">
        <v>33322</v>
      </c>
      <c r="I107" s="38" t="str">
        <f>IF(H107&gt;0,COUNTIF($H$16:H107,"&gt;0"),"")</f>
        <v/>
      </c>
    </row>
    <row r="108" spans="1:9" s="56" customFormat="1" ht="15" customHeight="1">
      <c r="A108" s="69" t="s">
        <v>10</v>
      </c>
      <c r="B108" s="69" t="s">
        <v>11</v>
      </c>
      <c r="C108" s="69" t="s">
        <v>12</v>
      </c>
      <c r="D108" s="69">
        <v>6290171002338</v>
      </c>
      <c r="E108" s="69" t="s">
        <v>13</v>
      </c>
      <c r="F108" s="69" t="s">
        <v>14</v>
      </c>
      <c r="G108" s="83">
        <v>26351</v>
      </c>
      <c r="I108" s="38" t="str">
        <f>IF(H108&gt;0,COUNTIF($H$16:H108,"&gt;0"),"")</f>
        <v/>
      </c>
    </row>
    <row r="109" spans="1:9" s="56" customFormat="1" ht="15" customHeight="1">
      <c r="A109" s="69" t="s">
        <v>10</v>
      </c>
      <c r="B109" s="69" t="s">
        <v>227</v>
      </c>
      <c r="C109" s="69" t="s">
        <v>228</v>
      </c>
      <c r="D109" s="69">
        <v>6290171076001</v>
      </c>
      <c r="E109" s="69" t="s">
        <v>17</v>
      </c>
      <c r="F109" s="69" t="s">
        <v>14</v>
      </c>
      <c r="G109" s="83">
        <v>28168</v>
      </c>
      <c r="I109" s="38" t="str">
        <f>IF(H109&gt;0,COUNTIF($H$16:H109,"&gt;0"),"")</f>
        <v/>
      </c>
    </row>
    <row r="110" spans="1:9" s="56" customFormat="1" ht="15" customHeight="1">
      <c r="A110" s="69" t="s">
        <v>229</v>
      </c>
      <c r="B110" s="69" t="s">
        <v>230</v>
      </c>
      <c r="C110" s="69" t="s">
        <v>231</v>
      </c>
      <c r="D110" s="69">
        <v>8410225546801</v>
      </c>
      <c r="E110" s="69" t="s">
        <v>42</v>
      </c>
      <c r="F110" s="69" t="s">
        <v>14</v>
      </c>
      <c r="G110" s="83">
        <v>13797</v>
      </c>
      <c r="I110" s="38" t="str">
        <f>IF(H110&gt;0,COUNTIF($H$16:H110,"&gt;0"),"")</f>
        <v/>
      </c>
    </row>
    <row r="111" spans="1:9" s="56" customFormat="1" ht="15" customHeight="1">
      <c r="A111" s="69" t="s">
        <v>229</v>
      </c>
      <c r="B111" s="69" t="s">
        <v>232</v>
      </c>
      <c r="C111" s="69" t="s">
        <v>233</v>
      </c>
      <c r="D111" s="69">
        <v>8410225524588</v>
      </c>
      <c r="E111" s="69" t="s">
        <v>42</v>
      </c>
      <c r="F111" s="69" t="s">
        <v>14</v>
      </c>
      <c r="G111" s="83">
        <v>14489</v>
      </c>
      <c r="I111" s="38" t="str">
        <f>IF(H111&gt;0,COUNTIF($H$16:H111,"&gt;0"),"")</f>
        <v/>
      </c>
    </row>
    <row r="112" spans="1:9" s="56" customFormat="1" ht="15" customHeight="1">
      <c r="A112" s="69" t="s">
        <v>229</v>
      </c>
      <c r="B112" s="69" t="s">
        <v>234</v>
      </c>
      <c r="C112" s="69" t="s">
        <v>235</v>
      </c>
      <c r="D112" s="69">
        <v>8410225513667</v>
      </c>
      <c r="E112" s="69" t="s">
        <v>42</v>
      </c>
      <c r="F112" s="69" t="s">
        <v>14</v>
      </c>
      <c r="G112" s="83">
        <v>15528</v>
      </c>
      <c r="I112" s="38" t="str">
        <f>IF(H112&gt;0,COUNTIF($H$16:H112,"&gt;0"),"")</f>
        <v/>
      </c>
    </row>
    <row r="113" spans="1:9" s="56" customFormat="1" ht="15" customHeight="1">
      <c r="A113" s="69" t="s">
        <v>229</v>
      </c>
      <c r="B113" s="69" t="s">
        <v>236</v>
      </c>
      <c r="C113" s="69" t="s">
        <v>237</v>
      </c>
      <c r="D113" s="69">
        <v>8410225543794</v>
      </c>
      <c r="E113" s="69" t="s">
        <v>42</v>
      </c>
      <c r="F113" s="69" t="s">
        <v>14</v>
      </c>
      <c r="G113" s="83">
        <v>15528</v>
      </c>
      <c r="I113" s="38" t="str">
        <f>IF(H113&gt;0,COUNTIF($H$16:H113,"&gt;0"),"")</f>
        <v/>
      </c>
    </row>
    <row r="114" spans="1:9" s="56" customFormat="1" ht="15" customHeight="1">
      <c r="A114" s="69" t="s">
        <v>229</v>
      </c>
      <c r="B114" s="69" t="s">
        <v>238</v>
      </c>
      <c r="C114" s="69" t="s">
        <v>239</v>
      </c>
      <c r="D114" s="69">
        <v>8410225543770</v>
      </c>
      <c r="E114" s="69" t="s">
        <v>42</v>
      </c>
      <c r="F114" s="69" t="s">
        <v>14</v>
      </c>
      <c r="G114" s="83">
        <v>15528</v>
      </c>
      <c r="I114" s="38" t="str">
        <f>IF(H114&gt;0,COUNTIF($H$16:H114,"&gt;0"),"")</f>
        <v/>
      </c>
    </row>
    <row r="115" spans="1:9" s="56" customFormat="1" ht="15" customHeight="1">
      <c r="A115" s="69" t="s">
        <v>229</v>
      </c>
      <c r="B115" s="69" t="s">
        <v>240</v>
      </c>
      <c r="C115" s="69" t="s">
        <v>241</v>
      </c>
      <c r="D115" s="69">
        <v>8410225554950</v>
      </c>
      <c r="E115" s="69" t="s">
        <v>42</v>
      </c>
      <c r="F115" s="69" t="s">
        <v>69</v>
      </c>
      <c r="G115" s="83">
        <v>13537</v>
      </c>
      <c r="I115" s="38" t="str">
        <f>IF(H115&gt;0,COUNTIF($H$16:H115,"&gt;0"),"")</f>
        <v/>
      </c>
    </row>
    <row r="116" spans="1:9" s="56" customFormat="1" ht="15" customHeight="1">
      <c r="A116" s="69" t="s">
        <v>229</v>
      </c>
      <c r="B116" s="69" t="s">
        <v>242</v>
      </c>
      <c r="C116" s="69" t="s">
        <v>243</v>
      </c>
      <c r="D116" s="69">
        <v>8410225558897</v>
      </c>
      <c r="E116" s="69" t="s">
        <v>42</v>
      </c>
      <c r="F116" s="69" t="s">
        <v>69</v>
      </c>
      <c r="G116" s="83">
        <v>13797</v>
      </c>
      <c r="I116" s="38" t="str">
        <f>IF(H116&gt;0,COUNTIF($H$16:H116,"&gt;0"),"")</f>
        <v/>
      </c>
    </row>
    <row r="117" spans="1:9" s="56" customFormat="1" ht="15" customHeight="1">
      <c r="A117" s="69" t="s">
        <v>229</v>
      </c>
      <c r="B117" s="69" t="s">
        <v>244</v>
      </c>
      <c r="C117" s="69" t="s">
        <v>245</v>
      </c>
      <c r="D117" s="69">
        <v>8410225557074</v>
      </c>
      <c r="E117" s="69" t="s">
        <v>42</v>
      </c>
      <c r="F117" s="69" t="s">
        <v>69</v>
      </c>
      <c r="G117" s="83">
        <v>13537</v>
      </c>
      <c r="I117" s="38" t="str">
        <f>IF(H117&gt;0,COUNTIF($H$16:H117,"&gt;0"),"")</f>
        <v/>
      </c>
    </row>
    <row r="118" spans="1:9" s="56" customFormat="1" ht="15" customHeight="1">
      <c r="A118" s="69" t="s">
        <v>246</v>
      </c>
      <c r="B118" s="69" t="s">
        <v>247</v>
      </c>
      <c r="C118" s="69" t="s">
        <v>248</v>
      </c>
      <c r="D118" s="69">
        <v>6293708017218</v>
      </c>
      <c r="E118" s="69" t="s">
        <v>42</v>
      </c>
      <c r="F118" s="69" t="s">
        <v>14</v>
      </c>
      <c r="G118" s="83">
        <v>23841</v>
      </c>
      <c r="I118" s="38" t="str">
        <f>IF(H118&gt;0,COUNTIF($H$16:H118,"&gt;0"),"")</f>
        <v/>
      </c>
    </row>
    <row r="119" spans="1:9" s="56" customFormat="1" ht="15" customHeight="1">
      <c r="A119" s="69" t="s">
        <v>246</v>
      </c>
      <c r="B119" s="69" t="s">
        <v>249</v>
      </c>
      <c r="C119" s="69" t="s">
        <v>250</v>
      </c>
      <c r="D119" s="69">
        <v>6293708002092</v>
      </c>
      <c r="E119" s="69" t="s">
        <v>42</v>
      </c>
      <c r="F119" s="69" t="s">
        <v>14</v>
      </c>
      <c r="G119" s="83">
        <v>17865</v>
      </c>
      <c r="I119" s="38" t="str">
        <f>IF(H119&gt;0,COUNTIF($H$16:H119,"&gt;0"),"")</f>
        <v/>
      </c>
    </row>
    <row r="120" spans="1:9" s="56" customFormat="1" ht="15" customHeight="1">
      <c r="A120" s="69" t="s">
        <v>18</v>
      </c>
      <c r="B120" s="69" t="s">
        <v>19</v>
      </c>
      <c r="C120" s="69" t="s">
        <v>20</v>
      </c>
      <c r="D120" s="69">
        <v>6291106814873</v>
      </c>
      <c r="E120" s="69" t="s">
        <v>17</v>
      </c>
      <c r="F120" s="69" t="s">
        <v>14</v>
      </c>
      <c r="G120" s="83">
        <v>36178</v>
      </c>
      <c r="I120" s="38" t="str">
        <f>IF(H120&gt;0,COUNTIF($H$16:H120,"&gt;0"),"")</f>
        <v/>
      </c>
    </row>
    <row r="121" spans="1:9" s="56" customFormat="1" ht="15" customHeight="1">
      <c r="A121" s="69" t="s">
        <v>18</v>
      </c>
      <c r="B121" s="69" t="s">
        <v>21</v>
      </c>
      <c r="C121" s="69" t="s">
        <v>22</v>
      </c>
      <c r="D121" s="69">
        <v>6291106814859</v>
      </c>
      <c r="E121" s="69" t="s">
        <v>17</v>
      </c>
      <c r="F121" s="69" t="s">
        <v>14</v>
      </c>
      <c r="G121" s="83">
        <v>33408</v>
      </c>
      <c r="I121" s="38" t="str">
        <f>IF(H121&gt;0,COUNTIF($H$16:H121,"&gt;0"),"")</f>
        <v/>
      </c>
    </row>
    <row r="122" spans="1:9" s="56" customFormat="1" ht="15" customHeight="1">
      <c r="A122" s="69" t="s">
        <v>18</v>
      </c>
      <c r="B122" s="69" t="s">
        <v>251</v>
      </c>
      <c r="C122" s="69" t="s">
        <v>252</v>
      </c>
      <c r="D122" s="69">
        <v>6291106816679</v>
      </c>
      <c r="E122" s="69" t="s">
        <v>17</v>
      </c>
      <c r="F122" s="69" t="s">
        <v>14</v>
      </c>
      <c r="G122" s="83">
        <v>47188</v>
      </c>
      <c r="I122" s="38" t="str">
        <f>IF(H122&gt;0,COUNTIF($H$16:H122,"&gt;0"),"")</f>
        <v/>
      </c>
    </row>
    <row r="123" spans="1:9" s="56" customFormat="1" ht="15" customHeight="1">
      <c r="A123" s="69" t="s">
        <v>18</v>
      </c>
      <c r="B123" s="69" t="s">
        <v>253</v>
      </c>
      <c r="C123" s="69" t="s">
        <v>254</v>
      </c>
      <c r="D123" s="69">
        <v>6291106817058</v>
      </c>
      <c r="E123" s="69" t="s">
        <v>17</v>
      </c>
      <c r="F123" s="69" t="s">
        <v>14</v>
      </c>
      <c r="G123" s="83">
        <v>47188</v>
      </c>
      <c r="I123" s="38" t="str">
        <f>IF(H123&gt;0,COUNTIF($H$16:H123,"&gt;0"),"")</f>
        <v/>
      </c>
    </row>
    <row r="124" spans="1:9" s="56" customFormat="1" ht="15" customHeight="1">
      <c r="A124" s="69" t="s">
        <v>18</v>
      </c>
      <c r="B124" s="69" t="s">
        <v>255</v>
      </c>
      <c r="C124" s="69" t="s">
        <v>256</v>
      </c>
      <c r="D124" s="69">
        <v>6291106817027</v>
      </c>
      <c r="E124" s="69" t="s">
        <v>13</v>
      </c>
      <c r="F124" s="69" t="s">
        <v>14</v>
      </c>
      <c r="G124" s="83">
        <v>56191</v>
      </c>
      <c r="I124" s="38" t="str">
        <f>IF(H124&gt;0,COUNTIF($H$16:H124,"&gt;0"),"")</f>
        <v/>
      </c>
    </row>
    <row r="125" spans="1:9" s="56" customFormat="1">
      <c r="A125" s="69" t="s">
        <v>18</v>
      </c>
      <c r="B125" s="69" t="s">
        <v>257</v>
      </c>
      <c r="C125" s="69" t="s">
        <v>258</v>
      </c>
      <c r="D125" s="69">
        <v>6291106817072</v>
      </c>
      <c r="E125" s="69" t="s">
        <v>17</v>
      </c>
      <c r="F125" s="69" t="s">
        <v>14</v>
      </c>
      <c r="G125" s="83">
        <v>47188</v>
      </c>
      <c r="I125" s="38" t="str">
        <f>IF(H125&gt;0,COUNTIF($H$16:H125,"&gt;0"),"")</f>
        <v/>
      </c>
    </row>
    <row r="126" spans="1:9" s="56" customFormat="1">
      <c r="A126" s="69" t="s">
        <v>259</v>
      </c>
      <c r="B126" s="69" t="s">
        <v>260</v>
      </c>
      <c r="C126" s="69" t="s">
        <v>261</v>
      </c>
      <c r="D126" s="69">
        <v>6294022301106</v>
      </c>
      <c r="E126" s="69" t="s">
        <v>17</v>
      </c>
      <c r="F126" s="69" t="s">
        <v>14</v>
      </c>
      <c r="G126" s="83">
        <v>15528</v>
      </c>
      <c r="I126" s="38" t="str">
        <f>IF(H126&gt;0,COUNTIF($H$16:H126,"&gt;0"),"")</f>
        <v/>
      </c>
    </row>
    <row r="127" spans="1:9" s="56" customFormat="1">
      <c r="A127" s="69" t="s">
        <v>262</v>
      </c>
      <c r="B127" s="69" t="s">
        <v>263</v>
      </c>
      <c r="C127" s="69" t="s">
        <v>264</v>
      </c>
      <c r="D127" s="69">
        <v>8411061088593</v>
      </c>
      <c r="E127" s="69" t="s">
        <v>42</v>
      </c>
      <c r="F127" s="69" t="s">
        <v>14</v>
      </c>
      <c r="G127" s="83">
        <v>16826</v>
      </c>
      <c r="I127" s="38" t="str">
        <f>IF(H127&gt;0,COUNTIF($H$16:H127,"&gt;0"),"")</f>
        <v/>
      </c>
    </row>
    <row r="128" spans="1:9" s="56" customFormat="1">
      <c r="A128" s="69" t="s">
        <v>262</v>
      </c>
      <c r="B128" s="69" t="s">
        <v>265</v>
      </c>
      <c r="C128" s="69" t="s">
        <v>266</v>
      </c>
      <c r="D128" s="69">
        <v>8411061081341</v>
      </c>
      <c r="E128" s="69" t="s">
        <v>13</v>
      </c>
      <c r="F128" s="69" t="s">
        <v>14</v>
      </c>
      <c r="G128" s="83">
        <v>15355</v>
      </c>
      <c r="I128" s="38" t="str">
        <f>IF(H128&gt;0,COUNTIF($H$16:H128,"&gt;0"),"")</f>
        <v/>
      </c>
    </row>
    <row r="129" spans="1:9" s="56" customFormat="1">
      <c r="A129" s="69" t="s">
        <v>262</v>
      </c>
      <c r="B129" s="69" t="s">
        <v>267</v>
      </c>
      <c r="C129" s="69" t="s">
        <v>268</v>
      </c>
      <c r="D129" s="69">
        <v>8411061085295</v>
      </c>
      <c r="E129" s="69" t="s">
        <v>13</v>
      </c>
      <c r="F129" s="69" t="s">
        <v>14</v>
      </c>
      <c r="G129" s="83">
        <v>18384</v>
      </c>
      <c r="I129" s="38" t="str">
        <f>IF(H129&gt;0,COUNTIF($H$16:H129,"&gt;0"),"")</f>
        <v/>
      </c>
    </row>
    <row r="130" spans="1:9" s="56" customFormat="1">
      <c r="A130" s="69" t="s">
        <v>262</v>
      </c>
      <c r="B130" s="69" t="s">
        <v>269</v>
      </c>
      <c r="C130" s="69" t="s">
        <v>270</v>
      </c>
      <c r="D130" s="69">
        <v>8411061079997</v>
      </c>
      <c r="E130" s="69" t="s">
        <v>13</v>
      </c>
      <c r="F130" s="69" t="s">
        <v>14</v>
      </c>
      <c r="G130" s="83">
        <v>18644</v>
      </c>
      <c r="I130" s="38" t="str">
        <f>IF(H130&gt;0,COUNTIF($H$16:H130,"&gt;0"),"")</f>
        <v/>
      </c>
    </row>
    <row r="131" spans="1:9" s="56" customFormat="1">
      <c r="A131" s="69" t="s">
        <v>262</v>
      </c>
      <c r="B131" s="69" t="s">
        <v>271</v>
      </c>
      <c r="C131" s="69" t="s">
        <v>272</v>
      </c>
      <c r="D131" s="69">
        <v>8411061849361</v>
      </c>
      <c r="E131" s="69" t="s">
        <v>13</v>
      </c>
      <c r="F131" s="69" t="s">
        <v>14</v>
      </c>
      <c r="G131" s="83">
        <v>13797</v>
      </c>
      <c r="I131" s="38" t="str">
        <f>IF(H131&gt;0,COUNTIF($H$16:H131,"&gt;0"),"")</f>
        <v/>
      </c>
    </row>
    <row r="132" spans="1:9" s="56" customFormat="1">
      <c r="A132" s="69" t="s">
        <v>262</v>
      </c>
      <c r="B132" s="69" t="s">
        <v>273</v>
      </c>
      <c r="C132" s="69" t="s">
        <v>274</v>
      </c>
      <c r="D132" s="69">
        <v>8411061080771</v>
      </c>
      <c r="E132" s="69" t="s">
        <v>42</v>
      </c>
      <c r="F132" s="69" t="s">
        <v>14</v>
      </c>
      <c r="G132" s="83">
        <v>16047</v>
      </c>
      <c r="I132" s="38" t="str">
        <f>IF(H132&gt;0,COUNTIF($H$16:H132,"&gt;0"),"")</f>
        <v/>
      </c>
    </row>
    <row r="133" spans="1:9" s="56" customFormat="1">
      <c r="A133" s="69" t="s">
        <v>262</v>
      </c>
      <c r="B133" s="69" t="s">
        <v>275</v>
      </c>
      <c r="C133" s="69" t="s">
        <v>276</v>
      </c>
      <c r="D133" s="69">
        <v>8411061081372</v>
      </c>
      <c r="E133" s="69" t="s">
        <v>13</v>
      </c>
      <c r="F133" s="69" t="s">
        <v>14</v>
      </c>
      <c r="G133" s="83">
        <v>19077</v>
      </c>
      <c r="I133" s="38" t="str">
        <f>IF(H133&gt;0,COUNTIF($H$16:H133,"&gt;0"),"")</f>
        <v/>
      </c>
    </row>
    <row r="134" spans="1:9" s="56" customFormat="1">
      <c r="A134" s="69" t="s">
        <v>262</v>
      </c>
      <c r="B134" s="69" t="s">
        <v>277</v>
      </c>
      <c r="C134" s="69" t="s">
        <v>278</v>
      </c>
      <c r="D134" s="69">
        <v>8411061081358</v>
      </c>
      <c r="E134" s="69" t="s">
        <v>13</v>
      </c>
      <c r="F134" s="69" t="s">
        <v>14</v>
      </c>
      <c r="G134" s="83">
        <v>19077</v>
      </c>
      <c r="I134" s="38" t="str">
        <f>IF(H134&gt;0,COUNTIF($H$16:H134,"&gt;0"),"")</f>
        <v/>
      </c>
    </row>
    <row r="135" spans="1:9" s="56" customFormat="1">
      <c r="A135" s="69" t="s">
        <v>262</v>
      </c>
      <c r="B135" s="69" t="s">
        <v>279</v>
      </c>
      <c r="C135" s="69" t="s">
        <v>280</v>
      </c>
      <c r="D135" s="69">
        <v>8411061081150</v>
      </c>
      <c r="E135" s="69" t="s">
        <v>13</v>
      </c>
      <c r="F135" s="69" t="s">
        <v>14</v>
      </c>
      <c r="G135" s="83">
        <v>14835</v>
      </c>
      <c r="I135" s="38" t="str">
        <f>IF(H135&gt;0,COUNTIF($H$16:H135,"&gt;0"),"")</f>
        <v/>
      </c>
    </row>
    <row r="136" spans="1:9" s="56" customFormat="1">
      <c r="A136" s="69" t="s">
        <v>262</v>
      </c>
      <c r="B136" s="69" t="s">
        <v>281</v>
      </c>
      <c r="C136" s="69" t="s">
        <v>282</v>
      </c>
      <c r="D136" s="69">
        <v>8411061109687</v>
      </c>
      <c r="E136" s="69" t="s">
        <v>13</v>
      </c>
      <c r="F136" s="69" t="s">
        <v>14</v>
      </c>
      <c r="G136" s="83">
        <v>17865</v>
      </c>
      <c r="I136" s="38" t="str">
        <f>IF(H136&gt;0,COUNTIF($H$16:H136,"&gt;0"),"")</f>
        <v/>
      </c>
    </row>
    <row r="137" spans="1:9" s="56" customFormat="1">
      <c r="A137" s="69" t="s">
        <v>262</v>
      </c>
      <c r="B137" s="69" t="s">
        <v>283</v>
      </c>
      <c r="C137" s="69" t="s">
        <v>284</v>
      </c>
      <c r="D137" s="69">
        <v>8411061081563</v>
      </c>
      <c r="E137" s="69" t="s">
        <v>13</v>
      </c>
      <c r="F137" s="69" t="s">
        <v>14</v>
      </c>
      <c r="G137" s="83">
        <v>19077</v>
      </c>
      <c r="I137" s="38" t="str">
        <f>IF(H137&gt;0,COUNTIF($H$16:H137,"&gt;0"),"")</f>
        <v/>
      </c>
    </row>
    <row r="138" spans="1:9" s="56" customFormat="1">
      <c r="A138" s="69" t="s">
        <v>262</v>
      </c>
      <c r="B138" s="69" t="s">
        <v>285</v>
      </c>
      <c r="C138" s="69" t="s">
        <v>286</v>
      </c>
      <c r="D138" s="69">
        <v>8411061081587</v>
      </c>
      <c r="E138" s="69" t="s">
        <v>42</v>
      </c>
      <c r="F138" s="69" t="s">
        <v>14</v>
      </c>
      <c r="G138" s="83">
        <v>19077</v>
      </c>
      <c r="I138" s="38" t="str">
        <f>IF(H138&gt;0,COUNTIF($H$16:H138,"&gt;0"),"")</f>
        <v/>
      </c>
    </row>
    <row r="139" spans="1:9" s="56" customFormat="1">
      <c r="A139" s="69" t="s">
        <v>262</v>
      </c>
      <c r="B139" s="69" t="s">
        <v>287</v>
      </c>
      <c r="C139" s="69" t="s">
        <v>288</v>
      </c>
      <c r="D139" s="69">
        <v>8411061082935</v>
      </c>
      <c r="E139" s="69" t="s">
        <v>13</v>
      </c>
      <c r="F139" s="69" t="s">
        <v>14</v>
      </c>
      <c r="G139" s="83">
        <v>15788</v>
      </c>
      <c r="I139" s="38" t="str">
        <f>IF(H139&gt;0,COUNTIF($H$16:H139,"&gt;0"),"")</f>
        <v/>
      </c>
    </row>
    <row r="140" spans="1:9" s="56" customFormat="1">
      <c r="A140" s="69" t="s">
        <v>262</v>
      </c>
      <c r="B140" s="69" t="s">
        <v>289</v>
      </c>
      <c r="C140" s="69" t="s">
        <v>290</v>
      </c>
      <c r="D140" s="69">
        <v>8411061081266</v>
      </c>
      <c r="E140" s="69" t="s">
        <v>13</v>
      </c>
      <c r="F140" s="69" t="s">
        <v>14</v>
      </c>
      <c r="G140" s="83">
        <v>14835</v>
      </c>
      <c r="I140" s="38" t="str">
        <f>IF(H140&gt;0,COUNTIF($H$16:H140,"&gt;0"),"")</f>
        <v/>
      </c>
    </row>
    <row r="141" spans="1:9" s="56" customFormat="1">
      <c r="A141" s="69" t="s">
        <v>262</v>
      </c>
      <c r="B141" s="69" t="s">
        <v>291</v>
      </c>
      <c r="C141" s="69" t="s">
        <v>292</v>
      </c>
      <c r="D141" s="69">
        <v>8411061125816</v>
      </c>
      <c r="E141" s="69" t="s">
        <v>13</v>
      </c>
      <c r="F141" s="69" t="s">
        <v>14</v>
      </c>
      <c r="G141" s="83">
        <v>24101</v>
      </c>
      <c r="I141" s="38" t="str">
        <f>IF(H141&gt;0,COUNTIF($H$16:H141,"&gt;0"),"")</f>
        <v/>
      </c>
    </row>
    <row r="142" spans="1:9" s="56" customFormat="1">
      <c r="A142" s="69" t="s">
        <v>262</v>
      </c>
      <c r="B142" s="69" t="s">
        <v>293</v>
      </c>
      <c r="C142" s="69" t="s">
        <v>294</v>
      </c>
      <c r="D142" s="69">
        <v>8411061999332</v>
      </c>
      <c r="E142" s="69" t="s">
        <v>13</v>
      </c>
      <c r="F142" s="69" t="s">
        <v>14</v>
      </c>
      <c r="G142" s="83">
        <v>19596</v>
      </c>
      <c r="I142" s="38" t="str">
        <f>IF(H142&gt;0,COUNTIF($H$16:H142,"&gt;0"),"")</f>
        <v/>
      </c>
    </row>
    <row r="143" spans="1:9" s="56" customFormat="1">
      <c r="A143" s="69" t="s">
        <v>262</v>
      </c>
      <c r="B143" s="69" t="s">
        <v>295</v>
      </c>
      <c r="C143" s="69" t="s">
        <v>296</v>
      </c>
      <c r="D143" s="69">
        <v>8411061081259</v>
      </c>
      <c r="E143" s="69" t="s">
        <v>13</v>
      </c>
      <c r="F143" s="69" t="s">
        <v>14</v>
      </c>
      <c r="G143" s="83">
        <v>19077</v>
      </c>
      <c r="I143" s="38" t="str">
        <f>IF(H143&gt;0,COUNTIF($H$16:H143,"&gt;0"),"")</f>
        <v/>
      </c>
    </row>
    <row r="144" spans="1:9" s="56" customFormat="1">
      <c r="A144" s="69" t="s">
        <v>262</v>
      </c>
      <c r="B144" s="69" t="s">
        <v>297</v>
      </c>
      <c r="C144" s="69" t="s">
        <v>298</v>
      </c>
      <c r="D144" s="69">
        <v>8411061074589</v>
      </c>
      <c r="E144" s="69" t="s">
        <v>13</v>
      </c>
      <c r="F144" s="69" t="s">
        <v>69</v>
      </c>
      <c r="G144" s="83">
        <v>13624</v>
      </c>
      <c r="I144" s="38" t="str">
        <f>IF(H144&gt;0,COUNTIF($H$16:H144,"&gt;0"),"")</f>
        <v/>
      </c>
    </row>
    <row r="145" spans="1:9" s="56" customFormat="1">
      <c r="A145" s="69" t="s">
        <v>262</v>
      </c>
      <c r="B145" s="69" t="s">
        <v>299</v>
      </c>
      <c r="C145" s="69" t="s">
        <v>300</v>
      </c>
      <c r="D145" s="69">
        <v>8411061106983</v>
      </c>
      <c r="E145" s="69" t="s">
        <v>42</v>
      </c>
      <c r="F145" s="69" t="s">
        <v>69</v>
      </c>
      <c r="G145" s="83">
        <v>16047</v>
      </c>
      <c r="I145" s="38" t="str">
        <f>IF(H145&gt;0,COUNTIF($H$16:H145,"&gt;0"),"")</f>
        <v/>
      </c>
    </row>
    <row r="146" spans="1:9" s="56" customFormat="1">
      <c r="A146" s="69" t="s">
        <v>262</v>
      </c>
      <c r="B146" s="69" t="s">
        <v>301</v>
      </c>
      <c r="C146" s="69" t="s">
        <v>302</v>
      </c>
      <c r="D146" s="69">
        <v>8411061107003</v>
      </c>
      <c r="E146" s="69" t="s">
        <v>13</v>
      </c>
      <c r="F146" s="69" t="s">
        <v>69</v>
      </c>
      <c r="G146" s="83">
        <v>15095</v>
      </c>
      <c r="I146" s="38" t="str">
        <f>IF(H146&gt;0,COUNTIF($H$16:H146,"&gt;0"),"")</f>
        <v/>
      </c>
    </row>
    <row r="147" spans="1:9" s="56" customFormat="1">
      <c r="A147" s="69" t="s">
        <v>262</v>
      </c>
      <c r="B147" s="69" t="s">
        <v>303</v>
      </c>
      <c r="C147" s="69" t="s">
        <v>304</v>
      </c>
      <c r="D147" s="69">
        <v>8411061091814</v>
      </c>
      <c r="E147" s="69" t="s">
        <v>13</v>
      </c>
      <c r="F147" s="69" t="s">
        <v>69</v>
      </c>
      <c r="G147" s="83">
        <v>13883</v>
      </c>
      <c r="I147" s="38" t="str">
        <f>IF(H147&gt;0,COUNTIF($H$16:H147,"&gt;0"),"")</f>
        <v/>
      </c>
    </row>
    <row r="148" spans="1:9" s="56" customFormat="1" ht="30">
      <c r="A148" s="69" t="s">
        <v>262</v>
      </c>
      <c r="B148" s="69" t="s">
        <v>305</v>
      </c>
      <c r="C148" s="69" t="s">
        <v>306</v>
      </c>
      <c r="D148" s="69">
        <v>8411061129630</v>
      </c>
      <c r="E148" s="69" t="s">
        <v>13</v>
      </c>
      <c r="F148" s="69" t="s">
        <v>69</v>
      </c>
      <c r="G148" s="83">
        <v>10422</v>
      </c>
      <c r="I148" s="38" t="str">
        <f>IF(H148&gt;0,COUNTIF($H$16:H148,"&gt;0"),"")</f>
        <v/>
      </c>
    </row>
    <row r="149" spans="1:9" s="56" customFormat="1">
      <c r="A149" s="69" t="s">
        <v>262</v>
      </c>
      <c r="B149" s="69" t="s">
        <v>307</v>
      </c>
      <c r="C149" s="69" t="s">
        <v>308</v>
      </c>
      <c r="D149" s="69">
        <v>8411061106655</v>
      </c>
      <c r="E149" s="69" t="s">
        <v>13</v>
      </c>
      <c r="F149" s="69" t="s">
        <v>69</v>
      </c>
      <c r="G149" s="83">
        <v>13624</v>
      </c>
      <c r="I149" s="38" t="str">
        <f>IF(H149&gt;0,COUNTIF($H$16:H149,"&gt;0"),"")</f>
        <v/>
      </c>
    </row>
    <row r="150" spans="1:9" s="56" customFormat="1" ht="30">
      <c r="A150" s="69" t="s">
        <v>262</v>
      </c>
      <c r="B150" s="69" t="s">
        <v>309</v>
      </c>
      <c r="C150" s="69" t="s">
        <v>310</v>
      </c>
      <c r="D150" s="69">
        <v>8411061091739</v>
      </c>
      <c r="E150" s="69" t="s">
        <v>42</v>
      </c>
      <c r="F150" s="69" t="s">
        <v>69</v>
      </c>
      <c r="G150" s="83">
        <v>13883</v>
      </c>
      <c r="I150" s="38" t="str">
        <f>IF(H150&gt;0,COUNTIF($H$16:H150,"&gt;0"),"")</f>
        <v/>
      </c>
    </row>
    <row r="151" spans="1:9" s="56" customFormat="1">
      <c r="A151" s="69" t="s">
        <v>262</v>
      </c>
      <c r="B151" s="69" t="s">
        <v>311</v>
      </c>
      <c r="C151" s="69" t="s">
        <v>312</v>
      </c>
      <c r="D151" s="69">
        <v>8411061091777</v>
      </c>
      <c r="E151" s="69" t="s">
        <v>13</v>
      </c>
      <c r="F151" s="69" t="s">
        <v>69</v>
      </c>
      <c r="G151" s="83">
        <v>12152</v>
      </c>
      <c r="I151" s="38" t="str">
        <f>IF(H151&gt;0,COUNTIF($H$16:H151,"&gt;0"),"")</f>
        <v/>
      </c>
    </row>
    <row r="152" spans="1:9" s="56" customFormat="1">
      <c r="A152" s="69" t="s">
        <v>262</v>
      </c>
      <c r="B152" s="69" t="s">
        <v>313</v>
      </c>
      <c r="C152" s="69" t="s">
        <v>314</v>
      </c>
      <c r="D152" s="69">
        <v>8411061092828</v>
      </c>
      <c r="E152" s="69" t="s">
        <v>42</v>
      </c>
      <c r="F152" s="69" t="s">
        <v>69</v>
      </c>
      <c r="G152" s="83">
        <v>13451</v>
      </c>
      <c r="I152" s="38" t="str">
        <f>IF(H152&gt;0,COUNTIF($H$16:H152,"&gt;0"),"")</f>
        <v/>
      </c>
    </row>
    <row r="153" spans="1:9" s="56" customFormat="1">
      <c r="A153" s="69" t="s">
        <v>262</v>
      </c>
      <c r="B153" s="69" t="s">
        <v>315</v>
      </c>
      <c r="C153" s="69" t="s">
        <v>316</v>
      </c>
      <c r="D153" s="69">
        <v>8411061081037</v>
      </c>
      <c r="E153" s="69" t="s">
        <v>13</v>
      </c>
      <c r="F153" s="69" t="s">
        <v>14</v>
      </c>
      <c r="G153" s="83">
        <v>20028</v>
      </c>
      <c r="I153" s="38" t="str">
        <f>IF(H153&gt;0,COUNTIF($H$16:H153,"&gt;0"),"")</f>
        <v/>
      </c>
    </row>
    <row r="154" spans="1:9" s="56" customFormat="1">
      <c r="A154" s="69" t="s">
        <v>262</v>
      </c>
      <c r="B154" s="69" t="s">
        <v>317</v>
      </c>
      <c r="C154" s="69" t="s">
        <v>318</v>
      </c>
      <c r="D154" s="69">
        <v>8411061080641</v>
      </c>
      <c r="E154" s="69" t="s">
        <v>13</v>
      </c>
      <c r="F154" s="69" t="s">
        <v>14</v>
      </c>
      <c r="G154" s="83">
        <v>18644</v>
      </c>
      <c r="I154" s="38" t="str">
        <f>IF(H154&gt;0,COUNTIF($H$16:H154,"&gt;0"),"")</f>
        <v/>
      </c>
    </row>
    <row r="155" spans="1:9" s="56" customFormat="1">
      <c r="A155" s="69" t="s">
        <v>319</v>
      </c>
      <c r="B155" s="69" t="s">
        <v>320</v>
      </c>
      <c r="C155" s="69" t="s">
        <v>321</v>
      </c>
      <c r="D155" s="69">
        <v>812256028499</v>
      </c>
      <c r="E155" s="69" t="s">
        <v>42</v>
      </c>
      <c r="F155" s="69" t="s">
        <v>14</v>
      </c>
      <c r="G155" s="83">
        <v>22975</v>
      </c>
      <c r="I155" s="38" t="str">
        <f>IF(H155&gt;0,COUNTIF($H$16:H155,"&gt;0"),"")</f>
        <v/>
      </c>
    </row>
    <row r="156" spans="1:9" s="56" customFormat="1">
      <c r="A156" s="69" t="s">
        <v>319</v>
      </c>
      <c r="B156" s="69" t="s">
        <v>322</v>
      </c>
      <c r="C156" s="69" t="s">
        <v>323</v>
      </c>
      <c r="D156" s="69">
        <v>812256028482</v>
      </c>
      <c r="E156" s="69" t="s">
        <v>42</v>
      </c>
      <c r="F156" s="69" t="s">
        <v>14</v>
      </c>
      <c r="G156" s="83">
        <v>24101</v>
      </c>
      <c r="I156" s="38" t="str">
        <f>IF(H156&gt;0,COUNTIF($H$16:H156,"&gt;0"),"")</f>
        <v/>
      </c>
    </row>
    <row r="157" spans="1:9" s="56" customFormat="1">
      <c r="A157" s="69" t="s">
        <v>319</v>
      </c>
      <c r="B157" s="69" t="s">
        <v>324</v>
      </c>
      <c r="C157" s="69" t="s">
        <v>325</v>
      </c>
      <c r="D157" s="69">
        <v>810101500060</v>
      </c>
      <c r="E157" s="69" t="s">
        <v>42</v>
      </c>
      <c r="F157" s="69" t="s">
        <v>14</v>
      </c>
      <c r="G157" s="83">
        <v>43015</v>
      </c>
      <c r="I157" s="38" t="str">
        <f>IF(H157&gt;0,COUNTIF($H$16:H157,"&gt;0"),"")</f>
        <v/>
      </c>
    </row>
    <row r="158" spans="1:9" s="56" customFormat="1">
      <c r="A158" s="69" t="s">
        <v>319</v>
      </c>
      <c r="B158" s="69" t="s">
        <v>326</v>
      </c>
      <c r="C158" s="69" t="s">
        <v>327</v>
      </c>
      <c r="D158" s="69">
        <v>810101500091</v>
      </c>
      <c r="E158" s="69" t="s">
        <v>42</v>
      </c>
      <c r="F158" s="69" t="s">
        <v>14</v>
      </c>
      <c r="G158" s="83">
        <v>32196</v>
      </c>
      <c r="I158" s="38" t="str">
        <f>IF(H158&gt;0,COUNTIF($H$16:H158,"&gt;0"),"")</f>
        <v/>
      </c>
    </row>
    <row r="159" spans="1:9" s="56" customFormat="1">
      <c r="A159" s="69" t="s">
        <v>319</v>
      </c>
      <c r="B159" s="69" t="s">
        <v>328</v>
      </c>
      <c r="C159" s="69" t="s">
        <v>329</v>
      </c>
      <c r="D159" s="69">
        <v>812256025481</v>
      </c>
      <c r="E159" s="69" t="s">
        <v>42</v>
      </c>
      <c r="F159" s="69" t="s">
        <v>14</v>
      </c>
      <c r="G159" s="83">
        <v>21068</v>
      </c>
      <c r="I159" s="38" t="str">
        <f>IF(H159&gt;0,COUNTIF($H$16:H159,"&gt;0"),"")</f>
        <v/>
      </c>
    </row>
    <row r="160" spans="1:9" s="56" customFormat="1">
      <c r="A160" s="69" t="s">
        <v>319</v>
      </c>
      <c r="B160" s="69" t="s">
        <v>330</v>
      </c>
      <c r="C160" s="69" t="s">
        <v>331</v>
      </c>
      <c r="D160" s="69">
        <v>812256021674</v>
      </c>
      <c r="E160" s="69" t="s">
        <v>42</v>
      </c>
      <c r="F160" s="69" t="s">
        <v>14</v>
      </c>
      <c r="G160" s="83">
        <v>11633</v>
      </c>
      <c r="I160" s="38" t="str">
        <f>IF(H160&gt;0,COUNTIF($H$16:H160,"&gt;0"),"")</f>
        <v/>
      </c>
    </row>
    <row r="161" spans="1:9" s="56" customFormat="1">
      <c r="A161" s="69" t="s">
        <v>319</v>
      </c>
      <c r="B161" s="69" t="s">
        <v>332</v>
      </c>
      <c r="C161" s="69" t="s">
        <v>333</v>
      </c>
      <c r="D161" s="69">
        <v>810101503863</v>
      </c>
      <c r="E161" s="69" t="s">
        <v>42</v>
      </c>
      <c r="F161" s="69" t="s">
        <v>14</v>
      </c>
      <c r="G161" s="83">
        <v>11633</v>
      </c>
      <c r="I161" s="38" t="str">
        <f>IF(H161&gt;0,COUNTIF($H$16:H161,"&gt;0"),"")</f>
        <v/>
      </c>
    </row>
    <row r="162" spans="1:9" s="56" customFormat="1">
      <c r="A162" s="69" t="s">
        <v>319</v>
      </c>
      <c r="B162" s="69" t="s">
        <v>334</v>
      </c>
      <c r="C162" s="69" t="s">
        <v>335</v>
      </c>
      <c r="D162" s="69">
        <v>812256027591</v>
      </c>
      <c r="E162" s="69" t="s">
        <v>42</v>
      </c>
      <c r="F162" s="69" t="s">
        <v>14</v>
      </c>
      <c r="G162" s="83">
        <v>11633</v>
      </c>
      <c r="I162" s="38" t="str">
        <f>IF(H162&gt;0,COUNTIF($H$16:H162,"&gt;0"),"")</f>
        <v/>
      </c>
    </row>
    <row r="163" spans="1:9" s="56" customFormat="1">
      <c r="A163" s="69" t="s">
        <v>319</v>
      </c>
      <c r="B163" s="69" t="s">
        <v>336</v>
      </c>
      <c r="C163" s="69" t="s">
        <v>337</v>
      </c>
      <c r="D163" s="69">
        <v>812256023104</v>
      </c>
      <c r="E163" s="69" t="s">
        <v>42</v>
      </c>
      <c r="F163" s="69" t="s">
        <v>14</v>
      </c>
      <c r="G163" s="83">
        <v>11633</v>
      </c>
      <c r="I163" s="38" t="str">
        <f>IF(H163&gt;0,COUNTIF($H$16:H163,"&gt;0"),"")</f>
        <v/>
      </c>
    </row>
    <row r="164" spans="1:9" s="56" customFormat="1">
      <c r="A164" s="69" t="s">
        <v>319</v>
      </c>
      <c r="B164" s="69" t="s">
        <v>338</v>
      </c>
      <c r="C164" s="69" t="s">
        <v>339</v>
      </c>
      <c r="D164" s="69">
        <v>810101502798</v>
      </c>
      <c r="E164" s="69" t="s">
        <v>42</v>
      </c>
      <c r="F164" s="69" t="s">
        <v>14</v>
      </c>
      <c r="G164" s="83">
        <v>47362</v>
      </c>
      <c r="I164" s="38" t="str">
        <f>IF(H164&gt;0,COUNTIF($H$16:H164,"&gt;0"),"")</f>
        <v/>
      </c>
    </row>
    <row r="165" spans="1:9" s="56" customFormat="1">
      <c r="A165" s="69" t="s">
        <v>319</v>
      </c>
      <c r="B165" s="69" t="s">
        <v>340</v>
      </c>
      <c r="C165" s="69" t="s">
        <v>341</v>
      </c>
      <c r="D165" s="69">
        <v>812256022503</v>
      </c>
      <c r="E165" s="69" t="s">
        <v>42</v>
      </c>
      <c r="F165" s="69" t="s">
        <v>14</v>
      </c>
      <c r="G165" s="83">
        <v>22023</v>
      </c>
      <c r="I165" s="38" t="str">
        <f>IF(H165&gt;0,COUNTIF($H$16:H165,"&gt;0"),"")</f>
        <v/>
      </c>
    </row>
    <row r="166" spans="1:9" s="56" customFormat="1">
      <c r="A166" s="69" t="s">
        <v>319</v>
      </c>
      <c r="B166" s="69" t="s">
        <v>342</v>
      </c>
      <c r="C166" s="69" t="s">
        <v>343</v>
      </c>
      <c r="D166" s="69">
        <v>812256022497</v>
      </c>
      <c r="E166" s="69" t="s">
        <v>42</v>
      </c>
      <c r="F166" s="69" t="s">
        <v>14</v>
      </c>
      <c r="G166" s="83">
        <v>24620</v>
      </c>
      <c r="I166" s="38" t="str">
        <f>IF(H166&gt;0,COUNTIF($H$16:H166,"&gt;0"),"")</f>
        <v/>
      </c>
    </row>
    <row r="167" spans="1:9" s="56" customFormat="1">
      <c r="A167" s="69" t="s">
        <v>319</v>
      </c>
      <c r="B167" s="69" t="s">
        <v>344</v>
      </c>
      <c r="C167" s="69" t="s">
        <v>345</v>
      </c>
      <c r="D167" s="69">
        <v>812256023333</v>
      </c>
      <c r="E167" s="69" t="s">
        <v>42</v>
      </c>
      <c r="F167" s="69" t="s">
        <v>63</v>
      </c>
      <c r="G167" s="83">
        <v>36351</v>
      </c>
      <c r="I167" s="38" t="str">
        <f>IF(H167&gt;0,COUNTIF($H$16:H167,"&gt;0"),"")</f>
        <v/>
      </c>
    </row>
    <row r="168" spans="1:9" s="56" customFormat="1">
      <c r="A168" s="69" t="s">
        <v>319</v>
      </c>
      <c r="B168" s="69" t="s">
        <v>346</v>
      </c>
      <c r="C168" s="69" t="s">
        <v>347</v>
      </c>
      <c r="D168" s="69">
        <v>812256028512</v>
      </c>
      <c r="E168" s="69" t="s">
        <v>42</v>
      </c>
      <c r="F168" s="69" t="s">
        <v>63</v>
      </c>
      <c r="G168" s="83">
        <v>23928</v>
      </c>
      <c r="I168" s="38" t="str">
        <f>IF(H168&gt;0,COUNTIF($H$16:H168,"&gt;0"),"")</f>
        <v/>
      </c>
    </row>
    <row r="169" spans="1:9" s="56" customFormat="1">
      <c r="A169" s="69" t="s">
        <v>319</v>
      </c>
      <c r="B169" s="69" t="s">
        <v>348</v>
      </c>
      <c r="C169" s="69" t="s">
        <v>349</v>
      </c>
      <c r="D169" s="69">
        <v>810101506499</v>
      </c>
      <c r="E169" s="69" t="s">
        <v>42</v>
      </c>
      <c r="F169" s="69" t="s">
        <v>14</v>
      </c>
      <c r="G169" s="83">
        <v>42150</v>
      </c>
      <c r="I169" s="38" t="str">
        <f>IF(H169&gt;0,COUNTIF($H$16:H169,"&gt;0"),"")</f>
        <v/>
      </c>
    </row>
    <row r="170" spans="1:9" s="56" customFormat="1">
      <c r="A170" s="69" t="s">
        <v>319</v>
      </c>
      <c r="B170" s="69" t="s">
        <v>350</v>
      </c>
      <c r="C170" s="69" t="s">
        <v>351</v>
      </c>
      <c r="D170" s="69">
        <v>812256023302</v>
      </c>
      <c r="E170" s="69" t="s">
        <v>42</v>
      </c>
      <c r="F170" s="69" t="s">
        <v>14</v>
      </c>
      <c r="G170" s="83">
        <v>29208</v>
      </c>
      <c r="I170" s="38" t="str">
        <f>IF(H170&gt;0,COUNTIF($H$16:H170,"&gt;0"),"")</f>
        <v/>
      </c>
    </row>
    <row r="171" spans="1:9" s="56" customFormat="1">
      <c r="A171" s="69" t="s">
        <v>319</v>
      </c>
      <c r="B171" s="69" t="s">
        <v>352</v>
      </c>
      <c r="C171" s="69" t="s">
        <v>353</v>
      </c>
      <c r="D171" s="69">
        <v>812256023289</v>
      </c>
      <c r="E171" s="69" t="s">
        <v>42</v>
      </c>
      <c r="F171" s="69" t="s">
        <v>14</v>
      </c>
      <c r="G171" s="83">
        <v>46323</v>
      </c>
      <c r="I171" s="38" t="str">
        <f>IF(H171&gt;0,COUNTIF($H$16:H171,"&gt;0"),"")</f>
        <v/>
      </c>
    </row>
    <row r="172" spans="1:9" s="56" customFormat="1">
      <c r="A172" s="69" t="s">
        <v>319</v>
      </c>
      <c r="B172" s="69" t="s">
        <v>354</v>
      </c>
      <c r="C172" s="69" t="s">
        <v>355</v>
      </c>
      <c r="D172" s="69">
        <v>810101505669</v>
      </c>
      <c r="E172" s="69" t="s">
        <v>42</v>
      </c>
      <c r="F172" s="69" t="s">
        <v>14</v>
      </c>
      <c r="G172" s="83">
        <v>34619</v>
      </c>
      <c r="I172" s="38" t="str">
        <f>IF(H172&gt;0,COUNTIF($H$16:H172,"&gt;0"),"")</f>
        <v/>
      </c>
    </row>
    <row r="173" spans="1:9" s="56" customFormat="1">
      <c r="A173" s="69" t="s">
        <v>319</v>
      </c>
      <c r="B173" s="69" t="s">
        <v>356</v>
      </c>
      <c r="C173" s="69" t="s">
        <v>357</v>
      </c>
      <c r="D173" s="69">
        <v>810101508806</v>
      </c>
      <c r="E173" s="69" t="s">
        <v>17</v>
      </c>
      <c r="F173" s="69" t="s">
        <v>14</v>
      </c>
      <c r="G173" s="83">
        <v>34706</v>
      </c>
      <c r="I173" s="38" t="str">
        <f>IF(H173&gt;0,COUNTIF($H$16:H173,"&gt;0"),"")</f>
        <v/>
      </c>
    </row>
    <row r="174" spans="1:9" s="56" customFormat="1" ht="30">
      <c r="A174" s="69" t="s">
        <v>319</v>
      </c>
      <c r="B174" s="69" t="s">
        <v>358</v>
      </c>
      <c r="C174" s="69" t="s">
        <v>359</v>
      </c>
      <c r="D174" s="69">
        <v>810101508936</v>
      </c>
      <c r="E174" s="69" t="s">
        <v>17</v>
      </c>
      <c r="F174" s="69" t="s">
        <v>14</v>
      </c>
      <c r="G174" s="83">
        <v>34879</v>
      </c>
      <c r="I174" s="38" t="str">
        <f>IF(H174&gt;0,COUNTIF($H$16:H174,"&gt;0"),"")</f>
        <v/>
      </c>
    </row>
    <row r="175" spans="1:9" s="56" customFormat="1" ht="30">
      <c r="A175" s="69" t="s">
        <v>319</v>
      </c>
      <c r="B175" s="69" t="s">
        <v>360</v>
      </c>
      <c r="C175" s="69" t="s">
        <v>361</v>
      </c>
      <c r="D175" s="69">
        <v>810101507892</v>
      </c>
      <c r="E175" s="69" t="s">
        <v>42</v>
      </c>
      <c r="F175" s="69" t="s">
        <v>69</v>
      </c>
      <c r="G175" s="83">
        <v>58441</v>
      </c>
      <c r="I175" s="38" t="str">
        <f>IF(H175&gt;0,COUNTIF($H$16:H175,"&gt;0"),"")</f>
        <v/>
      </c>
    </row>
    <row r="176" spans="1:9" s="56" customFormat="1" ht="27.75" customHeight="1">
      <c r="A176" s="69" t="s">
        <v>362</v>
      </c>
      <c r="B176" s="69" t="s">
        <v>363</v>
      </c>
      <c r="C176" s="69" t="s">
        <v>364</v>
      </c>
      <c r="D176" s="69">
        <v>8999312894273</v>
      </c>
      <c r="E176" s="69" t="s">
        <v>17</v>
      </c>
      <c r="F176" s="69" t="s">
        <v>14</v>
      </c>
      <c r="G176" s="83">
        <v>9555</v>
      </c>
      <c r="I176" s="38" t="str">
        <f>IF(H176&gt;0,COUNTIF($H$16:H176,"&gt;0"),"")</f>
        <v/>
      </c>
    </row>
    <row r="177" spans="1:9" s="56" customFormat="1" ht="27.75" customHeight="1">
      <c r="A177" s="69" t="s">
        <v>362</v>
      </c>
      <c r="B177" s="69" t="s">
        <v>365</v>
      </c>
      <c r="C177" s="69" t="s">
        <v>366</v>
      </c>
      <c r="D177" s="69">
        <v>8999312894280</v>
      </c>
      <c r="E177" s="69" t="s">
        <v>17</v>
      </c>
      <c r="F177" s="69" t="s">
        <v>14</v>
      </c>
      <c r="G177" s="83">
        <v>9555</v>
      </c>
      <c r="I177" s="38" t="str">
        <f>IF(H177&gt;0,COUNTIF($H$16:H177,"&gt;0"),"")</f>
        <v/>
      </c>
    </row>
    <row r="178" spans="1:9" s="56" customFormat="1" ht="27.75" customHeight="1">
      <c r="A178" s="69" t="s">
        <v>362</v>
      </c>
      <c r="B178" s="69" t="s">
        <v>367</v>
      </c>
      <c r="C178" s="69" t="s">
        <v>368</v>
      </c>
      <c r="D178" s="69">
        <v>8999312894310</v>
      </c>
      <c r="E178" s="69" t="s">
        <v>42</v>
      </c>
      <c r="F178" s="69" t="s">
        <v>14</v>
      </c>
      <c r="G178" s="83">
        <v>9555</v>
      </c>
      <c r="I178" s="38" t="str">
        <f>IF(H178&gt;0,COUNTIF($H$16:H178,"&gt;0"),"")</f>
        <v/>
      </c>
    </row>
    <row r="179" spans="1:9" s="56" customFormat="1" ht="27.75" customHeight="1">
      <c r="A179" s="69" t="s">
        <v>362</v>
      </c>
      <c r="B179" s="69" t="s">
        <v>369</v>
      </c>
      <c r="C179" s="69" t="s">
        <v>370</v>
      </c>
      <c r="D179" s="69">
        <v>8999312894341</v>
      </c>
      <c r="E179" s="69" t="s">
        <v>42</v>
      </c>
      <c r="F179" s="69" t="s">
        <v>14</v>
      </c>
      <c r="G179" s="83">
        <v>9555</v>
      </c>
      <c r="I179" s="38" t="str">
        <f>IF(H179&gt;0,COUNTIF($H$16:H179,"&gt;0"),"")</f>
        <v/>
      </c>
    </row>
    <row r="180" spans="1:9" s="56" customFormat="1">
      <c r="A180" s="69" t="s">
        <v>26</v>
      </c>
      <c r="B180" s="69" t="s">
        <v>371</v>
      </c>
      <c r="C180" s="69" t="s">
        <v>372</v>
      </c>
      <c r="D180" s="69">
        <v>6294015164152</v>
      </c>
      <c r="E180" s="69" t="s">
        <v>13</v>
      </c>
      <c r="F180" s="69" t="s">
        <v>14</v>
      </c>
      <c r="G180" s="83">
        <v>35312</v>
      </c>
      <c r="I180" s="38" t="str">
        <f>IF(H180&gt;0,COUNTIF($H$16:H180,"&gt;0"),"")</f>
        <v/>
      </c>
    </row>
    <row r="181" spans="1:9" s="56" customFormat="1">
      <c r="A181" s="69" t="s">
        <v>26</v>
      </c>
      <c r="B181" s="69" t="s">
        <v>373</v>
      </c>
      <c r="C181" s="69" t="s">
        <v>374</v>
      </c>
      <c r="D181" s="69">
        <v>6294015180251</v>
      </c>
      <c r="E181" s="69" t="s">
        <v>17</v>
      </c>
      <c r="F181" s="69" t="s">
        <v>14</v>
      </c>
      <c r="G181" s="83">
        <v>37735</v>
      </c>
      <c r="I181" s="38" t="str">
        <f>IF(H181&gt;0,COUNTIF($H$16:H181,"&gt;0"),"")</f>
        <v/>
      </c>
    </row>
    <row r="182" spans="1:9" s="56" customFormat="1">
      <c r="A182" s="69" t="s">
        <v>26</v>
      </c>
      <c r="B182" s="69" t="s">
        <v>375</v>
      </c>
      <c r="C182" s="69" t="s">
        <v>376</v>
      </c>
      <c r="D182" s="69">
        <v>6085010044712</v>
      </c>
      <c r="E182" s="69" t="s">
        <v>13</v>
      </c>
      <c r="F182" s="69" t="s">
        <v>14</v>
      </c>
      <c r="G182" s="83">
        <v>27303</v>
      </c>
      <c r="I182" s="38" t="str">
        <f>IF(H182&gt;0,COUNTIF($H$16:H182,"&gt;0"),"")</f>
        <v/>
      </c>
    </row>
    <row r="183" spans="1:9" s="56" customFormat="1">
      <c r="A183" s="69" t="s">
        <v>26</v>
      </c>
      <c r="B183" s="69" t="s">
        <v>377</v>
      </c>
      <c r="C183" s="69" t="s">
        <v>378</v>
      </c>
      <c r="D183" s="69">
        <v>6294015155709</v>
      </c>
      <c r="E183" s="69" t="s">
        <v>17</v>
      </c>
      <c r="F183" s="69" t="s">
        <v>14</v>
      </c>
      <c r="G183" s="83">
        <v>20462</v>
      </c>
      <c r="I183" s="38" t="str">
        <f>IF(H183&gt;0,COUNTIF($H$16:H183,"&gt;0"),"")</f>
        <v/>
      </c>
    </row>
    <row r="184" spans="1:9" s="56" customFormat="1">
      <c r="A184" s="69" t="s">
        <v>26</v>
      </c>
      <c r="B184" s="69" t="s">
        <v>379</v>
      </c>
      <c r="C184" s="69" t="s">
        <v>380</v>
      </c>
      <c r="D184" s="69">
        <v>6294015182842</v>
      </c>
      <c r="E184" s="69" t="s">
        <v>42</v>
      </c>
      <c r="F184" s="69" t="s">
        <v>14</v>
      </c>
      <c r="G184" s="83">
        <v>20028</v>
      </c>
      <c r="I184" s="38" t="str">
        <f>IF(H184&gt;0,COUNTIF($H$16:H184,"&gt;0"),"")</f>
        <v/>
      </c>
    </row>
    <row r="185" spans="1:9" s="56" customFormat="1">
      <c r="A185" s="69" t="s">
        <v>26</v>
      </c>
      <c r="B185" s="69" t="s">
        <v>381</v>
      </c>
      <c r="C185" s="69" t="s">
        <v>382</v>
      </c>
      <c r="D185" s="69">
        <v>6294015182835</v>
      </c>
      <c r="E185" s="69" t="s">
        <v>42</v>
      </c>
      <c r="F185" s="69" t="s">
        <v>14</v>
      </c>
      <c r="G185" s="83">
        <v>20028</v>
      </c>
      <c r="I185" s="38" t="str">
        <f>IF(H185&gt;0,COUNTIF($H$16:H185,"&gt;0"),"")</f>
        <v/>
      </c>
    </row>
    <row r="186" spans="1:9" s="56" customFormat="1">
      <c r="A186" s="69" t="s">
        <v>26</v>
      </c>
      <c r="B186" s="69" t="s">
        <v>383</v>
      </c>
      <c r="C186" s="69" t="s">
        <v>384</v>
      </c>
      <c r="D186" s="69">
        <v>6295199818862</v>
      </c>
      <c r="E186" s="69" t="s">
        <v>42</v>
      </c>
      <c r="F186" s="69" t="s">
        <v>14</v>
      </c>
      <c r="G186" s="83">
        <v>23755</v>
      </c>
      <c r="I186" s="38" t="str">
        <f>IF(H186&gt;0,COUNTIF($H$16:H186,"&gt;0"),"")</f>
        <v/>
      </c>
    </row>
    <row r="187" spans="1:9" s="56" customFormat="1">
      <c r="A187" s="69" t="s">
        <v>26</v>
      </c>
      <c r="B187" s="69" t="s">
        <v>385</v>
      </c>
      <c r="C187" s="69" t="s">
        <v>386</v>
      </c>
      <c r="D187" s="69">
        <v>6294015192308</v>
      </c>
      <c r="E187" s="69" t="s">
        <v>17</v>
      </c>
      <c r="F187" s="69" t="s">
        <v>14</v>
      </c>
      <c r="G187" s="83">
        <v>16220</v>
      </c>
      <c r="I187" s="38" t="str">
        <f>IF(H187&gt;0,COUNTIF($H$16:H187,"&gt;0"),"")</f>
        <v/>
      </c>
    </row>
    <row r="188" spans="1:9" s="56" customFormat="1">
      <c r="A188" s="69" t="s">
        <v>26</v>
      </c>
      <c r="B188" s="69" t="s">
        <v>387</v>
      </c>
      <c r="C188" s="69" t="s">
        <v>388</v>
      </c>
      <c r="D188" s="69">
        <v>6294015192322</v>
      </c>
      <c r="E188" s="69" t="s">
        <v>17</v>
      </c>
      <c r="F188" s="69" t="s">
        <v>14</v>
      </c>
      <c r="G188" s="83">
        <v>16220</v>
      </c>
      <c r="I188" s="38" t="str">
        <f>IF(H188&gt;0,COUNTIF($H$16:H188,"&gt;0"),"")</f>
        <v/>
      </c>
    </row>
    <row r="189" spans="1:9" s="56" customFormat="1">
      <c r="A189" s="69" t="s">
        <v>26</v>
      </c>
      <c r="B189" s="69" t="s">
        <v>389</v>
      </c>
      <c r="C189" s="69" t="s">
        <v>390</v>
      </c>
      <c r="D189" s="69">
        <v>6294015192315</v>
      </c>
      <c r="E189" s="69" t="s">
        <v>13</v>
      </c>
      <c r="F189" s="69" t="s">
        <v>14</v>
      </c>
      <c r="G189" s="83">
        <v>16220</v>
      </c>
      <c r="I189" s="38" t="str">
        <f>IF(H189&gt;0,COUNTIF($H$16:H189,"&gt;0"),"")</f>
        <v/>
      </c>
    </row>
    <row r="190" spans="1:9" s="56" customFormat="1">
      <c r="A190" s="69" t="s">
        <v>26</v>
      </c>
      <c r="B190" s="69" t="s">
        <v>391</v>
      </c>
      <c r="C190" s="69" t="s">
        <v>392</v>
      </c>
      <c r="D190" s="69">
        <v>6294015192339</v>
      </c>
      <c r="E190" s="69" t="s">
        <v>13</v>
      </c>
      <c r="F190" s="69" t="s">
        <v>14</v>
      </c>
      <c r="G190" s="83">
        <v>16220</v>
      </c>
      <c r="I190" s="38" t="str">
        <f>IF(H190&gt;0,COUNTIF($H$16:H190,"&gt;0"),"")</f>
        <v/>
      </c>
    </row>
    <row r="191" spans="1:9" s="56" customFormat="1">
      <c r="A191" s="69" t="s">
        <v>26</v>
      </c>
      <c r="B191" s="69" t="s">
        <v>393</v>
      </c>
      <c r="C191" s="69" t="s">
        <v>394</v>
      </c>
      <c r="D191" s="69">
        <v>6294015197693</v>
      </c>
      <c r="E191" s="69" t="s">
        <v>17</v>
      </c>
      <c r="F191" s="69" t="s">
        <v>14</v>
      </c>
      <c r="G191" s="83">
        <v>17691</v>
      </c>
      <c r="I191" s="38" t="str">
        <f>IF(H191&gt;0,COUNTIF($H$16:H191,"&gt;0"),"")</f>
        <v/>
      </c>
    </row>
    <row r="192" spans="1:9" s="56" customFormat="1">
      <c r="A192" s="69" t="s">
        <v>26</v>
      </c>
      <c r="B192" s="69" t="s">
        <v>395</v>
      </c>
      <c r="C192" s="69" t="s">
        <v>396</v>
      </c>
      <c r="D192" s="69">
        <v>6294015196443</v>
      </c>
      <c r="E192" s="69" t="s">
        <v>17</v>
      </c>
      <c r="F192" s="69" t="s">
        <v>14</v>
      </c>
      <c r="G192" s="83">
        <v>22456</v>
      </c>
      <c r="I192" s="38" t="str">
        <f>IF(H192&gt;0,COUNTIF($H$16:H192,"&gt;0"),"")</f>
        <v/>
      </c>
    </row>
    <row r="193" spans="1:9" s="56" customFormat="1">
      <c r="A193" s="69" t="s">
        <v>26</v>
      </c>
      <c r="B193" s="69" t="s">
        <v>397</v>
      </c>
      <c r="C193" s="69" t="s">
        <v>398</v>
      </c>
      <c r="D193" s="69">
        <v>6294015181166</v>
      </c>
      <c r="E193" s="69" t="s">
        <v>17</v>
      </c>
      <c r="F193" s="69" t="s">
        <v>14</v>
      </c>
      <c r="G193" s="83">
        <v>17865</v>
      </c>
      <c r="I193" s="38" t="str">
        <f>IF(H193&gt;0,COUNTIF($H$16:H193,"&gt;0"),"")</f>
        <v/>
      </c>
    </row>
    <row r="194" spans="1:9" s="56" customFormat="1">
      <c r="A194" s="69" t="s">
        <v>26</v>
      </c>
      <c r="B194" s="69" t="s">
        <v>399</v>
      </c>
      <c r="C194" s="69" t="s">
        <v>400</v>
      </c>
      <c r="D194" s="69">
        <v>6294015155624</v>
      </c>
      <c r="E194" s="69" t="s">
        <v>42</v>
      </c>
      <c r="F194" s="69" t="s">
        <v>14</v>
      </c>
      <c r="G194" s="83">
        <v>18038</v>
      </c>
      <c r="I194" s="38" t="str">
        <f>IF(H194&gt;0,COUNTIF($H$16:H194,"&gt;0"),"")</f>
        <v/>
      </c>
    </row>
    <row r="195" spans="1:9" s="56" customFormat="1">
      <c r="A195" s="69" t="s">
        <v>26</v>
      </c>
      <c r="B195" s="69" t="s">
        <v>401</v>
      </c>
      <c r="C195" s="69" t="s">
        <v>402</v>
      </c>
      <c r="D195" s="69">
        <v>6295199800942</v>
      </c>
      <c r="E195" s="69" t="s">
        <v>42</v>
      </c>
      <c r="F195" s="69" t="s">
        <v>14</v>
      </c>
      <c r="G195" s="83">
        <v>25485</v>
      </c>
      <c r="I195" s="38" t="str">
        <f>IF(H195&gt;0,COUNTIF($H$16:H195,"&gt;0"),"")</f>
        <v/>
      </c>
    </row>
    <row r="196" spans="1:9" s="56" customFormat="1">
      <c r="A196" s="69" t="s">
        <v>26</v>
      </c>
      <c r="B196" s="69" t="s">
        <v>403</v>
      </c>
      <c r="C196" s="69" t="s">
        <v>404</v>
      </c>
      <c r="D196" s="69">
        <v>6294015196412</v>
      </c>
      <c r="E196" s="69" t="s">
        <v>13</v>
      </c>
      <c r="F196" s="69" t="s">
        <v>14</v>
      </c>
      <c r="G196" s="83">
        <v>26438</v>
      </c>
      <c r="I196" s="38" t="str">
        <f>IF(H196&gt;0,COUNTIF($H$16:H196,"&gt;0"),"")</f>
        <v/>
      </c>
    </row>
    <row r="197" spans="1:9" s="56" customFormat="1">
      <c r="A197" s="69" t="s">
        <v>26</v>
      </c>
      <c r="B197" s="69" t="s">
        <v>405</v>
      </c>
      <c r="C197" s="69" t="s">
        <v>406</v>
      </c>
      <c r="D197" s="69">
        <v>6295199804360</v>
      </c>
      <c r="E197" s="69" t="s">
        <v>17</v>
      </c>
      <c r="F197" s="69" t="s">
        <v>14</v>
      </c>
      <c r="G197" s="83">
        <v>14922</v>
      </c>
      <c r="I197" s="38" t="str">
        <f>IF(H197&gt;0,COUNTIF($H$16:H197,"&gt;0"),"")</f>
        <v/>
      </c>
    </row>
    <row r="198" spans="1:9" s="56" customFormat="1">
      <c r="A198" s="69" t="s">
        <v>26</v>
      </c>
      <c r="B198" s="69" t="s">
        <v>407</v>
      </c>
      <c r="C198" s="69" t="s">
        <v>408</v>
      </c>
      <c r="D198" s="69">
        <v>6294015188202</v>
      </c>
      <c r="E198" s="69" t="s">
        <v>42</v>
      </c>
      <c r="F198" s="69" t="s">
        <v>14</v>
      </c>
      <c r="G198" s="83">
        <v>21068</v>
      </c>
      <c r="I198" s="38" t="str">
        <f>IF(H198&gt;0,COUNTIF($H$16:H198,"&gt;0"),"")</f>
        <v/>
      </c>
    </row>
    <row r="199" spans="1:9" s="56" customFormat="1">
      <c r="A199" s="69" t="s">
        <v>26</v>
      </c>
      <c r="B199" s="69" t="s">
        <v>409</v>
      </c>
      <c r="C199" s="69" t="s">
        <v>410</v>
      </c>
      <c r="D199" s="69">
        <v>6294015197686</v>
      </c>
      <c r="E199" s="69" t="s">
        <v>42</v>
      </c>
      <c r="F199" s="69" t="s">
        <v>14</v>
      </c>
      <c r="G199" s="83">
        <v>20115</v>
      </c>
      <c r="I199" s="38" t="str">
        <f>IF(H199&gt;0,COUNTIF($H$16:H199,"&gt;0"),"")</f>
        <v/>
      </c>
    </row>
    <row r="200" spans="1:9" s="56" customFormat="1">
      <c r="A200" s="69" t="s">
        <v>26</v>
      </c>
      <c r="B200" s="69" t="s">
        <v>411</v>
      </c>
      <c r="C200" s="69" t="s">
        <v>412</v>
      </c>
      <c r="D200" s="69">
        <v>6294015196429</v>
      </c>
      <c r="E200" s="69" t="s">
        <v>42</v>
      </c>
      <c r="F200" s="69" t="s">
        <v>14</v>
      </c>
      <c r="G200" s="83">
        <v>27043</v>
      </c>
      <c r="I200" s="38" t="str">
        <f>IF(H200&gt;0,COUNTIF($H$16:H200,"&gt;0"),"")</f>
        <v/>
      </c>
    </row>
    <row r="201" spans="1:9" s="56" customFormat="1">
      <c r="A201" s="69" t="s">
        <v>26</v>
      </c>
      <c r="B201" s="69" t="s">
        <v>413</v>
      </c>
      <c r="C201" s="69" t="s">
        <v>414</v>
      </c>
      <c r="D201" s="69">
        <v>6294015197136</v>
      </c>
      <c r="E201" s="69" t="s">
        <v>17</v>
      </c>
      <c r="F201" s="69" t="s">
        <v>14</v>
      </c>
      <c r="G201" s="83">
        <v>28948</v>
      </c>
      <c r="I201" s="38" t="str">
        <f>IF(H201&gt;0,COUNTIF($H$16:H201,"&gt;0"),"")</f>
        <v/>
      </c>
    </row>
    <row r="202" spans="1:9" s="56" customFormat="1">
      <c r="A202" s="69" t="s">
        <v>26</v>
      </c>
      <c r="B202" s="69" t="s">
        <v>415</v>
      </c>
      <c r="C202" s="69" t="s">
        <v>416</v>
      </c>
      <c r="D202" s="69">
        <v>6294015181272</v>
      </c>
      <c r="E202" s="69" t="s">
        <v>17</v>
      </c>
      <c r="F202" s="69" t="s">
        <v>14</v>
      </c>
      <c r="G202" s="83">
        <v>14662</v>
      </c>
      <c r="I202" s="38" t="str">
        <f>IF(H202&gt;0,COUNTIF($H$16:H202,"&gt;0"),"")</f>
        <v/>
      </c>
    </row>
    <row r="203" spans="1:9" s="56" customFormat="1">
      <c r="A203" s="69" t="s">
        <v>26</v>
      </c>
      <c r="B203" s="69" t="s">
        <v>417</v>
      </c>
      <c r="C203" s="69" t="s">
        <v>418</v>
      </c>
      <c r="D203" s="69">
        <v>6294015181258</v>
      </c>
      <c r="E203" s="69" t="s">
        <v>17</v>
      </c>
      <c r="F203" s="69" t="s">
        <v>14</v>
      </c>
      <c r="G203" s="83">
        <v>14662</v>
      </c>
      <c r="I203" s="38" t="str">
        <f>IF(H203&gt;0,COUNTIF($H$16:H203,"&gt;0"),"")</f>
        <v/>
      </c>
    </row>
    <row r="204" spans="1:9" s="56" customFormat="1">
      <c r="A204" s="69" t="s">
        <v>26</v>
      </c>
      <c r="B204" s="69" t="s">
        <v>419</v>
      </c>
      <c r="C204" s="69" t="s">
        <v>420</v>
      </c>
      <c r="D204" s="69">
        <v>6294015181234</v>
      </c>
      <c r="E204" s="69" t="s">
        <v>17</v>
      </c>
      <c r="F204" s="69" t="s">
        <v>14</v>
      </c>
      <c r="G204" s="83">
        <v>14662</v>
      </c>
      <c r="I204" s="38" t="str">
        <f>IF(H204&gt;0,COUNTIF($H$16:H204,"&gt;0"),"")</f>
        <v/>
      </c>
    </row>
    <row r="205" spans="1:9" s="56" customFormat="1">
      <c r="A205" s="69" t="s">
        <v>26</v>
      </c>
      <c r="B205" s="69" t="s">
        <v>421</v>
      </c>
      <c r="C205" s="69" t="s">
        <v>422</v>
      </c>
      <c r="D205" s="69">
        <v>6294015181227</v>
      </c>
      <c r="E205" s="69" t="s">
        <v>17</v>
      </c>
      <c r="F205" s="69" t="s">
        <v>14</v>
      </c>
      <c r="G205" s="83">
        <v>14662</v>
      </c>
      <c r="I205" s="38" t="str">
        <f>IF(H205&gt;0,COUNTIF($H$16:H205,"&gt;0"),"")</f>
        <v/>
      </c>
    </row>
    <row r="206" spans="1:9" s="56" customFormat="1">
      <c r="A206" s="69" t="s">
        <v>26</v>
      </c>
      <c r="B206" s="69" t="s">
        <v>423</v>
      </c>
      <c r="C206" s="69" t="s">
        <v>424</v>
      </c>
      <c r="D206" s="69">
        <v>6295199816967</v>
      </c>
      <c r="E206" s="69" t="s">
        <v>17</v>
      </c>
      <c r="F206" s="69" t="s">
        <v>14</v>
      </c>
      <c r="G206" s="83">
        <v>29381</v>
      </c>
      <c r="I206" s="38" t="str">
        <f>IF(H206&gt;0,COUNTIF($H$16:H206,"&gt;0"),"")</f>
        <v/>
      </c>
    </row>
    <row r="207" spans="1:9" s="56" customFormat="1">
      <c r="A207" s="69" t="s">
        <v>26</v>
      </c>
      <c r="B207" s="69" t="s">
        <v>425</v>
      </c>
      <c r="C207" s="69" t="s">
        <v>426</v>
      </c>
      <c r="D207" s="69">
        <v>6295199823941</v>
      </c>
      <c r="E207" s="69" t="s">
        <v>13</v>
      </c>
      <c r="F207" s="69" t="s">
        <v>14</v>
      </c>
      <c r="G207" s="83">
        <v>45458</v>
      </c>
      <c r="I207" s="38" t="str">
        <f>IF(H207&gt;0,COUNTIF($H$16:H207,"&gt;0"),"")</f>
        <v/>
      </c>
    </row>
    <row r="208" spans="1:9" s="56" customFormat="1">
      <c r="A208" s="69" t="s">
        <v>26</v>
      </c>
      <c r="B208" s="69" t="s">
        <v>29</v>
      </c>
      <c r="C208" s="69" t="s">
        <v>30</v>
      </c>
      <c r="D208" s="69">
        <v>6294015164176</v>
      </c>
      <c r="E208" s="69" t="s">
        <v>17</v>
      </c>
      <c r="F208" s="69" t="s">
        <v>14</v>
      </c>
      <c r="G208" s="83">
        <v>28775</v>
      </c>
      <c r="I208" s="38" t="str">
        <f>IF(H208&gt;0,COUNTIF($H$16:H208,"&gt;0"),"")</f>
        <v/>
      </c>
    </row>
    <row r="209" spans="1:9" s="56" customFormat="1">
      <c r="A209" s="69" t="s">
        <v>26</v>
      </c>
      <c r="B209" s="69" t="s">
        <v>427</v>
      </c>
      <c r="C209" s="69" t="s">
        <v>428</v>
      </c>
      <c r="D209" s="69">
        <v>6294015163513</v>
      </c>
      <c r="E209" s="69" t="s">
        <v>13</v>
      </c>
      <c r="F209" s="69" t="s">
        <v>14</v>
      </c>
      <c r="G209" s="83">
        <v>31936</v>
      </c>
      <c r="I209" s="38" t="str">
        <f>IF(H209&gt;0,COUNTIF($H$16:H209,"&gt;0"),"")</f>
        <v/>
      </c>
    </row>
    <row r="210" spans="1:9" s="56" customFormat="1">
      <c r="A210" s="69" t="s">
        <v>26</v>
      </c>
      <c r="B210" s="69" t="s">
        <v>429</v>
      </c>
      <c r="C210" s="69" t="s">
        <v>430</v>
      </c>
      <c r="D210" s="69">
        <v>6085010094151</v>
      </c>
      <c r="E210" s="69" t="s">
        <v>42</v>
      </c>
      <c r="F210" s="69" t="s">
        <v>14</v>
      </c>
      <c r="G210" s="83">
        <v>23841</v>
      </c>
      <c r="I210" s="38" t="str">
        <f>IF(H210&gt;0,COUNTIF($H$16:H210,"&gt;0"),"")</f>
        <v/>
      </c>
    </row>
    <row r="211" spans="1:9" s="56" customFormat="1">
      <c r="A211" s="69" t="s">
        <v>26</v>
      </c>
      <c r="B211" s="69" t="s">
        <v>431</v>
      </c>
      <c r="C211" s="69" t="s">
        <v>432</v>
      </c>
      <c r="D211" s="69">
        <v>6294015196627</v>
      </c>
      <c r="E211" s="69" t="s">
        <v>42</v>
      </c>
      <c r="F211" s="69" t="s">
        <v>14</v>
      </c>
      <c r="G211" s="83">
        <v>24706</v>
      </c>
      <c r="I211" s="38" t="str">
        <f>IF(H211&gt;0,COUNTIF($H$16:H211,"&gt;0"),"")</f>
        <v/>
      </c>
    </row>
    <row r="212" spans="1:9" s="56" customFormat="1">
      <c r="A212" s="69" t="s">
        <v>26</v>
      </c>
      <c r="B212" s="69" t="s">
        <v>433</v>
      </c>
      <c r="C212" s="69" t="s">
        <v>434</v>
      </c>
      <c r="D212" s="69">
        <v>6294015182828</v>
      </c>
      <c r="E212" s="69" t="s">
        <v>42</v>
      </c>
      <c r="F212" s="69" t="s">
        <v>14</v>
      </c>
      <c r="G212" s="83">
        <v>20201</v>
      </c>
      <c r="I212" s="38" t="str">
        <f>IF(H212&gt;0,COUNTIF($H$16:H212,"&gt;0"),"")</f>
        <v/>
      </c>
    </row>
    <row r="213" spans="1:9" s="56" customFormat="1">
      <c r="A213" s="69" t="s">
        <v>26</v>
      </c>
      <c r="B213" s="69" t="s">
        <v>435</v>
      </c>
      <c r="C213" s="69" t="s">
        <v>436</v>
      </c>
      <c r="D213" s="69">
        <v>6294015196450</v>
      </c>
      <c r="E213" s="69" t="s">
        <v>13</v>
      </c>
      <c r="F213" s="69" t="s">
        <v>14</v>
      </c>
      <c r="G213" s="83">
        <v>34014</v>
      </c>
      <c r="I213" s="38" t="str">
        <f>IF(H213&gt;0,COUNTIF($H$16:H213,"&gt;0"),"")</f>
        <v/>
      </c>
    </row>
    <row r="214" spans="1:9" s="56" customFormat="1">
      <c r="A214" s="69" t="s">
        <v>26</v>
      </c>
      <c r="B214" s="69" t="s">
        <v>437</v>
      </c>
      <c r="C214" s="69" t="s">
        <v>438</v>
      </c>
      <c r="D214" s="69">
        <v>6294015196467</v>
      </c>
      <c r="E214" s="69" t="s">
        <v>42</v>
      </c>
      <c r="F214" s="69" t="s">
        <v>14</v>
      </c>
      <c r="G214" s="83">
        <v>29381</v>
      </c>
      <c r="I214" s="38" t="str">
        <f>IF(H214&gt;0,COUNTIF($H$16:H214,"&gt;0"),"")</f>
        <v/>
      </c>
    </row>
    <row r="215" spans="1:9" s="56" customFormat="1">
      <c r="A215" s="69" t="s">
        <v>26</v>
      </c>
      <c r="B215" s="69" t="s">
        <v>439</v>
      </c>
      <c r="C215" s="69" t="s">
        <v>440</v>
      </c>
      <c r="D215" s="69">
        <v>6294015182811</v>
      </c>
      <c r="E215" s="69" t="s">
        <v>42</v>
      </c>
      <c r="F215" s="69" t="s">
        <v>14</v>
      </c>
      <c r="G215" s="83">
        <v>20288</v>
      </c>
      <c r="I215" s="38" t="str">
        <f>IF(H215&gt;0,COUNTIF($H$16:H215,"&gt;0"),"")</f>
        <v/>
      </c>
    </row>
    <row r="216" spans="1:9" s="56" customFormat="1">
      <c r="A216" s="69" t="s">
        <v>26</v>
      </c>
      <c r="B216" s="69" t="s">
        <v>441</v>
      </c>
      <c r="C216" s="69" t="s">
        <v>442</v>
      </c>
      <c r="D216" s="69">
        <v>6295199801116</v>
      </c>
      <c r="E216" s="69" t="s">
        <v>42</v>
      </c>
      <c r="F216" s="69" t="s">
        <v>14</v>
      </c>
      <c r="G216" s="83">
        <v>23841</v>
      </c>
      <c r="I216" s="38" t="str">
        <f>IF(H216&gt;0,COUNTIF($H$16:H216,"&gt;0"),"")</f>
        <v/>
      </c>
    </row>
    <row r="217" spans="1:9" s="56" customFormat="1">
      <c r="A217" s="69" t="s">
        <v>26</v>
      </c>
      <c r="B217" s="69" t="s">
        <v>443</v>
      </c>
      <c r="C217" s="69" t="s">
        <v>444</v>
      </c>
      <c r="D217" s="69">
        <v>6295199807712</v>
      </c>
      <c r="E217" s="69" t="s">
        <v>17</v>
      </c>
      <c r="F217" s="69" t="s">
        <v>14</v>
      </c>
      <c r="G217" s="83">
        <v>17779</v>
      </c>
      <c r="I217" s="38" t="str">
        <f>IF(H217&gt;0,COUNTIF($H$16:H217,"&gt;0"),"")</f>
        <v/>
      </c>
    </row>
    <row r="218" spans="1:9" s="56" customFormat="1">
      <c r="A218" s="69" t="s">
        <v>26</v>
      </c>
      <c r="B218" s="69" t="s">
        <v>445</v>
      </c>
      <c r="C218" s="69" t="s">
        <v>446</v>
      </c>
      <c r="D218" s="69">
        <v>6295199805664</v>
      </c>
      <c r="E218" s="69" t="s">
        <v>17</v>
      </c>
      <c r="F218" s="69" t="s">
        <v>14</v>
      </c>
      <c r="G218" s="83">
        <v>17605</v>
      </c>
      <c r="I218" s="38" t="str">
        <f>IF(H218&gt;0,COUNTIF($H$16:H218,"&gt;0"),"")</f>
        <v/>
      </c>
    </row>
    <row r="219" spans="1:9" s="56" customFormat="1">
      <c r="A219" s="69" t="s">
        <v>26</v>
      </c>
      <c r="B219" s="69" t="s">
        <v>447</v>
      </c>
      <c r="C219" s="69" t="s">
        <v>448</v>
      </c>
      <c r="D219" s="69">
        <v>6295199809525</v>
      </c>
      <c r="E219" s="69" t="s">
        <v>17</v>
      </c>
      <c r="F219" s="69" t="s">
        <v>14</v>
      </c>
      <c r="G219" s="83">
        <v>24447</v>
      </c>
      <c r="I219" s="38" t="str">
        <f>IF(H219&gt;0,COUNTIF($H$16:H219,"&gt;0"),"")</f>
        <v/>
      </c>
    </row>
    <row r="220" spans="1:9" s="56" customFormat="1">
      <c r="A220" s="69" t="s">
        <v>26</v>
      </c>
      <c r="B220" s="69" t="s">
        <v>27</v>
      </c>
      <c r="C220" s="69" t="s">
        <v>28</v>
      </c>
      <c r="D220" s="69">
        <v>6295199805022</v>
      </c>
      <c r="E220" s="69" t="s">
        <v>13</v>
      </c>
      <c r="F220" s="69" t="s">
        <v>14</v>
      </c>
      <c r="G220" s="83">
        <v>33408</v>
      </c>
      <c r="I220" s="38" t="str">
        <f>IF(H220&gt;0,COUNTIF($H$16:H220,"&gt;0"),"")</f>
        <v/>
      </c>
    </row>
    <row r="221" spans="1:9" s="56" customFormat="1">
      <c r="A221" s="69" t="s">
        <v>26</v>
      </c>
      <c r="B221" s="69" t="s">
        <v>449</v>
      </c>
      <c r="C221" s="69" t="s">
        <v>450</v>
      </c>
      <c r="D221" s="69">
        <v>6295199818459</v>
      </c>
      <c r="E221" s="69" t="s">
        <v>42</v>
      </c>
      <c r="F221" s="69" t="s">
        <v>14</v>
      </c>
      <c r="G221" s="83">
        <v>23755</v>
      </c>
      <c r="I221" s="38" t="str">
        <f>IF(H221&gt;0,COUNTIF($H$16:H221,"&gt;0"),"")</f>
        <v/>
      </c>
    </row>
    <row r="222" spans="1:9" s="56" customFormat="1">
      <c r="A222" s="69" t="s">
        <v>26</v>
      </c>
      <c r="B222" s="69" t="s">
        <v>451</v>
      </c>
      <c r="C222" s="69" t="s">
        <v>452</v>
      </c>
      <c r="D222" s="69">
        <v>6295199805787</v>
      </c>
      <c r="E222" s="69" t="s">
        <v>17</v>
      </c>
      <c r="F222" s="69" t="s">
        <v>14</v>
      </c>
      <c r="G222" s="83">
        <v>17779</v>
      </c>
      <c r="I222" s="38" t="str">
        <f>IF(H222&gt;0,COUNTIF($H$16:H222,"&gt;0"),"")</f>
        <v/>
      </c>
    </row>
    <row r="223" spans="1:9" s="56" customFormat="1">
      <c r="A223" s="69" t="s">
        <v>26</v>
      </c>
      <c r="B223" s="69" t="s">
        <v>453</v>
      </c>
      <c r="C223" s="69" t="s">
        <v>454</v>
      </c>
      <c r="D223" s="69">
        <v>6295199807705</v>
      </c>
      <c r="E223" s="69" t="s">
        <v>17</v>
      </c>
      <c r="F223" s="69" t="s">
        <v>14</v>
      </c>
      <c r="G223" s="83">
        <v>17605</v>
      </c>
      <c r="I223" s="38" t="str">
        <f>IF(H223&gt;0,COUNTIF($H$16:H223,"&gt;0"),"")</f>
        <v/>
      </c>
    </row>
    <row r="224" spans="1:9" s="56" customFormat="1">
      <c r="A224" s="69" t="s">
        <v>26</v>
      </c>
      <c r="B224" s="69" t="s">
        <v>455</v>
      </c>
      <c r="C224" s="69" t="s">
        <v>456</v>
      </c>
      <c r="D224" s="69">
        <v>6294015160734</v>
      </c>
      <c r="E224" s="69" t="s">
        <v>13</v>
      </c>
      <c r="F224" s="69" t="s">
        <v>14</v>
      </c>
      <c r="G224" s="83">
        <v>17691</v>
      </c>
      <c r="I224" s="38" t="str">
        <f>IF(H224&gt;0,COUNTIF($H$16:H224,"&gt;0"),"")</f>
        <v/>
      </c>
    </row>
    <row r="225" spans="1:9" s="56" customFormat="1">
      <c r="A225" s="69" t="s">
        <v>26</v>
      </c>
      <c r="B225" s="69" t="s">
        <v>457</v>
      </c>
      <c r="C225" s="69" t="s">
        <v>458</v>
      </c>
      <c r="D225" s="69">
        <v>6295199812068</v>
      </c>
      <c r="E225" s="69" t="s">
        <v>17</v>
      </c>
      <c r="F225" s="69" t="s">
        <v>14</v>
      </c>
      <c r="G225" s="83">
        <v>18125</v>
      </c>
      <c r="I225" s="38" t="str">
        <f>IF(H225&gt;0,COUNTIF($H$16:H225,"&gt;0"),"")</f>
        <v/>
      </c>
    </row>
    <row r="226" spans="1:9" s="56" customFormat="1">
      <c r="A226" s="69" t="s">
        <v>26</v>
      </c>
      <c r="B226" s="69" t="s">
        <v>459</v>
      </c>
      <c r="C226" s="69" t="s">
        <v>460</v>
      </c>
      <c r="D226" s="69">
        <v>6295199808665</v>
      </c>
      <c r="E226" s="69" t="s">
        <v>13</v>
      </c>
      <c r="F226" s="69" t="s">
        <v>14</v>
      </c>
      <c r="G226" s="83">
        <v>18125</v>
      </c>
      <c r="I226" s="38" t="str">
        <f>IF(H226&gt;0,COUNTIF($H$16:H226,"&gt;0"),"")</f>
        <v/>
      </c>
    </row>
    <row r="227" spans="1:9" s="56" customFormat="1">
      <c r="A227" s="69" t="s">
        <v>26</v>
      </c>
      <c r="B227" s="69" t="s">
        <v>461</v>
      </c>
      <c r="C227" s="69" t="s">
        <v>462</v>
      </c>
      <c r="D227" s="69">
        <v>6294015142327</v>
      </c>
      <c r="E227" s="69" t="s">
        <v>42</v>
      </c>
      <c r="F227" s="69" t="s">
        <v>69</v>
      </c>
      <c r="G227" s="83">
        <v>15788</v>
      </c>
      <c r="I227" s="38" t="str">
        <f>IF(H227&gt;0,COUNTIF($H$16:H227,"&gt;0"),"")</f>
        <v/>
      </c>
    </row>
    <row r="228" spans="1:9" s="56" customFormat="1">
      <c r="A228" s="69" t="s">
        <v>26</v>
      </c>
      <c r="B228" s="69" t="s">
        <v>463</v>
      </c>
      <c r="C228" s="69" t="s">
        <v>464</v>
      </c>
      <c r="D228" s="69">
        <v>6294015153354</v>
      </c>
      <c r="E228" s="69" t="s">
        <v>13</v>
      </c>
      <c r="F228" s="69" t="s">
        <v>69</v>
      </c>
      <c r="G228" s="83">
        <v>15442</v>
      </c>
      <c r="I228" s="38" t="str">
        <f>IF(H228&gt;0,COUNTIF($H$16:H228,"&gt;0"),"")</f>
        <v/>
      </c>
    </row>
    <row r="229" spans="1:9" s="56" customFormat="1">
      <c r="A229" s="69" t="s">
        <v>26</v>
      </c>
      <c r="B229" s="69" t="s">
        <v>465</v>
      </c>
      <c r="C229" s="69" t="s">
        <v>466</v>
      </c>
      <c r="D229" s="69">
        <v>6294015153347</v>
      </c>
      <c r="E229" s="69" t="s">
        <v>42</v>
      </c>
      <c r="F229" s="69" t="s">
        <v>69</v>
      </c>
      <c r="G229" s="83">
        <v>15788</v>
      </c>
      <c r="I229" s="38" t="str">
        <f>IF(H229&gt;0,COUNTIF($H$16:H229,"&gt;0"),"")</f>
        <v/>
      </c>
    </row>
    <row r="230" spans="1:9" s="56" customFormat="1">
      <c r="A230" s="69" t="s">
        <v>26</v>
      </c>
      <c r="B230" s="69" t="s">
        <v>467</v>
      </c>
      <c r="C230" s="69" t="s">
        <v>468</v>
      </c>
      <c r="D230" s="69">
        <v>6294015153330</v>
      </c>
      <c r="E230" s="69" t="s">
        <v>42</v>
      </c>
      <c r="F230" s="69" t="s">
        <v>69</v>
      </c>
      <c r="G230" s="83">
        <v>15355</v>
      </c>
      <c r="I230" s="38" t="str">
        <f>IF(H230&gt;0,COUNTIF($H$16:H230,"&gt;0"),"")</f>
        <v/>
      </c>
    </row>
    <row r="231" spans="1:9" s="56" customFormat="1">
      <c r="A231" s="69" t="s">
        <v>26</v>
      </c>
      <c r="B231" s="69" t="s">
        <v>469</v>
      </c>
      <c r="C231" s="69" t="s">
        <v>470</v>
      </c>
      <c r="D231" s="69">
        <v>6294015142334</v>
      </c>
      <c r="E231" s="69" t="s">
        <v>42</v>
      </c>
      <c r="F231" s="69" t="s">
        <v>69</v>
      </c>
      <c r="G231" s="83">
        <v>15701</v>
      </c>
      <c r="I231" s="38" t="str">
        <f>IF(H231&gt;0,COUNTIF($H$16:H231,"&gt;0"),"")</f>
        <v/>
      </c>
    </row>
    <row r="232" spans="1:9" s="56" customFormat="1">
      <c r="A232" s="69" t="s">
        <v>26</v>
      </c>
      <c r="B232" s="69" t="s">
        <v>471</v>
      </c>
      <c r="C232" s="69" t="s">
        <v>472</v>
      </c>
      <c r="D232" s="69">
        <v>6294015128888</v>
      </c>
      <c r="E232" s="69" t="s">
        <v>17</v>
      </c>
      <c r="F232" s="69" t="s">
        <v>69</v>
      </c>
      <c r="G232" s="83">
        <v>16653</v>
      </c>
      <c r="I232" s="38" t="str">
        <f>IF(H232&gt;0,COUNTIF($H$16:H232,"&gt;0"),"")</f>
        <v/>
      </c>
    </row>
    <row r="233" spans="1:9" s="56" customFormat="1" ht="30">
      <c r="A233" s="69" t="s">
        <v>26</v>
      </c>
      <c r="B233" s="69" t="s">
        <v>473</v>
      </c>
      <c r="C233" s="69" t="s">
        <v>474</v>
      </c>
      <c r="D233" s="69">
        <v>6294015175400</v>
      </c>
      <c r="E233" s="69" t="s">
        <v>17</v>
      </c>
      <c r="F233" s="69" t="s">
        <v>69</v>
      </c>
      <c r="G233" s="83">
        <v>42496</v>
      </c>
      <c r="I233" s="38" t="str">
        <f>IF(H233&gt;0,COUNTIF($H$16:H233,"&gt;0"),"")</f>
        <v/>
      </c>
    </row>
    <row r="234" spans="1:9" s="56" customFormat="1">
      <c r="A234" s="69" t="s">
        <v>475</v>
      </c>
      <c r="B234" s="69" t="s">
        <v>476</v>
      </c>
      <c r="C234" s="69" t="s">
        <v>477</v>
      </c>
      <c r="D234" s="69">
        <v>6290360599465</v>
      </c>
      <c r="E234" s="69" t="s">
        <v>13</v>
      </c>
      <c r="F234" s="69" t="s">
        <v>14</v>
      </c>
      <c r="G234" s="83">
        <v>11546</v>
      </c>
      <c r="I234" s="38" t="str">
        <f>IF(H234&gt;0,COUNTIF($H$16:H234,"&gt;0"),"")</f>
        <v/>
      </c>
    </row>
    <row r="235" spans="1:9" s="56" customFormat="1">
      <c r="A235" s="69" t="s">
        <v>475</v>
      </c>
      <c r="B235" s="69" t="s">
        <v>478</v>
      </c>
      <c r="C235" s="69" t="s">
        <v>479</v>
      </c>
      <c r="D235" s="69">
        <v>6290360590868</v>
      </c>
      <c r="E235" s="69" t="s">
        <v>42</v>
      </c>
      <c r="F235" s="69" t="s">
        <v>14</v>
      </c>
      <c r="G235" s="83">
        <v>11806</v>
      </c>
      <c r="I235" s="38" t="str">
        <f>IF(H235&gt;0,COUNTIF($H$16:H235,"&gt;0"),"")</f>
        <v/>
      </c>
    </row>
    <row r="236" spans="1:9" s="56" customFormat="1">
      <c r="A236" s="69" t="s">
        <v>475</v>
      </c>
      <c r="B236" s="69" t="s">
        <v>480</v>
      </c>
      <c r="C236" s="69" t="s">
        <v>481</v>
      </c>
      <c r="D236" s="69">
        <v>6290362345015</v>
      </c>
      <c r="E236" s="69" t="s">
        <v>42</v>
      </c>
      <c r="F236" s="69" t="s">
        <v>14</v>
      </c>
      <c r="G236" s="83">
        <v>9555</v>
      </c>
      <c r="I236" s="38" t="str">
        <f>IF(H236&gt;0,COUNTIF($H$16:H236,"&gt;0"),"")</f>
        <v/>
      </c>
    </row>
    <row r="237" spans="1:9" s="56" customFormat="1">
      <c r="A237" s="69" t="s">
        <v>475</v>
      </c>
      <c r="B237" s="69" t="s">
        <v>482</v>
      </c>
      <c r="C237" s="69" t="s">
        <v>483</v>
      </c>
      <c r="D237" s="69">
        <v>6290360591834</v>
      </c>
      <c r="E237" s="69" t="s">
        <v>42</v>
      </c>
      <c r="F237" s="69" t="s">
        <v>14</v>
      </c>
      <c r="G237" s="83">
        <v>12325</v>
      </c>
      <c r="I237" s="38" t="str">
        <f>IF(H237&gt;0,COUNTIF($H$16:H237,"&gt;0"),"")</f>
        <v/>
      </c>
    </row>
    <row r="238" spans="1:9" s="56" customFormat="1">
      <c r="A238" s="69" t="s">
        <v>475</v>
      </c>
      <c r="B238" s="69" t="s">
        <v>484</v>
      </c>
      <c r="C238" s="69" t="s">
        <v>485</v>
      </c>
      <c r="D238" s="69">
        <v>6290362345190</v>
      </c>
      <c r="E238" s="69" t="s">
        <v>17</v>
      </c>
      <c r="F238" s="69" t="s">
        <v>14</v>
      </c>
      <c r="G238" s="83">
        <v>13624</v>
      </c>
      <c r="I238" s="38" t="str">
        <f>IF(H238&gt;0,COUNTIF($H$16:H238,"&gt;0"),"")</f>
        <v/>
      </c>
    </row>
    <row r="239" spans="1:9" s="56" customFormat="1">
      <c r="A239" s="69" t="s">
        <v>475</v>
      </c>
      <c r="B239" s="69" t="s">
        <v>486</v>
      </c>
      <c r="C239" s="69" t="s">
        <v>487</v>
      </c>
      <c r="D239" s="69">
        <v>6290362345183</v>
      </c>
      <c r="E239" s="69" t="s">
        <v>13</v>
      </c>
      <c r="F239" s="69" t="s">
        <v>14</v>
      </c>
      <c r="G239" s="83">
        <v>14229</v>
      </c>
      <c r="I239" s="38" t="str">
        <f>IF(H239&gt;0,COUNTIF($H$16:H239,"&gt;0"),"")</f>
        <v/>
      </c>
    </row>
    <row r="240" spans="1:9" s="56" customFormat="1">
      <c r="A240" s="69" t="s">
        <v>475</v>
      </c>
      <c r="B240" s="69" t="s">
        <v>488</v>
      </c>
      <c r="C240" s="69" t="s">
        <v>489</v>
      </c>
      <c r="D240" s="69">
        <v>6290362345152</v>
      </c>
      <c r="E240" s="69" t="s">
        <v>13</v>
      </c>
      <c r="F240" s="69" t="s">
        <v>14</v>
      </c>
      <c r="G240" s="83">
        <v>14662</v>
      </c>
      <c r="I240" s="38" t="str">
        <f>IF(H240&gt;0,COUNTIF($H$16:H240,"&gt;0"),"")</f>
        <v/>
      </c>
    </row>
    <row r="241" spans="1:9" s="56" customFormat="1">
      <c r="A241" s="69" t="s">
        <v>475</v>
      </c>
      <c r="B241" s="69" t="s">
        <v>490</v>
      </c>
      <c r="C241" s="69" t="s">
        <v>491</v>
      </c>
      <c r="D241" s="69">
        <v>6290362341062</v>
      </c>
      <c r="E241" s="69" t="s">
        <v>42</v>
      </c>
      <c r="F241" s="69" t="s">
        <v>14</v>
      </c>
      <c r="G241" s="83">
        <v>14229</v>
      </c>
      <c r="I241" s="38" t="str">
        <f>IF(H241&gt;0,COUNTIF($H$16:H241,"&gt;0"),"")</f>
        <v/>
      </c>
    </row>
    <row r="242" spans="1:9" s="56" customFormat="1">
      <c r="A242" s="69" t="s">
        <v>492</v>
      </c>
      <c r="B242" s="69" t="s">
        <v>493</v>
      </c>
      <c r="C242" s="69" t="s">
        <v>494</v>
      </c>
      <c r="D242" s="69">
        <v>6291108327531</v>
      </c>
      <c r="E242" s="69" t="s">
        <v>17</v>
      </c>
      <c r="F242" s="69" t="s">
        <v>14</v>
      </c>
      <c r="G242" s="83">
        <v>10681</v>
      </c>
      <c r="I242" s="38" t="str">
        <f>IF(H242&gt;0,COUNTIF($H$16:H242,"&gt;0"),"")</f>
        <v/>
      </c>
    </row>
    <row r="243" spans="1:9" s="56" customFormat="1">
      <c r="A243" s="69" t="s">
        <v>495</v>
      </c>
      <c r="B243" s="69" t="s">
        <v>496</v>
      </c>
      <c r="C243" s="69" t="s">
        <v>497</v>
      </c>
      <c r="D243" s="69">
        <v>6290362163534</v>
      </c>
      <c r="E243" s="69" t="s">
        <v>42</v>
      </c>
      <c r="F243" s="69" t="s">
        <v>14</v>
      </c>
      <c r="G243" s="83">
        <v>13883</v>
      </c>
      <c r="I243" s="38" t="str">
        <f>IF(H243&gt;0,COUNTIF($H$16:H243,"&gt;0"),"")</f>
        <v/>
      </c>
    </row>
    <row r="244" spans="1:9" s="56" customFormat="1">
      <c r="A244" s="69" t="s">
        <v>498</v>
      </c>
      <c r="B244" s="69" t="s">
        <v>499</v>
      </c>
      <c r="C244" s="69" t="s">
        <v>500</v>
      </c>
      <c r="D244" s="69">
        <v>6290360832159</v>
      </c>
      <c r="E244" s="69" t="s">
        <v>17</v>
      </c>
      <c r="F244" s="69" t="s">
        <v>14</v>
      </c>
      <c r="G244" s="83">
        <v>15528</v>
      </c>
      <c r="I244" s="38" t="str">
        <f>IF(H244&gt;0,COUNTIF($H$16:H244,"&gt;0"),"")</f>
        <v/>
      </c>
    </row>
    <row r="245" spans="1:9" s="56" customFormat="1">
      <c r="A245" s="69" t="s">
        <v>31</v>
      </c>
      <c r="B245" s="69" t="s">
        <v>501</v>
      </c>
      <c r="C245" s="69" t="s">
        <v>502</v>
      </c>
      <c r="D245" s="69">
        <v>3614273667418</v>
      </c>
      <c r="E245" s="69" t="s">
        <v>13</v>
      </c>
      <c r="F245" s="69" t="s">
        <v>14</v>
      </c>
      <c r="G245" s="83">
        <v>19596</v>
      </c>
      <c r="I245" s="38" t="str">
        <f>IF(H245&gt;0,COUNTIF($H$16:H245,"&gt;0"),"")</f>
        <v/>
      </c>
    </row>
    <row r="246" spans="1:9" s="56" customFormat="1">
      <c r="A246" s="69" t="s">
        <v>31</v>
      </c>
      <c r="B246" s="69" t="s">
        <v>503</v>
      </c>
      <c r="C246" s="69" t="s">
        <v>504</v>
      </c>
      <c r="D246" s="69">
        <v>3614274129281</v>
      </c>
      <c r="E246" s="69" t="s">
        <v>13</v>
      </c>
      <c r="F246" s="69" t="s">
        <v>14</v>
      </c>
      <c r="G246" s="83">
        <v>41198</v>
      </c>
      <c r="I246" s="38" t="str">
        <f>IF(H246&gt;0,COUNTIF($H$16:H246,"&gt;0"),"")</f>
        <v/>
      </c>
    </row>
    <row r="247" spans="1:9" s="56" customFormat="1">
      <c r="A247" s="69" t="s">
        <v>31</v>
      </c>
      <c r="B247" s="69" t="s">
        <v>505</v>
      </c>
      <c r="C247" s="69" t="s">
        <v>506</v>
      </c>
      <c r="D247" s="69">
        <v>3614274129267</v>
      </c>
      <c r="E247" s="69" t="s">
        <v>13</v>
      </c>
      <c r="F247" s="69" t="s">
        <v>14</v>
      </c>
      <c r="G247" s="83">
        <v>32801</v>
      </c>
      <c r="I247" s="38" t="str">
        <f>IF(H247&gt;0,COUNTIF($H$16:H247,"&gt;0"),"")</f>
        <v/>
      </c>
    </row>
    <row r="248" spans="1:9" s="56" customFormat="1">
      <c r="A248" s="69" t="s">
        <v>31</v>
      </c>
      <c r="B248" s="69" t="s">
        <v>507</v>
      </c>
      <c r="C248" s="69" t="s">
        <v>508</v>
      </c>
      <c r="D248" s="69">
        <v>3614274490770</v>
      </c>
      <c r="E248" s="69" t="s">
        <v>13</v>
      </c>
      <c r="F248" s="69" t="s">
        <v>14</v>
      </c>
      <c r="G248" s="83">
        <v>70992</v>
      </c>
      <c r="I248" s="38" t="str">
        <f>IF(H248&gt;0,COUNTIF($H$16:H248,"&gt;0"),"")</f>
        <v/>
      </c>
    </row>
    <row r="249" spans="1:9" s="56" customFormat="1">
      <c r="A249" s="69" t="s">
        <v>31</v>
      </c>
      <c r="B249" s="69" t="s">
        <v>32</v>
      </c>
      <c r="C249" s="69" t="s">
        <v>33</v>
      </c>
      <c r="D249" s="69">
        <v>3614273903172</v>
      </c>
      <c r="E249" s="69" t="s">
        <v>13</v>
      </c>
      <c r="F249" s="69" t="s">
        <v>14</v>
      </c>
      <c r="G249" s="83">
        <v>40418</v>
      </c>
      <c r="I249" s="38" t="str">
        <f>IF(H249&gt;0,COUNTIF($H$16:H249,"&gt;0"),"")</f>
        <v/>
      </c>
    </row>
    <row r="250" spans="1:9" s="56" customFormat="1">
      <c r="A250" s="69" t="s">
        <v>31</v>
      </c>
      <c r="B250" s="69" t="s">
        <v>509</v>
      </c>
      <c r="C250" s="69" t="s">
        <v>510</v>
      </c>
      <c r="D250" s="69">
        <v>3614273905428</v>
      </c>
      <c r="E250" s="69" t="s">
        <v>13</v>
      </c>
      <c r="F250" s="69" t="s">
        <v>14</v>
      </c>
      <c r="G250" s="83">
        <v>33235</v>
      </c>
      <c r="I250" s="38" t="str">
        <f>IF(H250&gt;0,COUNTIF($H$16:H250,"&gt;0"),"")</f>
        <v/>
      </c>
    </row>
    <row r="251" spans="1:9" s="56" customFormat="1">
      <c r="A251" s="69" t="s">
        <v>31</v>
      </c>
      <c r="B251" s="69" t="s">
        <v>511</v>
      </c>
      <c r="C251" s="69" t="s">
        <v>512</v>
      </c>
      <c r="D251" s="69">
        <v>3614274490244</v>
      </c>
      <c r="E251" s="69" t="s">
        <v>13</v>
      </c>
      <c r="F251" s="69" t="s">
        <v>14</v>
      </c>
      <c r="G251" s="83">
        <v>64154</v>
      </c>
      <c r="I251" s="38" t="str">
        <f>IF(H251&gt;0,COUNTIF($H$16:H251,"&gt;0"),"")</f>
        <v/>
      </c>
    </row>
    <row r="252" spans="1:9" s="56" customFormat="1">
      <c r="A252" s="69" t="s">
        <v>31</v>
      </c>
      <c r="B252" s="69" t="s">
        <v>513</v>
      </c>
      <c r="C252" s="69" t="s">
        <v>514</v>
      </c>
      <c r="D252" s="69">
        <v>3614273521345</v>
      </c>
      <c r="E252" s="69" t="s">
        <v>13</v>
      </c>
      <c r="F252" s="69" t="s">
        <v>14</v>
      </c>
      <c r="G252" s="83">
        <v>42150</v>
      </c>
      <c r="I252" s="38" t="str">
        <f>IF(H252&gt;0,COUNTIF($H$16:H252,"&gt;0"),"")</f>
        <v/>
      </c>
    </row>
    <row r="253" spans="1:9" s="56" customFormat="1">
      <c r="A253" s="69" t="s">
        <v>515</v>
      </c>
      <c r="B253" s="69" t="s">
        <v>516</v>
      </c>
      <c r="C253" s="69" t="s">
        <v>517</v>
      </c>
      <c r="D253" s="69">
        <v>8433982026003</v>
      </c>
      <c r="E253" s="69" t="s">
        <v>42</v>
      </c>
      <c r="F253" s="69" t="s">
        <v>69</v>
      </c>
      <c r="G253" s="83">
        <v>12845</v>
      </c>
      <c r="I253" s="38" t="str">
        <f>IF(H253&gt;0,COUNTIF($H$16:H253,"&gt;0"),"")</f>
        <v/>
      </c>
    </row>
    <row r="254" spans="1:9" s="56" customFormat="1">
      <c r="A254" s="69" t="s">
        <v>515</v>
      </c>
      <c r="B254" s="69" t="s">
        <v>518</v>
      </c>
      <c r="C254" s="69" t="s">
        <v>519</v>
      </c>
      <c r="D254" s="69">
        <v>8433982025952</v>
      </c>
      <c r="E254" s="69" t="s">
        <v>42</v>
      </c>
      <c r="F254" s="69" t="s">
        <v>69</v>
      </c>
      <c r="G254" s="83">
        <v>11892</v>
      </c>
      <c r="I254" s="38" t="str">
        <f>IF(H254&gt;0,COUNTIF($H$16:H254,"&gt;0"),"")</f>
        <v/>
      </c>
    </row>
    <row r="255" spans="1:9" s="56" customFormat="1">
      <c r="A255" s="69" t="s">
        <v>515</v>
      </c>
      <c r="B255" s="69" t="s">
        <v>520</v>
      </c>
      <c r="C255" s="69" t="s">
        <v>521</v>
      </c>
      <c r="D255" s="69">
        <v>8433982027444</v>
      </c>
      <c r="E255" s="69" t="s">
        <v>13</v>
      </c>
      <c r="F255" s="69" t="s">
        <v>69</v>
      </c>
      <c r="G255" s="83">
        <v>11892</v>
      </c>
      <c r="I255" s="38" t="str">
        <f>IF(H255&gt;0,COUNTIF($H$16:H255,"&gt;0"),"")</f>
        <v/>
      </c>
    </row>
    <row r="256" spans="1:9" s="56" customFormat="1">
      <c r="A256" s="69" t="s">
        <v>522</v>
      </c>
      <c r="B256" s="69" t="s">
        <v>523</v>
      </c>
      <c r="C256" s="69" t="s">
        <v>524</v>
      </c>
      <c r="D256" s="69">
        <v>7640171193403</v>
      </c>
      <c r="E256" s="69" t="s">
        <v>13</v>
      </c>
      <c r="F256" s="69" t="s">
        <v>14</v>
      </c>
      <c r="G256" s="83">
        <v>20028</v>
      </c>
      <c r="I256" s="38" t="str">
        <f>IF(H256&gt;0,COUNTIF($H$16:H256,"&gt;0"),"")</f>
        <v/>
      </c>
    </row>
    <row r="257" spans="1:9" s="56" customFormat="1">
      <c r="A257" s="69" t="s">
        <v>23</v>
      </c>
      <c r="B257" s="69" t="s">
        <v>24</v>
      </c>
      <c r="C257" s="69" t="s">
        <v>25</v>
      </c>
      <c r="D257" s="69">
        <v>850050062677</v>
      </c>
      <c r="E257" s="69" t="s">
        <v>13</v>
      </c>
      <c r="F257" s="69" t="s">
        <v>14</v>
      </c>
      <c r="G257" s="83">
        <v>54892</v>
      </c>
      <c r="I257" s="38" t="str">
        <f>IF(H257&gt;0,COUNTIF($H$16:H257,"&gt;0"),"")</f>
        <v/>
      </c>
    </row>
    <row r="258" spans="1:9" s="56" customFormat="1">
      <c r="A258" s="69" t="s">
        <v>525</v>
      </c>
      <c r="B258" s="69" t="s">
        <v>526</v>
      </c>
      <c r="C258" s="69" t="s">
        <v>527</v>
      </c>
      <c r="D258" s="69">
        <v>608940583753</v>
      </c>
      <c r="E258" s="69" t="s">
        <v>17</v>
      </c>
      <c r="F258" s="69" t="s">
        <v>14</v>
      </c>
      <c r="G258" s="83">
        <v>34965</v>
      </c>
      <c r="I258" s="38" t="str">
        <f>IF(H258&gt;0,COUNTIF($H$16:H258,"&gt;0"),"")</f>
        <v/>
      </c>
    </row>
    <row r="259" spans="1:9" s="56" customFormat="1">
      <c r="A259" s="69" t="s">
        <v>525</v>
      </c>
      <c r="B259" s="69" t="s">
        <v>528</v>
      </c>
      <c r="C259" s="69" t="s">
        <v>529</v>
      </c>
      <c r="D259" s="69"/>
      <c r="E259" s="69" t="s">
        <v>42</v>
      </c>
      <c r="F259" s="69" t="s">
        <v>14</v>
      </c>
      <c r="G259" s="83">
        <v>37735</v>
      </c>
      <c r="I259" s="38" t="str">
        <f>IF(H259&gt;0,COUNTIF($H$16:H259,"&gt;0"),"")</f>
        <v/>
      </c>
    </row>
    <row r="260" spans="1:9" s="56" customFormat="1">
      <c r="A260" s="69" t="s">
        <v>525</v>
      </c>
      <c r="B260" s="69" t="s">
        <v>530</v>
      </c>
      <c r="C260" s="69" t="s">
        <v>531</v>
      </c>
      <c r="D260" s="69">
        <v>608940588741</v>
      </c>
      <c r="E260" s="69" t="s">
        <v>17</v>
      </c>
      <c r="F260" s="69" t="s">
        <v>14</v>
      </c>
      <c r="G260" s="83">
        <v>40679</v>
      </c>
      <c r="I260" s="38" t="str">
        <f>IF(H260&gt;0,COUNTIF($H$16:H260,"&gt;0"),"")</f>
        <v/>
      </c>
    </row>
    <row r="261" spans="1:9" s="56" customFormat="1">
      <c r="A261" s="69" t="s">
        <v>525</v>
      </c>
      <c r="B261" s="69" t="s">
        <v>532</v>
      </c>
      <c r="C261" s="69" t="s">
        <v>533</v>
      </c>
      <c r="D261" s="69">
        <v>608940587201</v>
      </c>
      <c r="E261" s="69" t="s">
        <v>17</v>
      </c>
      <c r="F261" s="69" t="s">
        <v>69</v>
      </c>
      <c r="G261" s="83">
        <v>22629</v>
      </c>
      <c r="I261" s="38" t="str">
        <f>IF(H261&gt;0,COUNTIF($H$16:H261,"&gt;0"),"")</f>
        <v/>
      </c>
    </row>
    <row r="262" spans="1:9" s="56" customFormat="1">
      <c r="A262" s="69" t="s">
        <v>534</v>
      </c>
      <c r="B262" s="69" t="s">
        <v>535</v>
      </c>
      <c r="C262" s="69" t="s">
        <v>536</v>
      </c>
      <c r="D262" s="69">
        <v>3386460114325</v>
      </c>
      <c r="E262" s="69" t="s">
        <v>42</v>
      </c>
      <c r="F262" s="69" t="s">
        <v>63</v>
      </c>
      <c r="G262" s="83">
        <v>17605</v>
      </c>
      <c r="I262" s="38" t="str">
        <f>IF(H262&gt;0,COUNTIF($H$16:H262,"&gt;0"),"")</f>
        <v/>
      </c>
    </row>
    <row r="263" spans="1:9" s="56" customFormat="1">
      <c r="A263" s="69" t="s">
        <v>537</v>
      </c>
      <c r="B263" s="69" t="s">
        <v>538</v>
      </c>
      <c r="C263" s="69" t="s">
        <v>539</v>
      </c>
      <c r="D263" s="69">
        <v>3614226905154</v>
      </c>
      <c r="E263" s="69" t="s">
        <v>13</v>
      </c>
      <c r="F263" s="69" t="s">
        <v>14</v>
      </c>
      <c r="G263" s="83">
        <v>31590</v>
      </c>
      <c r="I263" s="38" t="str">
        <f>IF(H263&gt;0,COUNTIF($H$16:H263,"&gt;0"),"")</f>
        <v/>
      </c>
    </row>
    <row r="264" spans="1:9" s="56" customFormat="1">
      <c r="A264" s="69" t="s">
        <v>537</v>
      </c>
      <c r="B264" s="69" t="s">
        <v>540</v>
      </c>
      <c r="C264" s="69" t="s">
        <v>541</v>
      </c>
      <c r="D264" s="69">
        <v>3616302020652</v>
      </c>
      <c r="E264" s="69" t="s">
        <v>42</v>
      </c>
      <c r="F264" s="69" t="s">
        <v>14</v>
      </c>
      <c r="G264" s="83">
        <v>77915</v>
      </c>
      <c r="I264" s="38" t="str">
        <f>IF(H264&gt;0,COUNTIF($H$16:H264,"&gt;0"),"")</f>
        <v/>
      </c>
    </row>
    <row r="265" spans="1:9" s="56" customFormat="1">
      <c r="A265" s="69" t="s">
        <v>537</v>
      </c>
      <c r="B265" s="69" t="s">
        <v>542</v>
      </c>
      <c r="C265" s="69" t="s">
        <v>543</v>
      </c>
      <c r="D265" s="69">
        <v>3616304967122</v>
      </c>
      <c r="E265" s="69" t="s">
        <v>42</v>
      </c>
      <c r="F265" s="69" t="s">
        <v>14</v>
      </c>
      <c r="G265" s="83">
        <v>80166</v>
      </c>
      <c r="I265" s="38" t="str">
        <f>IF(H265&gt;0,COUNTIF($H$16:H265,"&gt;0"),"")</f>
        <v/>
      </c>
    </row>
    <row r="266" spans="1:9" s="56" customFormat="1">
      <c r="A266" s="69" t="s">
        <v>537</v>
      </c>
      <c r="B266" s="69" t="s">
        <v>544</v>
      </c>
      <c r="C266" s="69" t="s">
        <v>545</v>
      </c>
      <c r="D266" s="69">
        <v>3614227693920</v>
      </c>
      <c r="E266" s="69" t="s">
        <v>42</v>
      </c>
      <c r="F266" s="69" t="s">
        <v>14</v>
      </c>
      <c r="G266" s="83">
        <v>62163</v>
      </c>
      <c r="I266" s="38" t="str">
        <f>IF(H266&gt;0,COUNTIF($H$16:H266,"&gt;0"),"")</f>
        <v/>
      </c>
    </row>
    <row r="267" spans="1:9" s="56" customFormat="1">
      <c r="A267" s="69" t="s">
        <v>537</v>
      </c>
      <c r="B267" s="69" t="s">
        <v>546</v>
      </c>
      <c r="C267" s="69" t="s">
        <v>547</v>
      </c>
      <c r="D267" s="69">
        <v>3614228838016</v>
      </c>
      <c r="E267" s="69" t="s">
        <v>13</v>
      </c>
      <c r="F267" s="69" t="s">
        <v>14</v>
      </c>
      <c r="G267" s="83">
        <v>57056</v>
      </c>
      <c r="I267" s="38" t="str">
        <f>IF(H267&gt;0,COUNTIF($H$16:H267,"&gt;0"),"")</f>
        <v/>
      </c>
    </row>
    <row r="268" spans="1:9" s="56" customFormat="1">
      <c r="A268" s="69" t="s">
        <v>537</v>
      </c>
      <c r="B268" s="69" t="s">
        <v>548</v>
      </c>
      <c r="C268" s="69" t="s">
        <v>549</v>
      </c>
      <c r="D268" s="69">
        <v>3614229829006</v>
      </c>
      <c r="E268" s="69" t="s">
        <v>42</v>
      </c>
      <c r="F268" s="69" t="s">
        <v>14</v>
      </c>
      <c r="G268" s="83">
        <v>59393</v>
      </c>
      <c r="I268" s="38" t="str">
        <f>IF(H268&gt;0,COUNTIF($H$16:H268,"&gt;0"),"")</f>
        <v/>
      </c>
    </row>
    <row r="269" spans="1:9" s="56" customFormat="1">
      <c r="A269" s="69" t="s">
        <v>537</v>
      </c>
      <c r="B269" s="69" t="s">
        <v>550</v>
      </c>
      <c r="C269" s="69" t="s">
        <v>551</v>
      </c>
      <c r="D269" s="69">
        <v>3614227693876</v>
      </c>
      <c r="E269" s="69" t="s">
        <v>42</v>
      </c>
      <c r="F269" s="69" t="s">
        <v>14</v>
      </c>
      <c r="G269" s="83">
        <v>81724</v>
      </c>
      <c r="I269" s="38" t="str">
        <f>IF(H269&gt;0,COUNTIF($H$16:H269,"&gt;0"),"")</f>
        <v/>
      </c>
    </row>
    <row r="270" spans="1:9" s="56" customFormat="1">
      <c r="A270" s="69" t="s">
        <v>537</v>
      </c>
      <c r="B270" s="69" t="s">
        <v>552</v>
      </c>
      <c r="C270" s="69" t="s">
        <v>553</v>
      </c>
      <c r="D270" s="69">
        <v>3616305181060</v>
      </c>
      <c r="E270" s="69" t="s">
        <v>42</v>
      </c>
      <c r="F270" s="69" t="s">
        <v>14</v>
      </c>
      <c r="G270" s="83">
        <v>84927</v>
      </c>
      <c r="I270" s="38" t="str">
        <f>IF(H270&gt;0,COUNTIF($H$16:H270,"&gt;0"),"")</f>
        <v/>
      </c>
    </row>
    <row r="271" spans="1:9" s="56" customFormat="1">
      <c r="A271" s="69" t="s">
        <v>554</v>
      </c>
      <c r="B271" s="69" t="s">
        <v>555</v>
      </c>
      <c r="C271" s="69" t="s">
        <v>556</v>
      </c>
      <c r="D271" s="69">
        <v>783320412820</v>
      </c>
      <c r="E271" s="69" t="s">
        <v>42</v>
      </c>
      <c r="F271" s="69" t="s">
        <v>14</v>
      </c>
      <c r="G271" s="83">
        <v>41544</v>
      </c>
      <c r="I271" s="38" t="str">
        <f>IF(H271&gt;0,COUNTIF($H$16:H271,"&gt;0"),"")</f>
        <v/>
      </c>
    </row>
    <row r="272" spans="1:9" s="56" customFormat="1">
      <c r="A272" s="69" t="s">
        <v>557</v>
      </c>
      <c r="B272" s="69" t="s">
        <v>558</v>
      </c>
      <c r="C272" s="69" t="s">
        <v>559</v>
      </c>
      <c r="D272" s="69">
        <v>3360373016334</v>
      </c>
      <c r="E272" s="69" t="s">
        <v>42</v>
      </c>
      <c r="F272" s="69" t="s">
        <v>14</v>
      </c>
      <c r="G272" s="83">
        <v>15788</v>
      </c>
      <c r="I272" s="38" t="str">
        <f>IF(H272&gt;0,COUNTIF($H$16:H272,"&gt;0"),"")</f>
        <v/>
      </c>
    </row>
    <row r="273" spans="1:9" s="56" customFormat="1">
      <c r="A273" s="69" t="s">
        <v>557</v>
      </c>
      <c r="B273" s="69" t="s">
        <v>560</v>
      </c>
      <c r="C273" s="69" t="s">
        <v>561</v>
      </c>
      <c r="D273" s="69">
        <v>3614274304374</v>
      </c>
      <c r="E273" s="69" t="s">
        <v>42</v>
      </c>
      <c r="F273" s="69" t="s">
        <v>14</v>
      </c>
      <c r="G273" s="83">
        <v>17345</v>
      </c>
      <c r="I273" s="38" t="str">
        <f>IF(H273&gt;0,COUNTIF($H$16:H273,"&gt;0"),"")</f>
        <v/>
      </c>
    </row>
    <row r="274" spans="1:9" s="56" customFormat="1">
      <c r="A274" s="69" t="s">
        <v>557</v>
      </c>
      <c r="B274" s="69" t="s">
        <v>562</v>
      </c>
      <c r="C274" s="69" t="s">
        <v>563</v>
      </c>
      <c r="D274" s="69">
        <v>3360373063680</v>
      </c>
      <c r="E274" s="69" t="s">
        <v>42</v>
      </c>
      <c r="F274" s="69" t="s">
        <v>14</v>
      </c>
      <c r="G274" s="83">
        <v>26611</v>
      </c>
      <c r="I274" s="38" t="str">
        <f>IF(H274&gt;0,COUNTIF($H$16:H274,"&gt;0"),"")</f>
        <v/>
      </c>
    </row>
    <row r="275" spans="1:9" s="56" customFormat="1">
      <c r="A275" s="69" t="s">
        <v>557</v>
      </c>
      <c r="B275" s="69" t="s">
        <v>564</v>
      </c>
      <c r="C275" s="69" t="s">
        <v>565</v>
      </c>
      <c r="D275" s="69">
        <v>9656520015492</v>
      </c>
      <c r="E275" s="69" t="s">
        <v>42</v>
      </c>
      <c r="F275" s="69" t="s">
        <v>14</v>
      </c>
      <c r="G275" s="83">
        <v>17691</v>
      </c>
      <c r="I275" s="38" t="str">
        <f>IF(H275&gt;0,COUNTIF($H$16:H275,"&gt;0"),"")</f>
        <v/>
      </c>
    </row>
    <row r="276" spans="1:9" s="56" customFormat="1">
      <c r="A276" s="69" t="s">
        <v>557</v>
      </c>
      <c r="B276" s="69" t="s">
        <v>566</v>
      </c>
      <c r="C276" s="69" t="s">
        <v>567</v>
      </c>
      <c r="D276" s="69">
        <v>3360370512044</v>
      </c>
      <c r="E276" s="69" t="s">
        <v>42</v>
      </c>
      <c r="F276" s="69" t="s">
        <v>14</v>
      </c>
      <c r="G276" s="83">
        <v>15788</v>
      </c>
      <c r="I276" s="38" t="str">
        <f>IF(H276&gt;0,COUNTIF($H$16:H276,"&gt;0"),"")</f>
        <v/>
      </c>
    </row>
    <row r="277" spans="1:9" s="56" customFormat="1">
      <c r="A277" s="69" t="s">
        <v>557</v>
      </c>
      <c r="B277" s="69" t="s">
        <v>568</v>
      </c>
      <c r="C277" s="69" t="s">
        <v>569</v>
      </c>
      <c r="D277" s="69">
        <v>3614274304350</v>
      </c>
      <c r="E277" s="69" t="s">
        <v>42</v>
      </c>
      <c r="F277" s="69" t="s">
        <v>14</v>
      </c>
      <c r="G277" s="83">
        <v>37302</v>
      </c>
      <c r="I277" s="38" t="str">
        <f>IF(H277&gt;0,COUNTIF($H$16:H277,"&gt;0"),"")</f>
        <v/>
      </c>
    </row>
    <row r="278" spans="1:9" s="56" customFormat="1">
      <c r="A278" s="69" t="s">
        <v>557</v>
      </c>
      <c r="B278" s="69" t="s">
        <v>570</v>
      </c>
      <c r="C278" s="69" t="s">
        <v>571</v>
      </c>
      <c r="D278" s="69">
        <v>3614273756402</v>
      </c>
      <c r="E278" s="69" t="s">
        <v>42</v>
      </c>
      <c r="F278" s="69" t="s">
        <v>14</v>
      </c>
      <c r="G278" s="83">
        <v>14835</v>
      </c>
      <c r="I278" s="38" t="str">
        <f>IF(H278&gt;0,COUNTIF($H$16:H278,"&gt;0"),"")</f>
        <v/>
      </c>
    </row>
    <row r="279" spans="1:9" s="56" customFormat="1">
      <c r="A279" s="69" t="s">
        <v>34</v>
      </c>
      <c r="B279" s="69" t="s">
        <v>572</v>
      </c>
      <c r="C279" s="69" t="s">
        <v>573</v>
      </c>
      <c r="D279" s="69">
        <v>88300196944</v>
      </c>
      <c r="E279" s="69" t="s">
        <v>13</v>
      </c>
      <c r="F279" s="69" t="s">
        <v>14</v>
      </c>
      <c r="G279" s="83">
        <v>22110</v>
      </c>
      <c r="I279" s="38" t="str">
        <f>IF(H279&gt;0,COUNTIF($H$16:H279,"&gt;0"),"")</f>
        <v/>
      </c>
    </row>
    <row r="280" spans="1:9" s="56" customFormat="1">
      <c r="A280" s="69" t="s">
        <v>34</v>
      </c>
      <c r="B280" s="69" t="s">
        <v>574</v>
      </c>
      <c r="C280" s="69" t="s">
        <v>575</v>
      </c>
      <c r="D280" s="69">
        <v>88300139507</v>
      </c>
      <c r="E280" s="69" t="s">
        <v>42</v>
      </c>
      <c r="F280" s="69" t="s">
        <v>14</v>
      </c>
      <c r="G280" s="83">
        <v>24966</v>
      </c>
      <c r="I280" s="38" t="str">
        <f>IF(H280&gt;0,COUNTIF($H$16:H280,"&gt;0"),"")</f>
        <v/>
      </c>
    </row>
    <row r="281" spans="1:9" s="56" customFormat="1">
      <c r="A281" s="69" t="s">
        <v>34</v>
      </c>
      <c r="B281" s="69" t="s">
        <v>576</v>
      </c>
      <c r="C281" s="69" t="s">
        <v>577</v>
      </c>
      <c r="D281" s="69">
        <v>3614229656138</v>
      </c>
      <c r="E281" s="69" t="s">
        <v>17</v>
      </c>
      <c r="F281" s="69" t="s">
        <v>14</v>
      </c>
      <c r="G281" s="83">
        <v>14922</v>
      </c>
      <c r="I281" s="38" t="str">
        <f>IF(H281&gt;0,COUNTIF($H$16:H281,"&gt;0"),"")</f>
        <v/>
      </c>
    </row>
    <row r="282" spans="1:9" s="56" customFormat="1">
      <c r="A282" s="69" t="s">
        <v>34</v>
      </c>
      <c r="B282" s="69" t="s">
        <v>35</v>
      </c>
      <c r="C282" s="69" t="s">
        <v>36</v>
      </c>
      <c r="D282" s="69">
        <v>88300107438</v>
      </c>
      <c r="E282" s="69" t="s">
        <v>17</v>
      </c>
      <c r="F282" s="69" t="s">
        <v>14</v>
      </c>
      <c r="G282" s="83">
        <v>28168</v>
      </c>
      <c r="I282" s="38" t="str">
        <f>IF(H282&gt;0,COUNTIF($H$16:H282,"&gt;0"),"")</f>
        <v/>
      </c>
    </row>
    <row r="283" spans="1:9" s="56" customFormat="1">
      <c r="A283" s="69" t="s">
        <v>34</v>
      </c>
      <c r="B283" s="69" t="s">
        <v>578</v>
      </c>
      <c r="C283" s="69" t="s">
        <v>579</v>
      </c>
      <c r="D283" s="69">
        <v>3616305965639</v>
      </c>
      <c r="E283" s="69" t="s">
        <v>42</v>
      </c>
      <c r="F283" s="69" t="s">
        <v>14</v>
      </c>
      <c r="G283" s="83">
        <v>47448</v>
      </c>
      <c r="I283" s="38" t="str">
        <f>IF(H283&gt;0,COUNTIF($H$16:H283,"&gt;0"),"")</f>
        <v/>
      </c>
    </row>
    <row r="284" spans="1:9" s="56" customFormat="1">
      <c r="A284" s="69" t="s">
        <v>34</v>
      </c>
      <c r="B284" s="69" t="s">
        <v>580</v>
      </c>
      <c r="C284" s="69" t="s">
        <v>581</v>
      </c>
      <c r="D284" s="69">
        <v>88300178315</v>
      </c>
      <c r="E284" s="69" t="s">
        <v>13</v>
      </c>
      <c r="F284" s="69" t="s">
        <v>14</v>
      </c>
      <c r="G284" s="83">
        <v>18471</v>
      </c>
      <c r="I284" s="38" t="str">
        <f>IF(H284&gt;0,COUNTIF($H$16:H284,"&gt;0"),"")</f>
        <v/>
      </c>
    </row>
    <row r="285" spans="1:9" s="56" customFormat="1">
      <c r="A285" s="69" t="s">
        <v>34</v>
      </c>
      <c r="B285" s="69" t="s">
        <v>582</v>
      </c>
      <c r="C285" s="69" t="s">
        <v>583</v>
      </c>
      <c r="D285" s="69">
        <v>3616306701960</v>
      </c>
      <c r="E285" s="69" t="s">
        <v>42</v>
      </c>
      <c r="F285" s="69" t="s">
        <v>14</v>
      </c>
      <c r="G285" s="83">
        <v>47448</v>
      </c>
      <c r="I285" s="38" t="str">
        <f>IF(H285&gt;0,COUNTIF($H$16:H285,"&gt;0"),"")</f>
        <v/>
      </c>
    </row>
    <row r="286" spans="1:9" s="56" customFormat="1">
      <c r="A286" s="69" t="s">
        <v>34</v>
      </c>
      <c r="B286" s="69" t="s">
        <v>584</v>
      </c>
      <c r="C286" s="69" t="s">
        <v>585</v>
      </c>
      <c r="D286" s="69">
        <v>3616306701939</v>
      </c>
      <c r="E286" s="69" t="s">
        <v>17</v>
      </c>
      <c r="F286" s="69" t="s">
        <v>14</v>
      </c>
      <c r="G286" s="83">
        <v>23409</v>
      </c>
      <c r="I286" s="38" t="str">
        <f>IF(H286&gt;0,COUNTIF($H$16:H286,"&gt;0"),"")</f>
        <v/>
      </c>
    </row>
    <row r="287" spans="1:9" s="56" customFormat="1">
      <c r="A287" s="69" t="s">
        <v>43</v>
      </c>
      <c r="B287" s="69" t="s">
        <v>586</v>
      </c>
      <c r="C287" s="69" t="s">
        <v>587</v>
      </c>
      <c r="D287" s="69">
        <v>8411061865408</v>
      </c>
      <c r="E287" s="69" t="s">
        <v>42</v>
      </c>
      <c r="F287" s="69" t="s">
        <v>14</v>
      </c>
      <c r="G287" s="83">
        <v>65625</v>
      </c>
      <c r="I287" s="38" t="str">
        <f>IF(H287&gt;0,COUNTIF($H$16:H287,"&gt;0"),"")</f>
        <v/>
      </c>
    </row>
    <row r="288" spans="1:9" s="56" customFormat="1">
      <c r="A288" s="69" t="s">
        <v>43</v>
      </c>
      <c r="B288" s="69" t="s">
        <v>46</v>
      </c>
      <c r="C288" s="69" t="s">
        <v>47</v>
      </c>
      <c r="D288" s="69">
        <v>8411061043868</v>
      </c>
      <c r="E288" s="69" t="s">
        <v>13</v>
      </c>
      <c r="F288" s="69" t="s">
        <v>14</v>
      </c>
      <c r="G288" s="83">
        <v>61643</v>
      </c>
      <c r="I288" s="38" t="str">
        <f>IF(H288&gt;0,COUNTIF($H$16:H288,"&gt;0"),"")</f>
        <v/>
      </c>
    </row>
    <row r="289" spans="1:9" s="56" customFormat="1">
      <c r="A289" s="69" t="s">
        <v>43</v>
      </c>
      <c r="B289" s="69" t="s">
        <v>48</v>
      </c>
      <c r="C289" s="69" t="s">
        <v>49</v>
      </c>
      <c r="D289" s="69">
        <v>8411061853207</v>
      </c>
      <c r="E289" s="69" t="s">
        <v>13</v>
      </c>
      <c r="F289" s="69" t="s">
        <v>14</v>
      </c>
      <c r="G289" s="83">
        <v>90985</v>
      </c>
      <c r="I289" s="38" t="str">
        <f>IF(H289&gt;0,COUNTIF($H$16:H289,"&gt;0"),"")</f>
        <v/>
      </c>
    </row>
    <row r="290" spans="1:9" s="56" customFormat="1">
      <c r="A290" s="69" t="s">
        <v>43</v>
      </c>
      <c r="B290" s="69" t="s">
        <v>588</v>
      </c>
      <c r="C290" s="69" t="s">
        <v>589</v>
      </c>
      <c r="D290" s="69">
        <v>8411061088166</v>
      </c>
      <c r="E290" s="69" t="s">
        <v>13</v>
      </c>
      <c r="F290" s="69" t="s">
        <v>14</v>
      </c>
      <c r="G290" s="83">
        <v>64067</v>
      </c>
      <c r="I290" s="38" t="str">
        <f>IF(H290&gt;0,COUNTIF($H$16:H290,"&gt;0"),"")</f>
        <v/>
      </c>
    </row>
    <row r="291" spans="1:9" s="56" customFormat="1">
      <c r="A291" s="69" t="s">
        <v>43</v>
      </c>
      <c r="B291" s="69" t="s">
        <v>590</v>
      </c>
      <c r="C291" s="69" t="s">
        <v>591</v>
      </c>
      <c r="D291" s="69">
        <v>8411061088197</v>
      </c>
      <c r="E291" s="69" t="s">
        <v>42</v>
      </c>
      <c r="F291" s="69" t="s">
        <v>14</v>
      </c>
      <c r="G291" s="83">
        <v>73329</v>
      </c>
      <c r="I291" s="38" t="str">
        <f>IF(H291&gt;0,COUNTIF($H$16:H291,"&gt;0"),"")</f>
        <v/>
      </c>
    </row>
    <row r="292" spans="1:9" s="56" customFormat="1">
      <c r="A292" s="69" t="s">
        <v>43</v>
      </c>
      <c r="B292" s="69" t="s">
        <v>592</v>
      </c>
      <c r="C292" s="69" t="s">
        <v>593</v>
      </c>
      <c r="D292" s="69">
        <v>8411061099728</v>
      </c>
      <c r="E292" s="69" t="s">
        <v>13</v>
      </c>
      <c r="F292" s="69" t="s">
        <v>14</v>
      </c>
      <c r="G292" s="83">
        <v>66577</v>
      </c>
      <c r="I292" s="38" t="str">
        <f>IF(H292&gt;0,COUNTIF($H$16:H292,"&gt;0"),"")</f>
        <v/>
      </c>
    </row>
    <row r="293" spans="1:9" s="56" customFormat="1">
      <c r="A293" s="69" t="s">
        <v>43</v>
      </c>
      <c r="B293" s="69" t="s">
        <v>594</v>
      </c>
      <c r="C293" s="69" t="s">
        <v>595</v>
      </c>
      <c r="D293" s="69">
        <v>8411061896259</v>
      </c>
      <c r="E293" s="69" t="s">
        <v>13</v>
      </c>
      <c r="F293" s="69" t="s">
        <v>14</v>
      </c>
      <c r="G293" s="83">
        <v>50131</v>
      </c>
      <c r="I293" s="38" t="str">
        <f>IF(H293&gt;0,COUNTIF($H$16:H293,"&gt;0"),"")</f>
        <v/>
      </c>
    </row>
    <row r="294" spans="1:9" s="56" customFormat="1">
      <c r="A294" s="69" t="s">
        <v>43</v>
      </c>
      <c r="B294" s="69" t="s">
        <v>596</v>
      </c>
      <c r="C294" s="69" t="s">
        <v>597</v>
      </c>
      <c r="D294" s="69">
        <v>8411061099759</v>
      </c>
      <c r="E294" s="69" t="s">
        <v>13</v>
      </c>
      <c r="F294" s="69" t="s">
        <v>14</v>
      </c>
      <c r="G294" s="83">
        <v>75751</v>
      </c>
      <c r="I294" s="38" t="str">
        <f>IF(H294&gt;0,COUNTIF($H$16:H294,"&gt;0"),"")</f>
        <v/>
      </c>
    </row>
    <row r="295" spans="1:9" s="56" customFormat="1">
      <c r="A295" s="69" t="s">
        <v>43</v>
      </c>
      <c r="B295" s="69" t="s">
        <v>598</v>
      </c>
      <c r="C295" s="69" t="s">
        <v>599</v>
      </c>
      <c r="D295" s="69">
        <v>8411061057209</v>
      </c>
      <c r="E295" s="69" t="s">
        <v>13</v>
      </c>
      <c r="F295" s="69" t="s">
        <v>14</v>
      </c>
      <c r="G295" s="83">
        <v>81205</v>
      </c>
      <c r="I295" s="38" t="str">
        <f>IF(H295&gt;0,COUNTIF($H$16:H295,"&gt;0"),"")</f>
        <v/>
      </c>
    </row>
    <row r="296" spans="1:9" s="56" customFormat="1">
      <c r="A296" s="69" t="s">
        <v>43</v>
      </c>
      <c r="B296" s="69" t="s">
        <v>600</v>
      </c>
      <c r="C296" s="69" t="s">
        <v>601</v>
      </c>
      <c r="D296" s="69">
        <v>8411061063392</v>
      </c>
      <c r="E296" s="69" t="s">
        <v>13</v>
      </c>
      <c r="F296" s="69" t="s">
        <v>14</v>
      </c>
      <c r="G296" s="83">
        <v>69087</v>
      </c>
      <c r="I296" s="38" t="str">
        <f>IF(H296&gt;0,COUNTIF($H$16:H296,"&gt;0"),"")</f>
        <v/>
      </c>
    </row>
    <row r="297" spans="1:9" s="56" customFormat="1">
      <c r="A297" s="69" t="s">
        <v>43</v>
      </c>
      <c r="B297" s="69" t="s">
        <v>44</v>
      </c>
      <c r="C297" s="69" t="s">
        <v>45</v>
      </c>
      <c r="D297" s="69">
        <v>8411061055182</v>
      </c>
      <c r="E297" s="69" t="s">
        <v>13</v>
      </c>
      <c r="F297" s="69" t="s">
        <v>14</v>
      </c>
      <c r="G297" s="83">
        <v>33149</v>
      </c>
      <c r="I297" s="38" t="str">
        <f>IF(H297&gt;0,COUNTIF($H$16:H297,"&gt;0"),"")</f>
        <v/>
      </c>
    </row>
    <row r="298" spans="1:9" s="56" customFormat="1">
      <c r="A298" s="69" t="s">
        <v>43</v>
      </c>
      <c r="B298" s="69" t="s">
        <v>602</v>
      </c>
      <c r="C298" s="69" t="s">
        <v>603</v>
      </c>
      <c r="D298" s="69">
        <v>8411061055199</v>
      </c>
      <c r="E298" s="69" t="s">
        <v>42</v>
      </c>
      <c r="F298" s="69" t="s">
        <v>14</v>
      </c>
      <c r="G298" s="83">
        <v>49526</v>
      </c>
      <c r="I298" s="38" t="str">
        <f>IF(H298&gt;0,COUNTIF($H$16:H298,"&gt;0"),"")</f>
        <v/>
      </c>
    </row>
    <row r="299" spans="1:9" s="56" customFormat="1">
      <c r="A299" s="69" t="s">
        <v>43</v>
      </c>
      <c r="B299" s="69" t="s">
        <v>604</v>
      </c>
      <c r="C299" s="69" t="s">
        <v>605</v>
      </c>
      <c r="D299" s="69">
        <v>8411061056752</v>
      </c>
      <c r="E299" s="69" t="s">
        <v>42</v>
      </c>
      <c r="F299" s="69" t="s">
        <v>14</v>
      </c>
      <c r="G299" s="83">
        <v>87610</v>
      </c>
      <c r="I299" s="38" t="str">
        <f>IF(H299&gt;0,COUNTIF($H$16:H299,"&gt;0"),"")</f>
        <v/>
      </c>
    </row>
    <row r="300" spans="1:9" s="56" customFormat="1">
      <c r="A300" s="69" t="s">
        <v>43</v>
      </c>
      <c r="B300" s="69" t="s">
        <v>606</v>
      </c>
      <c r="C300" s="69" t="s">
        <v>607</v>
      </c>
      <c r="D300" s="69">
        <v>8411061092248</v>
      </c>
      <c r="E300" s="69" t="s">
        <v>42</v>
      </c>
      <c r="F300" s="69" t="s">
        <v>69</v>
      </c>
      <c r="G300" s="83">
        <v>49785</v>
      </c>
      <c r="I300" s="38" t="str">
        <f>IF(H300&gt;0,COUNTIF($H$16:H300,"&gt;0"),"")</f>
        <v/>
      </c>
    </row>
    <row r="301" spans="1:9" s="56" customFormat="1">
      <c r="A301" s="69" t="s">
        <v>43</v>
      </c>
      <c r="B301" s="69" t="s">
        <v>608</v>
      </c>
      <c r="C301" s="69" t="s">
        <v>609</v>
      </c>
      <c r="D301" s="69">
        <v>8411061067895</v>
      </c>
      <c r="E301" s="69" t="s">
        <v>42</v>
      </c>
      <c r="F301" s="69" t="s">
        <v>14</v>
      </c>
      <c r="G301" s="83">
        <v>71943</v>
      </c>
      <c r="I301" s="38" t="str">
        <f>IF(H301&gt;0,COUNTIF($H$16:H301,"&gt;0"),"")</f>
        <v/>
      </c>
    </row>
    <row r="302" spans="1:9" s="56" customFormat="1">
      <c r="A302" s="69" t="s">
        <v>43</v>
      </c>
      <c r="B302" s="69" t="s">
        <v>610</v>
      </c>
      <c r="C302" s="69" t="s">
        <v>611</v>
      </c>
      <c r="D302" s="69">
        <v>8411061105009</v>
      </c>
      <c r="E302" s="69" t="s">
        <v>13</v>
      </c>
      <c r="F302" s="69" t="s">
        <v>14</v>
      </c>
      <c r="G302" s="83">
        <v>63461</v>
      </c>
      <c r="I302" s="38" t="str">
        <f>IF(H302&gt;0,COUNTIF($H$16:H302,"&gt;0"),"")</f>
        <v/>
      </c>
    </row>
    <row r="303" spans="1:9" s="56" customFormat="1">
      <c r="A303" s="69" t="s">
        <v>43</v>
      </c>
      <c r="B303" s="69" t="s">
        <v>50</v>
      </c>
      <c r="C303" s="69" t="s">
        <v>51</v>
      </c>
      <c r="D303" s="69">
        <v>8411061124413</v>
      </c>
      <c r="E303" s="69" t="s">
        <v>42</v>
      </c>
      <c r="F303" s="69" t="s">
        <v>14</v>
      </c>
      <c r="G303" s="83">
        <v>53248</v>
      </c>
      <c r="I303" s="38" t="str">
        <f>IF(H303&gt;0,COUNTIF($H$16:H303,"&gt;0"),"")</f>
        <v/>
      </c>
    </row>
    <row r="304" spans="1:9" s="56" customFormat="1">
      <c r="A304" s="69" t="s">
        <v>43</v>
      </c>
      <c r="B304" s="69" t="s">
        <v>54</v>
      </c>
      <c r="C304" s="69" t="s">
        <v>55</v>
      </c>
      <c r="D304" s="69">
        <v>8411061106297</v>
      </c>
      <c r="E304" s="69" t="s">
        <v>13</v>
      </c>
      <c r="F304" s="69" t="s">
        <v>14</v>
      </c>
      <c r="G304" s="83">
        <v>59990</v>
      </c>
      <c r="I304" s="38" t="str">
        <f>IF(H304&gt;0,COUNTIF($H$16:H304,"&gt;0"),"")</f>
        <v/>
      </c>
    </row>
    <row r="305" spans="1:9" s="56" customFormat="1">
      <c r="A305" s="69" t="s">
        <v>43</v>
      </c>
      <c r="B305" s="69" t="s">
        <v>612</v>
      </c>
      <c r="C305" s="69" t="s">
        <v>53</v>
      </c>
      <c r="D305" s="69">
        <v>8411061063415</v>
      </c>
      <c r="E305" s="69" t="s">
        <v>13</v>
      </c>
      <c r="F305" s="69" t="s">
        <v>14</v>
      </c>
      <c r="G305" s="83">
        <v>36264</v>
      </c>
      <c r="I305" s="38" t="str">
        <f>IF(H305&gt;0,COUNTIF($H$16:H305,"&gt;0"),"")</f>
        <v/>
      </c>
    </row>
    <row r="306" spans="1:9" s="56" customFormat="1">
      <c r="A306" s="69" t="s">
        <v>43</v>
      </c>
      <c r="B306" s="69" t="s">
        <v>613</v>
      </c>
      <c r="C306" s="69" t="s">
        <v>614</v>
      </c>
      <c r="D306" s="69">
        <v>8411061083789</v>
      </c>
      <c r="E306" s="69" t="s">
        <v>13</v>
      </c>
      <c r="F306" s="69" t="s">
        <v>14</v>
      </c>
      <c r="G306" s="83">
        <v>65019</v>
      </c>
      <c r="I306" s="38" t="str">
        <f>IF(H306&gt;0,COUNTIF($H$16:H306,"&gt;0"),"")</f>
        <v/>
      </c>
    </row>
    <row r="307" spans="1:9" s="56" customFormat="1">
      <c r="A307" s="69" t="s">
        <v>43</v>
      </c>
      <c r="B307" s="69" t="s">
        <v>615</v>
      </c>
      <c r="C307" s="69" t="s">
        <v>616</v>
      </c>
      <c r="D307" s="69">
        <v>8411061002865</v>
      </c>
      <c r="E307" s="69" t="s">
        <v>13</v>
      </c>
      <c r="F307" s="69" t="s">
        <v>14</v>
      </c>
      <c r="G307" s="83">
        <v>65972</v>
      </c>
      <c r="I307" s="38" t="str">
        <f>IF(H307&gt;0,COUNTIF($H$16:H307,"&gt;0"),"")</f>
        <v/>
      </c>
    </row>
    <row r="308" spans="1:9" s="56" customFormat="1">
      <c r="A308" s="69" t="s">
        <v>43</v>
      </c>
      <c r="B308" s="69" t="s">
        <v>617</v>
      </c>
      <c r="C308" s="69" t="s">
        <v>618</v>
      </c>
      <c r="D308" s="69">
        <v>8411061056776</v>
      </c>
      <c r="E308" s="69" t="s">
        <v>42</v>
      </c>
      <c r="F308" s="69" t="s">
        <v>14</v>
      </c>
      <c r="G308" s="83">
        <v>50045</v>
      </c>
      <c r="I308" s="38" t="str">
        <f>IF(H308&gt;0,COUNTIF($H$16:H308,"&gt;0"),"")</f>
        <v/>
      </c>
    </row>
    <row r="309" spans="1:9" s="56" customFormat="1">
      <c r="A309" s="69" t="s">
        <v>43</v>
      </c>
      <c r="B309" s="69" t="s">
        <v>619</v>
      </c>
      <c r="C309" s="69" t="s">
        <v>620</v>
      </c>
      <c r="D309" s="69">
        <v>8411061026250</v>
      </c>
      <c r="E309" s="69" t="s">
        <v>42</v>
      </c>
      <c r="F309" s="69" t="s">
        <v>14</v>
      </c>
      <c r="G309" s="83">
        <v>65972</v>
      </c>
      <c r="I309" s="38" t="str">
        <f>IF(H309&gt;0,COUNTIF($H$16:H309,"&gt;0"),"")</f>
        <v/>
      </c>
    </row>
    <row r="310" spans="1:9" s="56" customFormat="1">
      <c r="A310" s="69" t="s">
        <v>43</v>
      </c>
      <c r="B310" s="69" t="s">
        <v>621</v>
      </c>
      <c r="C310" s="69" t="s">
        <v>622</v>
      </c>
      <c r="D310" s="69">
        <v>8411061026342</v>
      </c>
      <c r="E310" s="69" t="s">
        <v>42</v>
      </c>
      <c r="F310" s="69" t="s">
        <v>14</v>
      </c>
      <c r="G310" s="83">
        <v>78868</v>
      </c>
      <c r="I310" s="38" t="str">
        <f>IF(H310&gt;0,COUNTIF($H$16:H310,"&gt;0"),"")</f>
        <v/>
      </c>
    </row>
    <row r="311" spans="1:9" s="56" customFormat="1">
      <c r="A311" s="69" t="s">
        <v>43</v>
      </c>
      <c r="B311" s="69" t="s">
        <v>623</v>
      </c>
      <c r="C311" s="69" t="s">
        <v>624</v>
      </c>
      <c r="D311" s="69">
        <v>8411061077146</v>
      </c>
      <c r="E311" s="69" t="s">
        <v>42</v>
      </c>
      <c r="F311" s="69" t="s">
        <v>14</v>
      </c>
      <c r="G311" s="83">
        <v>53248</v>
      </c>
      <c r="I311" s="38" t="str">
        <f>IF(H311&gt;0,COUNTIF($H$16:H311,"&gt;0"),"")</f>
        <v/>
      </c>
    </row>
    <row r="312" spans="1:9" s="56" customFormat="1">
      <c r="A312" s="69" t="s">
        <v>43</v>
      </c>
      <c r="B312" s="69" t="s">
        <v>625</v>
      </c>
      <c r="C312" s="69" t="s">
        <v>626</v>
      </c>
      <c r="D312" s="69">
        <v>8411061077153</v>
      </c>
      <c r="E312" s="69" t="s">
        <v>42</v>
      </c>
      <c r="F312" s="69" t="s">
        <v>14</v>
      </c>
      <c r="G312" s="83">
        <v>75232</v>
      </c>
      <c r="I312" s="38" t="str">
        <f>IF(H312&gt;0,COUNTIF($H$16:H312,"&gt;0"),"")</f>
        <v/>
      </c>
    </row>
    <row r="313" spans="1:9" s="56" customFormat="1">
      <c r="A313" s="69" t="s">
        <v>43</v>
      </c>
      <c r="B313" s="69" t="s">
        <v>56</v>
      </c>
      <c r="C313" s="69" t="s">
        <v>57</v>
      </c>
      <c r="D313" s="69">
        <v>8411061077160</v>
      </c>
      <c r="E313" s="69" t="s">
        <v>42</v>
      </c>
      <c r="F313" s="69" t="s">
        <v>14</v>
      </c>
      <c r="G313" s="83">
        <v>88475</v>
      </c>
      <c r="I313" s="38" t="str">
        <f>IF(H313&gt;0,COUNTIF($H$16:H313,"&gt;0"),"")</f>
        <v/>
      </c>
    </row>
    <row r="314" spans="1:9" s="56" customFormat="1">
      <c r="A314" s="69" t="s">
        <v>43</v>
      </c>
      <c r="B314" s="69" t="s">
        <v>627</v>
      </c>
      <c r="C314" s="69" t="s">
        <v>628</v>
      </c>
      <c r="D314" s="69">
        <v>8411061134375</v>
      </c>
      <c r="E314" s="69" t="s">
        <v>13</v>
      </c>
      <c r="F314" s="69" t="s">
        <v>69</v>
      </c>
      <c r="G314" s="83">
        <v>64759</v>
      </c>
      <c r="I314" s="38" t="str">
        <f>IF(H314&gt;0,COUNTIF($H$16:H314,"&gt;0"),"")</f>
        <v/>
      </c>
    </row>
    <row r="315" spans="1:9" s="56" customFormat="1" ht="30">
      <c r="A315" s="69" t="s">
        <v>43</v>
      </c>
      <c r="B315" s="69" t="s">
        <v>629</v>
      </c>
      <c r="C315" s="69" t="s">
        <v>630</v>
      </c>
      <c r="D315" s="69">
        <v>8411061122655</v>
      </c>
      <c r="E315" s="69" t="s">
        <v>13</v>
      </c>
      <c r="F315" s="69" t="s">
        <v>69</v>
      </c>
      <c r="G315" s="83">
        <v>69260</v>
      </c>
      <c r="I315" s="38" t="str">
        <f>IF(H315&gt;0,COUNTIF($H$16:H315,"&gt;0"),"")</f>
        <v/>
      </c>
    </row>
    <row r="316" spans="1:9" s="56" customFormat="1">
      <c r="A316" s="69" t="s">
        <v>631</v>
      </c>
      <c r="B316" s="69" t="s">
        <v>632</v>
      </c>
      <c r="C316" s="69" t="s">
        <v>633</v>
      </c>
      <c r="D316" s="69">
        <v>8050612932222</v>
      </c>
      <c r="E316" s="69" t="s">
        <v>42</v>
      </c>
      <c r="F316" s="69" t="s">
        <v>14</v>
      </c>
      <c r="G316" s="83">
        <v>13018</v>
      </c>
      <c r="I316" s="38" t="str">
        <f>IF(H316&gt;0,COUNTIF($H$16:H316,"&gt;0"),"")</f>
        <v/>
      </c>
    </row>
    <row r="317" spans="1:9" s="56" customFormat="1">
      <c r="A317" s="69" t="s">
        <v>37</v>
      </c>
      <c r="B317" s="69" t="s">
        <v>634</v>
      </c>
      <c r="C317" s="69" t="s">
        <v>635</v>
      </c>
      <c r="D317" s="69">
        <v>3432240026873</v>
      </c>
      <c r="E317" s="69" t="s">
        <v>42</v>
      </c>
      <c r="F317" s="69" t="s">
        <v>63</v>
      </c>
      <c r="G317" s="83">
        <v>47362</v>
      </c>
      <c r="I317" s="38" t="str">
        <f>IF(H317&gt;0,COUNTIF($H$16:H317,"&gt;0"),"")</f>
        <v/>
      </c>
    </row>
    <row r="318" spans="1:9" s="56" customFormat="1">
      <c r="A318" s="69" t="s">
        <v>37</v>
      </c>
      <c r="B318" s="69" t="s">
        <v>636</v>
      </c>
      <c r="C318" s="69" t="s">
        <v>637</v>
      </c>
      <c r="D318" s="69">
        <v>3432240506283</v>
      </c>
      <c r="E318" s="69" t="s">
        <v>13</v>
      </c>
      <c r="F318" s="69" t="s">
        <v>14</v>
      </c>
      <c r="G318" s="83">
        <v>75319</v>
      </c>
      <c r="I318" s="38" t="str">
        <f>IF(H318&gt;0,COUNTIF($H$16:H318,"&gt;0"),"")</f>
        <v/>
      </c>
    </row>
    <row r="319" spans="1:9" s="56" customFormat="1">
      <c r="A319" s="69" t="s">
        <v>37</v>
      </c>
      <c r="B319" s="69" t="s">
        <v>38</v>
      </c>
      <c r="C319" s="69" t="s">
        <v>39</v>
      </c>
      <c r="D319" s="69">
        <v>3432240506306</v>
      </c>
      <c r="E319" s="69" t="s">
        <v>13</v>
      </c>
      <c r="F319" s="69" t="s">
        <v>14</v>
      </c>
      <c r="G319" s="83">
        <v>63288</v>
      </c>
      <c r="I319" s="38" t="str">
        <f>IF(H319&gt;0,COUNTIF($H$16:H319,"&gt;0"),"")</f>
        <v/>
      </c>
    </row>
    <row r="320" spans="1:9" s="56" customFormat="1">
      <c r="A320" s="69" t="s">
        <v>37</v>
      </c>
      <c r="B320" s="69" t="s">
        <v>40</v>
      </c>
      <c r="C320" s="69" t="s">
        <v>41</v>
      </c>
      <c r="D320" s="69">
        <v>3432240506641</v>
      </c>
      <c r="E320" s="69" t="s">
        <v>42</v>
      </c>
      <c r="F320" s="69" t="s">
        <v>14</v>
      </c>
      <c r="G320" s="83">
        <v>76791</v>
      </c>
      <c r="I320" s="38" t="str">
        <f>IF(H320&gt;0,COUNTIF($H$16:H320,"&gt;0"),"")</f>
        <v/>
      </c>
    </row>
    <row r="321" spans="1:9" s="56" customFormat="1">
      <c r="A321" s="69" t="s">
        <v>638</v>
      </c>
      <c r="B321" s="69" t="s">
        <v>639</v>
      </c>
      <c r="C321" s="69" t="s">
        <v>640</v>
      </c>
      <c r="D321" s="69" t="s">
        <v>640</v>
      </c>
      <c r="E321" s="69" t="s">
        <v>13</v>
      </c>
      <c r="F321" s="69" t="s">
        <v>14</v>
      </c>
      <c r="G321" s="83">
        <v>24101</v>
      </c>
      <c r="I321" s="38" t="str">
        <f>IF(H321&gt;0,COUNTIF($H$16:H321,"&gt;0"),"")</f>
        <v/>
      </c>
    </row>
    <row r="322" spans="1:9" s="56" customFormat="1">
      <c r="A322" s="69" t="s">
        <v>638</v>
      </c>
      <c r="B322" s="69" t="s">
        <v>641</v>
      </c>
      <c r="C322" s="69" t="s">
        <v>642</v>
      </c>
      <c r="D322" s="69" t="s">
        <v>642</v>
      </c>
      <c r="E322" s="69" t="s">
        <v>13</v>
      </c>
      <c r="F322" s="69" t="s">
        <v>63</v>
      </c>
      <c r="G322" s="83">
        <v>22283</v>
      </c>
      <c r="I322" s="38" t="str">
        <f>IF(H322&gt;0,COUNTIF($H$16:H322,"&gt;0"),"")</f>
        <v/>
      </c>
    </row>
    <row r="323" spans="1:9" s="56" customFormat="1">
      <c r="A323" s="69" t="s">
        <v>638</v>
      </c>
      <c r="B323" s="69" t="s">
        <v>643</v>
      </c>
      <c r="C323" s="69" t="s">
        <v>644</v>
      </c>
      <c r="D323" s="69" t="s">
        <v>644</v>
      </c>
      <c r="E323" s="69" t="s">
        <v>13</v>
      </c>
      <c r="F323" s="69" t="s">
        <v>63</v>
      </c>
      <c r="G323" s="83">
        <v>20635</v>
      </c>
      <c r="I323" s="38" t="str">
        <f>IF(H323&gt;0,COUNTIF($H$16:H323,"&gt;0"),"")</f>
        <v/>
      </c>
    </row>
    <row r="324" spans="1:9" s="56" customFormat="1">
      <c r="A324" s="69" t="s">
        <v>638</v>
      </c>
      <c r="B324" s="69" t="s">
        <v>645</v>
      </c>
      <c r="C324" s="69" t="s">
        <v>646</v>
      </c>
      <c r="D324" s="69">
        <v>20714156893</v>
      </c>
      <c r="E324" s="69" t="s">
        <v>42</v>
      </c>
      <c r="F324" s="69" t="s">
        <v>14</v>
      </c>
      <c r="G324" s="83">
        <v>25312</v>
      </c>
      <c r="I324" s="38" t="str">
        <f>IF(H324&gt;0,COUNTIF($H$16:H324,"&gt;0"),"")</f>
        <v/>
      </c>
    </row>
    <row r="325" spans="1:9" s="56" customFormat="1" ht="27.75" customHeight="1">
      <c r="A325" s="69" t="s">
        <v>638</v>
      </c>
      <c r="B325" s="69" t="s">
        <v>647</v>
      </c>
      <c r="C325" s="69" t="s">
        <v>648</v>
      </c>
      <c r="D325" s="69" t="s">
        <v>648</v>
      </c>
      <c r="E325" s="69" t="s">
        <v>42</v>
      </c>
      <c r="F325" s="69" t="s">
        <v>63</v>
      </c>
      <c r="G325" s="83">
        <v>22283</v>
      </c>
      <c r="I325" s="38" t="str">
        <f>IF(H325&gt;0,COUNTIF($H$16:H325,"&gt;0"),"")</f>
        <v/>
      </c>
    </row>
    <row r="326" spans="1:9" s="56" customFormat="1">
      <c r="A326" s="69" t="s">
        <v>58</v>
      </c>
      <c r="B326" s="69" t="s">
        <v>59</v>
      </c>
      <c r="C326" s="69" t="s">
        <v>60</v>
      </c>
      <c r="D326" s="69">
        <v>3386460113724</v>
      </c>
      <c r="E326" s="69" t="s">
        <v>13</v>
      </c>
      <c r="F326" s="69" t="s">
        <v>14</v>
      </c>
      <c r="G326" s="83">
        <v>33322</v>
      </c>
      <c r="I326" s="38" t="str">
        <f>IF(H326&gt;0,COUNTIF($H$16:H326,"&gt;0"),"")</f>
        <v/>
      </c>
    </row>
    <row r="327" spans="1:9" s="56" customFormat="1">
      <c r="A327" s="69" t="s">
        <v>58</v>
      </c>
      <c r="B327" s="69" t="s">
        <v>61</v>
      </c>
      <c r="C327" s="69" t="s">
        <v>62</v>
      </c>
      <c r="D327" s="69">
        <v>3386460113731</v>
      </c>
      <c r="E327" s="69" t="s">
        <v>13</v>
      </c>
      <c r="F327" s="69" t="s">
        <v>63</v>
      </c>
      <c r="G327" s="83">
        <v>24620</v>
      </c>
      <c r="I327" s="38" t="str">
        <f>IF(H327&gt;0,COUNTIF($H$16:H327,"&gt;0"),"")</f>
        <v/>
      </c>
    </row>
    <row r="328" spans="1:9" s="56" customFormat="1">
      <c r="A328" s="69" t="s">
        <v>58</v>
      </c>
      <c r="B328" s="69" t="s">
        <v>649</v>
      </c>
      <c r="C328" s="69" t="s">
        <v>650</v>
      </c>
      <c r="D328" s="69">
        <v>3386460123587</v>
      </c>
      <c r="E328" s="69" t="s">
        <v>42</v>
      </c>
      <c r="F328" s="69" t="s">
        <v>63</v>
      </c>
      <c r="G328" s="83">
        <v>32196</v>
      </c>
      <c r="I328" s="38" t="str">
        <f>IF(H328&gt;0,COUNTIF($H$16:H328,"&gt;0"),"")</f>
        <v/>
      </c>
    </row>
    <row r="329" spans="1:9" s="56" customFormat="1">
      <c r="A329" s="69" t="s">
        <v>58</v>
      </c>
      <c r="B329" s="69" t="s">
        <v>651</v>
      </c>
      <c r="C329" s="69" t="s">
        <v>652</v>
      </c>
      <c r="D329" s="69">
        <v>3386460113106</v>
      </c>
      <c r="E329" s="69" t="s">
        <v>42</v>
      </c>
      <c r="F329" s="69" t="s">
        <v>63</v>
      </c>
      <c r="G329" s="83">
        <v>25485</v>
      </c>
      <c r="I329" s="38" t="str">
        <f>IF(H329&gt;0,COUNTIF($H$16:H329,"&gt;0"),"")</f>
        <v/>
      </c>
    </row>
    <row r="330" spans="1:9" s="56" customFormat="1">
      <c r="A330" s="69" t="s">
        <v>58</v>
      </c>
      <c r="B330" s="69" t="s">
        <v>653</v>
      </c>
      <c r="C330" s="69" t="s">
        <v>654</v>
      </c>
      <c r="D330" s="69">
        <v>3386460109567</v>
      </c>
      <c r="E330" s="69" t="s">
        <v>42</v>
      </c>
      <c r="F330" s="69" t="s">
        <v>14</v>
      </c>
      <c r="G330" s="83">
        <v>27563</v>
      </c>
      <c r="I330" s="38" t="str">
        <f>IF(H330&gt;0,COUNTIF($H$16:H330,"&gt;0"),"")</f>
        <v/>
      </c>
    </row>
    <row r="331" spans="1:9" s="56" customFormat="1">
      <c r="A331" s="69" t="s">
        <v>58</v>
      </c>
      <c r="B331" s="69" t="s">
        <v>655</v>
      </c>
      <c r="C331" s="69" t="s">
        <v>656</v>
      </c>
      <c r="D331" s="69">
        <v>3386460086325</v>
      </c>
      <c r="E331" s="69" t="s">
        <v>13</v>
      </c>
      <c r="F331" s="69" t="s">
        <v>14</v>
      </c>
      <c r="G331" s="83">
        <v>34100</v>
      </c>
      <c r="I331" s="38" t="str">
        <f>IF(H331&gt;0,COUNTIF($H$16:H331,"&gt;0"),"")</f>
        <v/>
      </c>
    </row>
    <row r="332" spans="1:9" s="56" customFormat="1">
      <c r="A332" s="69" t="s">
        <v>58</v>
      </c>
      <c r="B332" s="69" t="s">
        <v>657</v>
      </c>
      <c r="C332" s="69" t="s">
        <v>658</v>
      </c>
      <c r="D332" s="69">
        <v>3386460086363</v>
      </c>
      <c r="E332" s="69" t="s">
        <v>13</v>
      </c>
      <c r="F332" s="69" t="s">
        <v>63</v>
      </c>
      <c r="G332" s="83">
        <v>28341</v>
      </c>
      <c r="I332" s="38" t="str">
        <f>IF(H332&gt;0,COUNTIF($H$16:H332,"&gt;0"),"")</f>
        <v/>
      </c>
    </row>
    <row r="333" spans="1:9" s="56" customFormat="1">
      <c r="A333" s="69" t="s">
        <v>58</v>
      </c>
      <c r="B333" s="69" t="s">
        <v>659</v>
      </c>
      <c r="C333" s="69" t="s">
        <v>660</v>
      </c>
      <c r="D333" s="69">
        <v>3386460152006</v>
      </c>
      <c r="E333" s="69" t="s">
        <v>42</v>
      </c>
      <c r="F333" s="69" t="s">
        <v>63</v>
      </c>
      <c r="G333" s="83">
        <v>32196</v>
      </c>
      <c r="I333" s="38" t="str">
        <f>IF(H333&gt;0,COUNTIF($H$16:H333,"&gt;0"),"")</f>
        <v/>
      </c>
    </row>
    <row r="334" spans="1:9" s="56" customFormat="1">
      <c r="A334" s="69" t="s">
        <v>58</v>
      </c>
      <c r="B334" s="69" t="s">
        <v>661</v>
      </c>
      <c r="C334" s="69" t="s">
        <v>662</v>
      </c>
      <c r="D334" s="69">
        <v>3386460151962</v>
      </c>
      <c r="E334" s="69" t="s">
        <v>42</v>
      </c>
      <c r="F334" s="69" t="s">
        <v>14</v>
      </c>
      <c r="G334" s="83">
        <v>35572</v>
      </c>
      <c r="I334" s="38" t="str">
        <f>IF(H334&gt;0,COUNTIF($H$16:H334,"&gt;0"),"")</f>
        <v/>
      </c>
    </row>
    <row r="335" spans="1:9" s="56" customFormat="1">
      <c r="A335" s="69" t="s">
        <v>58</v>
      </c>
      <c r="B335" s="69" t="s">
        <v>663</v>
      </c>
      <c r="C335" s="69" t="s">
        <v>664</v>
      </c>
      <c r="D335" s="69">
        <v>3386460123501</v>
      </c>
      <c r="E335" s="69" t="s">
        <v>42</v>
      </c>
      <c r="F335" s="69" t="s">
        <v>14</v>
      </c>
      <c r="G335" s="83">
        <v>35485</v>
      </c>
      <c r="I335" s="38" t="str">
        <f>IF(H335&gt;0,COUNTIF($H$16:H335,"&gt;0"),"")</f>
        <v/>
      </c>
    </row>
    <row r="336" spans="1:9" s="56" customFormat="1">
      <c r="A336" s="69" t="s">
        <v>58</v>
      </c>
      <c r="B336" s="69" t="s">
        <v>665</v>
      </c>
      <c r="C336" s="69" t="s">
        <v>666</v>
      </c>
      <c r="D336" s="69">
        <v>3386460142175</v>
      </c>
      <c r="E336" s="69" t="s">
        <v>42</v>
      </c>
      <c r="F336" s="69" t="s">
        <v>14</v>
      </c>
      <c r="G336" s="83">
        <v>37995</v>
      </c>
      <c r="I336" s="38" t="str">
        <f>IF(H336&gt;0,COUNTIF($H$16:H336,"&gt;0"),"")</f>
        <v/>
      </c>
    </row>
    <row r="337" spans="1:9" s="56" customFormat="1">
      <c r="A337" s="69" t="s">
        <v>58</v>
      </c>
      <c r="B337" s="69" t="s">
        <v>667</v>
      </c>
      <c r="C337" s="69" t="s">
        <v>668</v>
      </c>
      <c r="D337" s="69">
        <v>3386460171496</v>
      </c>
      <c r="E337" s="69" t="s">
        <v>42</v>
      </c>
      <c r="F337" s="69" t="s">
        <v>14</v>
      </c>
      <c r="G337" s="83">
        <v>40505</v>
      </c>
      <c r="I337" s="38" t="str">
        <f>IF(H337&gt;0,COUNTIF($H$16:H337,"&gt;0"),"")</f>
        <v/>
      </c>
    </row>
    <row r="338" spans="1:9" s="56" customFormat="1">
      <c r="A338" s="69" t="s">
        <v>58</v>
      </c>
      <c r="B338" s="69" t="s">
        <v>669</v>
      </c>
      <c r="C338" s="69" t="s">
        <v>670</v>
      </c>
      <c r="D338" s="69">
        <v>3386460156707</v>
      </c>
      <c r="E338" s="69" t="s">
        <v>42</v>
      </c>
      <c r="F338" s="69" t="s">
        <v>14</v>
      </c>
      <c r="G338" s="83">
        <v>39986</v>
      </c>
      <c r="I338" s="38" t="str">
        <f>IF(H338&gt;0,COUNTIF($H$16:H338,"&gt;0"),"")</f>
        <v/>
      </c>
    </row>
    <row r="339" spans="1:9" s="56" customFormat="1">
      <c r="A339" s="69" t="s">
        <v>58</v>
      </c>
      <c r="B339" s="69" t="s">
        <v>671</v>
      </c>
      <c r="C339" s="69" t="s">
        <v>672</v>
      </c>
      <c r="D339" s="69">
        <v>3386460157339</v>
      </c>
      <c r="E339" s="69" t="s">
        <v>42</v>
      </c>
      <c r="F339" s="69" t="s">
        <v>63</v>
      </c>
      <c r="G339" s="83">
        <v>26092</v>
      </c>
      <c r="I339" s="38" t="str">
        <f>IF(H339&gt;0,COUNTIF($H$16:H339,"&gt;0"),"")</f>
        <v/>
      </c>
    </row>
    <row r="340" spans="1:9" s="56" customFormat="1">
      <c r="A340" s="69" t="s">
        <v>58</v>
      </c>
      <c r="B340" s="69" t="s">
        <v>673</v>
      </c>
      <c r="C340" s="69" t="s">
        <v>674</v>
      </c>
      <c r="D340" s="69">
        <v>3386460171083</v>
      </c>
      <c r="E340" s="69" t="s">
        <v>13</v>
      </c>
      <c r="F340" s="69" t="s">
        <v>14</v>
      </c>
      <c r="G340" s="83">
        <v>40505</v>
      </c>
      <c r="I340" s="38" t="str">
        <f>IF(H340&gt;0,COUNTIF($H$16:H340,"&gt;0"),"")</f>
        <v/>
      </c>
    </row>
    <row r="341" spans="1:9" s="56" customFormat="1">
      <c r="A341" s="69" t="s">
        <v>58</v>
      </c>
      <c r="B341" s="69" t="s">
        <v>675</v>
      </c>
      <c r="C341" s="69" t="s">
        <v>676</v>
      </c>
      <c r="D341" s="69">
        <v>3386460126656</v>
      </c>
      <c r="E341" s="69" t="s">
        <v>13</v>
      </c>
      <c r="F341" s="69" t="s">
        <v>63</v>
      </c>
      <c r="G341" s="83">
        <v>17691</v>
      </c>
      <c r="I341" s="38" t="str">
        <f>IF(H341&gt;0,COUNTIF($H$16:H341,"&gt;0"),"")</f>
        <v/>
      </c>
    </row>
    <row r="342" spans="1:9" s="56" customFormat="1">
      <c r="A342" s="69" t="s">
        <v>677</v>
      </c>
      <c r="B342" s="69" t="s">
        <v>678</v>
      </c>
      <c r="C342" s="69" t="s">
        <v>679</v>
      </c>
      <c r="D342" s="69">
        <v>3414202011820</v>
      </c>
      <c r="E342" s="69" t="s">
        <v>42</v>
      </c>
      <c r="F342" s="69" t="s">
        <v>14</v>
      </c>
      <c r="G342" s="83">
        <v>11892</v>
      </c>
      <c r="I342" s="38" t="str">
        <f>IF(H342&gt;0,COUNTIF($H$16:H342,"&gt;0"),"")</f>
        <v/>
      </c>
    </row>
    <row r="343" spans="1:9" s="56" customFormat="1">
      <c r="A343" s="69" t="s">
        <v>677</v>
      </c>
      <c r="B343" s="69" t="s">
        <v>680</v>
      </c>
      <c r="C343" s="69" t="s">
        <v>681</v>
      </c>
      <c r="D343" s="69">
        <v>3607347462583</v>
      </c>
      <c r="E343" s="69" t="s">
        <v>42</v>
      </c>
      <c r="F343" s="69" t="s">
        <v>14</v>
      </c>
      <c r="G343" s="83">
        <v>23062</v>
      </c>
      <c r="I343" s="38" t="str">
        <f>IF(H343&gt;0,COUNTIF($H$16:H343,"&gt;0"),"")</f>
        <v/>
      </c>
    </row>
    <row r="344" spans="1:9" s="56" customFormat="1">
      <c r="A344" s="69" t="s">
        <v>677</v>
      </c>
      <c r="B344" s="69" t="s">
        <v>682</v>
      </c>
      <c r="C344" s="69" t="s">
        <v>683</v>
      </c>
      <c r="D344" s="69">
        <v>3616304957536</v>
      </c>
      <c r="E344" s="69" t="s">
        <v>42</v>
      </c>
      <c r="F344" s="69" t="s">
        <v>69</v>
      </c>
      <c r="G344" s="83">
        <v>26092</v>
      </c>
      <c r="I344" s="38" t="str">
        <f>IF(H344&gt;0,COUNTIF($H$16:H344,"&gt;0"),"")</f>
        <v/>
      </c>
    </row>
    <row r="345" spans="1:9" s="56" customFormat="1">
      <c r="A345" s="69" t="s">
        <v>684</v>
      </c>
      <c r="B345" s="69" t="s">
        <v>685</v>
      </c>
      <c r="C345" s="69" t="s">
        <v>686</v>
      </c>
      <c r="D345" s="69">
        <v>3605520679957</v>
      </c>
      <c r="E345" s="69" t="s">
        <v>13</v>
      </c>
      <c r="F345" s="69" t="s">
        <v>14</v>
      </c>
      <c r="G345" s="83">
        <v>15442</v>
      </c>
      <c r="I345" s="38" t="str">
        <f>IF(H345&gt;0,COUNTIF($H$16:H345,"&gt;0"),"")</f>
        <v/>
      </c>
    </row>
    <row r="346" spans="1:9" s="56" customFormat="1">
      <c r="A346" s="69" t="s">
        <v>684</v>
      </c>
      <c r="B346" s="69" t="s">
        <v>687</v>
      </c>
      <c r="C346" s="69" t="s">
        <v>688</v>
      </c>
      <c r="D346" s="69">
        <v>3614274271102</v>
      </c>
      <c r="E346" s="69" t="s">
        <v>13</v>
      </c>
      <c r="F346" s="69" t="s">
        <v>14</v>
      </c>
      <c r="G346" s="83">
        <v>15442</v>
      </c>
      <c r="I346" s="38" t="str">
        <f>IF(H346&gt;0,COUNTIF($H$16:H346,"&gt;0"),"")</f>
        <v/>
      </c>
    </row>
    <row r="347" spans="1:9" s="56" customFormat="1">
      <c r="A347" s="69" t="s">
        <v>684</v>
      </c>
      <c r="B347" s="69" t="s">
        <v>689</v>
      </c>
      <c r="C347" s="69" t="s">
        <v>690</v>
      </c>
      <c r="D347" s="69">
        <v>3614274078725</v>
      </c>
      <c r="E347" s="69" t="s">
        <v>17</v>
      </c>
      <c r="F347" s="69" t="s">
        <v>69</v>
      </c>
      <c r="G347" s="83">
        <v>28688</v>
      </c>
      <c r="I347" s="38" t="str">
        <f>IF(H347&gt;0,COUNTIF($H$16:H347,"&gt;0"),"")</f>
        <v/>
      </c>
    </row>
    <row r="348" spans="1:9" s="56" customFormat="1">
      <c r="A348" s="69" t="s">
        <v>691</v>
      </c>
      <c r="B348" s="69" t="s">
        <v>692</v>
      </c>
      <c r="C348" s="69" t="s">
        <v>693</v>
      </c>
      <c r="D348" s="69">
        <v>85715950505</v>
      </c>
      <c r="E348" s="69" t="s">
        <v>42</v>
      </c>
      <c r="F348" s="69" t="s">
        <v>14</v>
      </c>
      <c r="G348" s="83">
        <v>12325</v>
      </c>
      <c r="I348" s="38" t="str">
        <f>IF(H348&gt;0,COUNTIF($H$16:H348,"&gt;0"),"")</f>
        <v/>
      </c>
    </row>
    <row r="349" spans="1:9" s="56" customFormat="1">
      <c r="A349" s="69" t="s">
        <v>691</v>
      </c>
      <c r="B349" s="69" t="s">
        <v>694</v>
      </c>
      <c r="C349" s="69" t="s">
        <v>695</v>
      </c>
      <c r="D349" s="69">
        <v>85715950529</v>
      </c>
      <c r="E349" s="69" t="s">
        <v>42</v>
      </c>
      <c r="F349" s="69" t="s">
        <v>14</v>
      </c>
      <c r="G349" s="83">
        <v>11806</v>
      </c>
      <c r="I349" s="38" t="str">
        <f>IF(H349&gt;0,COUNTIF($H$16:H349,"&gt;0"),"")</f>
        <v/>
      </c>
    </row>
    <row r="350" spans="1:9" s="56" customFormat="1" ht="30">
      <c r="A350" s="69" t="s">
        <v>64</v>
      </c>
      <c r="B350" s="69" t="s">
        <v>696</v>
      </c>
      <c r="C350" s="69" t="s">
        <v>697</v>
      </c>
      <c r="D350" s="69">
        <v>8057971180547</v>
      </c>
      <c r="E350" s="69" t="s">
        <v>13</v>
      </c>
      <c r="F350" s="69" t="s">
        <v>14</v>
      </c>
      <c r="G350" s="83">
        <v>48487</v>
      </c>
      <c r="I350" s="38" t="str">
        <f>IF(H350&gt;0,COUNTIF($H$16:H350,"&gt;0"),"")</f>
        <v/>
      </c>
    </row>
    <row r="351" spans="1:9" s="56" customFormat="1" ht="30">
      <c r="A351" s="69" t="s">
        <v>64</v>
      </c>
      <c r="B351" s="69" t="s">
        <v>698</v>
      </c>
      <c r="C351" s="69" t="s">
        <v>699</v>
      </c>
      <c r="D351" s="69">
        <v>8057971180554</v>
      </c>
      <c r="E351" s="69" t="s">
        <v>13</v>
      </c>
      <c r="F351" s="69" t="s">
        <v>14</v>
      </c>
      <c r="G351" s="83">
        <v>54719</v>
      </c>
      <c r="I351" s="38" t="str">
        <f>IF(H351&gt;0,COUNTIF($H$16:H351,"&gt;0"),"")</f>
        <v/>
      </c>
    </row>
    <row r="352" spans="1:9" s="56" customFormat="1" ht="30">
      <c r="A352" s="69" t="s">
        <v>64</v>
      </c>
      <c r="B352" s="69" t="s">
        <v>700</v>
      </c>
      <c r="C352" s="69" t="s">
        <v>701</v>
      </c>
      <c r="D352" s="69">
        <v>8056669922179</v>
      </c>
      <c r="E352" s="69" t="s">
        <v>42</v>
      </c>
      <c r="F352" s="69" t="s">
        <v>69</v>
      </c>
      <c r="G352" s="83">
        <v>45718</v>
      </c>
      <c r="I352" s="38" t="str">
        <f>IF(H352&gt;0,COUNTIF($H$16:H352,"&gt;0"),"")</f>
        <v/>
      </c>
    </row>
    <row r="353" spans="1:9" s="56" customFormat="1" ht="30">
      <c r="A353" s="69" t="s">
        <v>64</v>
      </c>
      <c r="B353" s="69" t="s">
        <v>702</v>
      </c>
      <c r="C353" s="69" t="s">
        <v>703</v>
      </c>
      <c r="D353" s="69">
        <v>8054754401059</v>
      </c>
      <c r="E353" s="69" t="s">
        <v>13</v>
      </c>
      <c r="F353" s="69" t="s">
        <v>14</v>
      </c>
      <c r="G353" s="83">
        <v>35398</v>
      </c>
      <c r="I353" s="38" t="str">
        <f>IF(H353&gt;0,COUNTIF($H$16:H353,"&gt;0"),"")</f>
        <v/>
      </c>
    </row>
    <row r="354" spans="1:9" s="56" customFormat="1" ht="30">
      <c r="A354" s="69" t="s">
        <v>64</v>
      </c>
      <c r="B354" s="69" t="s">
        <v>704</v>
      </c>
      <c r="C354" s="69" t="s">
        <v>705</v>
      </c>
      <c r="D354" s="69">
        <v>8054754407259</v>
      </c>
      <c r="E354" s="69" t="s">
        <v>42</v>
      </c>
      <c r="F354" s="69" t="s">
        <v>63</v>
      </c>
      <c r="G354" s="83">
        <v>36437</v>
      </c>
      <c r="I354" s="38" t="str">
        <f>IF(H354&gt;0,COUNTIF($H$16:H354,"&gt;0"),"")</f>
        <v/>
      </c>
    </row>
    <row r="355" spans="1:9" s="56" customFormat="1" ht="30">
      <c r="A355" s="69" t="s">
        <v>64</v>
      </c>
      <c r="B355" s="69" t="s">
        <v>706</v>
      </c>
      <c r="C355" s="69" t="s">
        <v>707</v>
      </c>
      <c r="D355" s="69">
        <v>8054754407235</v>
      </c>
      <c r="E355" s="69" t="s">
        <v>42</v>
      </c>
      <c r="F355" s="69" t="s">
        <v>14</v>
      </c>
      <c r="G355" s="83">
        <v>39034</v>
      </c>
      <c r="I355" s="38" t="str">
        <f>IF(H355&gt;0,COUNTIF($H$16:H355,"&gt;0"),"")</f>
        <v/>
      </c>
    </row>
    <row r="356" spans="1:9" s="56" customFormat="1" ht="30">
      <c r="A356" s="69" t="s">
        <v>64</v>
      </c>
      <c r="B356" s="69" t="s">
        <v>708</v>
      </c>
      <c r="C356" s="69" t="s">
        <v>709</v>
      </c>
      <c r="D356" s="69">
        <v>8054754407280</v>
      </c>
      <c r="E356" s="69" t="s">
        <v>13</v>
      </c>
      <c r="F356" s="69" t="s">
        <v>14</v>
      </c>
      <c r="G356" s="83">
        <v>39034</v>
      </c>
      <c r="I356" s="38" t="str">
        <f>IF(H356&gt;0,COUNTIF($H$16:H356,"&gt;0"),"")</f>
        <v/>
      </c>
    </row>
    <row r="357" spans="1:9" s="56" customFormat="1" ht="30">
      <c r="A357" s="69" t="s">
        <v>64</v>
      </c>
      <c r="B357" s="69" t="s">
        <v>710</v>
      </c>
      <c r="C357" s="69" t="s">
        <v>711</v>
      </c>
      <c r="D357" s="69">
        <v>8054754407303</v>
      </c>
      <c r="E357" s="69" t="s">
        <v>13</v>
      </c>
      <c r="F357" s="69" t="s">
        <v>63</v>
      </c>
      <c r="G357" s="83">
        <v>36524</v>
      </c>
      <c r="I357" s="38" t="str">
        <f>IF(H357&gt;0,COUNTIF($H$16:H357,"&gt;0"),"")</f>
        <v/>
      </c>
    </row>
    <row r="358" spans="1:9" s="56" customFormat="1" ht="30">
      <c r="A358" s="69" t="s">
        <v>64</v>
      </c>
      <c r="B358" s="69" t="s">
        <v>65</v>
      </c>
      <c r="C358" s="69" t="s">
        <v>66</v>
      </c>
      <c r="D358" s="69">
        <v>8057971188192</v>
      </c>
      <c r="E358" s="69" t="s">
        <v>42</v>
      </c>
      <c r="F358" s="69" t="s">
        <v>14</v>
      </c>
      <c r="G358" s="83">
        <v>48141</v>
      </c>
      <c r="I358" s="38" t="str">
        <f>IF(H358&gt;0,COUNTIF($H$16:H358,"&gt;0"),"")</f>
        <v/>
      </c>
    </row>
    <row r="359" spans="1:9" s="56" customFormat="1" ht="30">
      <c r="A359" s="69" t="s">
        <v>64</v>
      </c>
      <c r="B359" s="69" t="s">
        <v>712</v>
      </c>
      <c r="C359" s="69" t="s">
        <v>713</v>
      </c>
      <c r="D359" s="69">
        <v>8057971188215</v>
      </c>
      <c r="E359" s="69" t="s">
        <v>42</v>
      </c>
      <c r="F359" s="69" t="s">
        <v>63</v>
      </c>
      <c r="G359" s="83">
        <v>36697</v>
      </c>
      <c r="I359" s="38" t="str">
        <f>IF(H359&gt;0,COUNTIF($H$16:H359,"&gt;0"),"")</f>
        <v/>
      </c>
    </row>
    <row r="360" spans="1:9" s="56" customFormat="1" ht="30">
      <c r="A360" s="69" t="s">
        <v>64</v>
      </c>
      <c r="B360" s="69" t="s">
        <v>714</v>
      </c>
      <c r="C360" s="69" t="s">
        <v>715</v>
      </c>
      <c r="D360" s="69">
        <v>8057971188130</v>
      </c>
      <c r="E360" s="69" t="s">
        <v>13</v>
      </c>
      <c r="F360" s="69" t="s">
        <v>63</v>
      </c>
      <c r="G360" s="83">
        <v>37389</v>
      </c>
      <c r="I360" s="38" t="str">
        <f>IF(H360&gt;0,COUNTIF($H$16:H360,"&gt;0"),"")</f>
        <v/>
      </c>
    </row>
    <row r="361" spans="1:9" s="56" customFormat="1" ht="30">
      <c r="A361" s="69" t="s">
        <v>64</v>
      </c>
      <c r="B361" s="69" t="s">
        <v>716</v>
      </c>
      <c r="C361" s="69" t="s">
        <v>717</v>
      </c>
      <c r="D361" s="69">
        <v>8057971188697</v>
      </c>
      <c r="E361" s="69" t="s">
        <v>42</v>
      </c>
      <c r="F361" s="69" t="s">
        <v>63</v>
      </c>
      <c r="G361" s="83">
        <v>40072</v>
      </c>
      <c r="I361" s="38" t="str">
        <f>IF(H361&gt;0,COUNTIF($H$16:H361,"&gt;0"),"")</f>
        <v/>
      </c>
    </row>
    <row r="362" spans="1:9" s="56" customFormat="1" ht="30">
      <c r="A362" s="69" t="s">
        <v>64</v>
      </c>
      <c r="B362" s="69" t="s">
        <v>718</v>
      </c>
      <c r="C362" s="69" t="s">
        <v>719</v>
      </c>
      <c r="D362" s="69">
        <v>8054754403404</v>
      </c>
      <c r="E362" s="69" t="s">
        <v>42</v>
      </c>
      <c r="F362" s="69" t="s">
        <v>69</v>
      </c>
      <c r="G362" s="83">
        <v>46842</v>
      </c>
      <c r="I362" s="38" t="str">
        <f>IF(H362&gt;0,COUNTIF($H$16:H362,"&gt;0"),"")</f>
        <v/>
      </c>
    </row>
    <row r="363" spans="1:9" s="56" customFormat="1" ht="30">
      <c r="A363" s="69" t="s">
        <v>64</v>
      </c>
      <c r="B363" s="69" t="s">
        <v>720</v>
      </c>
      <c r="C363" s="69" t="s">
        <v>721</v>
      </c>
      <c r="D363" s="69">
        <v>8054754403428</v>
      </c>
      <c r="E363" s="69" t="s">
        <v>42</v>
      </c>
      <c r="F363" s="69" t="s">
        <v>69</v>
      </c>
      <c r="G363" s="83">
        <v>46669</v>
      </c>
      <c r="I363" s="38" t="str">
        <f>IF(H363&gt;0,COUNTIF($H$16:H363,"&gt;0"),"")</f>
        <v/>
      </c>
    </row>
    <row r="364" spans="1:9" s="56" customFormat="1" ht="30">
      <c r="A364" s="69" t="s">
        <v>64</v>
      </c>
      <c r="B364" s="69" t="s">
        <v>722</v>
      </c>
      <c r="C364" s="69" t="s">
        <v>723</v>
      </c>
      <c r="D364" s="69">
        <v>8054754403411</v>
      </c>
      <c r="E364" s="69" t="s">
        <v>42</v>
      </c>
      <c r="F364" s="69" t="s">
        <v>69</v>
      </c>
      <c r="G364" s="83">
        <v>37043</v>
      </c>
      <c r="I364" s="38" t="str">
        <f>IF(H364&gt;0,COUNTIF($H$16:H364,"&gt;0"),"")</f>
        <v/>
      </c>
    </row>
    <row r="365" spans="1:9" s="56" customFormat="1" ht="30">
      <c r="A365" s="69" t="s">
        <v>64</v>
      </c>
      <c r="B365" s="69" t="s">
        <v>724</v>
      </c>
      <c r="C365" s="69" t="s">
        <v>725</v>
      </c>
      <c r="D365" s="69">
        <v>8056669922186</v>
      </c>
      <c r="E365" s="69" t="s">
        <v>42</v>
      </c>
      <c r="F365" s="69" t="s">
        <v>69</v>
      </c>
      <c r="G365" s="83">
        <v>50392</v>
      </c>
      <c r="I365" s="38" t="str">
        <f>IF(H365&gt;0,COUNTIF($H$16:H365,"&gt;0"),"")</f>
        <v/>
      </c>
    </row>
    <row r="366" spans="1:9" s="56" customFormat="1" ht="30">
      <c r="A366" s="69" t="s">
        <v>64</v>
      </c>
      <c r="B366" s="69" t="s">
        <v>67</v>
      </c>
      <c r="C366" s="69" t="s">
        <v>68</v>
      </c>
      <c r="D366" s="69">
        <v>8054754403527</v>
      </c>
      <c r="E366" s="69" t="s">
        <v>13</v>
      </c>
      <c r="F366" s="69" t="s">
        <v>69</v>
      </c>
      <c r="G366" s="83">
        <v>35918</v>
      </c>
      <c r="I366" s="38" t="str">
        <f>IF(H366&gt;0,COUNTIF($H$16:H366,"&gt;0"),"")</f>
        <v/>
      </c>
    </row>
    <row r="367" spans="1:9" s="56" customFormat="1" ht="30">
      <c r="A367" s="69" t="s">
        <v>64</v>
      </c>
      <c r="B367" s="69" t="s">
        <v>70</v>
      </c>
      <c r="C367" s="69" t="s">
        <v>71</v>
      </c>
      <c r="D367" s="69">
        <v>8054754403572</v>
      </c>
      <c r="E367" s="69" t="s">
        <v>13</v>
      </c>
      <c r="F367" s="69" t="s">
        <v>69</v>
      </c>
      <c r="G367" s="83">
        <v>50219</v>
      </c>
      <c r="I367" s="38" t="str">
        <f>IF(H367&gt;0,COUNTIF($H$16:H367,"&gt;0"),"")</f>
        <v/>
      </c>
    </row>
    <row r="368" spans="1:9" s="56" customFormat="1" ht="30">
      <c r="A368" s="69" t="s">
        <v>64</v>
      </c>
      <c r="B368" s="69" t="s">
        <v>72</v>
      </c>
      <c r="C368" s="69" t="s">
        <v>73</v>
      </c>
      <c r="D368" s="69">
        <v>8054754403398</v>
      </c>
      <c r="E368" s="69" t="s">
        <v>42</v>
      </c>
      <c r="F368" s="69" t="s">
        <v>69</v>
      </c>
      <c r="G368" s="83">
        <v>41025</v>
      </c>
      <c r="I368" s="38" t="str">
        <f>IF(H368&gt;0,COUNTIF($H$16:H368,"&gt;0"),"")</f>
        <v/>
      </c>
    </row>
    <row r="369" spans="1:9" s="56" customFormat="1" ht="30">
      <c r="A369" s="69" t="s">
        <v>64</v>
      </c>
      <c r="B369" s="69" t="s">
        <v>726</v>
      </c>
      <c r="C369" s="69" t="s">
        <v>727</v>
      </c>
      <c r="D369" s="69">
        <v>8056669922254</v>
      </c>
      <c r="E369" s="69" t="s">
        <v>13</v>
      </c>
      <c r="F369" s="69" t="s">
        <v>69</v>
      </c>
      <c r="G369" s="83">
        <v>35736</v>
      </c>
      <c r="I369" s="38" t="str">
        <f>IF(H369&gt;0,COUNTIF($H$16:H369,"&gt;0"),"")</f>
        <v/>
      </c>
    </row>
    <row r="370" spans="1:9" s="56" customFormat="1" ht="30">
      <c r="A370" s="69" t="s">
        <v>64</v>
      </c>
      <c r="B370" s="69" t="s">
        <v>728</v>
      </c>
      <c r="C370" s="69" t="s">
        <v>729</v>
      </c>
      <c r="D370" s="69">
        <v>8056669922308</v>
      </c>
      <c r="E370" s="69" t="s">
        <v>42</v>
      </c>
      <c r="F370" s="69" t="s">
        <v>69</v>
      </c>
      <c r="G370" s="83">
        <v>45789</v>
      </c>
      <c r="I370" s="38" t="str">
        <f>IF(H370&gt;0,COUNTIF($H$16:H370,"&gt;0"),"")</f>
        <v/>
      </c>
    </row>
    <row r="371" spans="1:9" s="56" customFormat="1" ht="30">
      <c r="A371" s="69" t="s">
        <v>64</v>
      </c>
      <c r="B371" s="69" t="s">
        <v>730</v>
      </c>
      <c r="C371" s="69" t="s">
        <v>731</v>
      </c>
      <c r="D371" s="69">
        <v>8054754403503</v>
      </c>
      <c r="E371" s="69" t="s">
        <v>42</v>
      </c>
      <c r="F371" s="69" t="s">
        <v>69</v>
      </c>
      <c r="G371" s="83">
        <v>49968</v>
      </c>
      <c r="I371" s="38" t="str">
        <f>IF(H371&gt;0,COUNTIF($H$16:H371,"&gt;0"),"")</f>
        <v/>
      </c>
    </row>
    <row r="372" spans="1:9" s="56" customFormat="1" ht="30">
      <c r="A372" s="69" t="s">
        <v>64</v>
      </c>
      <c r="B372" s="69" t="s">
        <v>732</v>
      </c>
      <c r="C372" s="69" t="s">
        <v>733</v>
      </c>
      <c r="D372" s="69">
        <v>8056669922315</v>
      </c>
      <c r="E372" s="69" t="s">
        <v>42</v>
      </c>
      <c r="F372" s="69" t="s">
        <v>69</v>
      </c>
      <c r="G372" s="83">
        <v>52571</v>
      </c>
      <c r="I372" s="38" t="str">
        <f>IF(H372&gt;0,COUNTIF($H$16:H372,"&gt;0"),"")</f>
        <v/>
      </c>
    </row>
    <row r="373" spans="1:9" s="56" customFormat="1">
      <c r="A373" s="69" t="s">
        <v>734</v>
      </c>
      <c r="B373" s="69" t="s">
        <v>735</v>
      </c>
      <c r="C373" s="69" t="s">
        <v>736</v>
      </c>
      <c r="D373" s="69">
        <v>3760060766564</v>
      </c>
      <c r="E373" s="69" t="s">
        <v>13</v>
      </c>
      <c r="F373" s="69" t="s">
        <v>14</v>
      </c>
      <c r="G373" s="83">
        <v>8690</v>
      </c>
      <c r="I373" s="38" t="str">
        <f>IF(H373&gt;0,COUNTIF($H$16:H373,"&gt;0"),"")</f>
        <v/>
      </c>
    </row>
    <row r="374" spans="1:9" s="56" customFormat="1">
      <c r="A374" s="69" t="s">
        <v>734</v>
      </c>
      <c r="B374" s="69" t="s">
        <v>737</v>
      </c>
      <c r="C374" s="69" t="s">
        <v>738</v>
      </c>
      <c r="D374" s="69">
        <v>3770004268207</v>
      </c>
      <c r="E374" s="69" t="s">
        <v>13</v>
      </c>
      <c r="F374" s="69" t="s">
        <v>14</v>
      </c>
      <c r="G374" s="83">
        <v>20288</v>
      </c>
      <c r="I374" s="38" t="str">
        <f>IF(H374&gt;0,COUNTIF($H$16:H374,"&gt;0"),"")</f>
        <v/>
      </c>
    </row>
    <row r="375" spans="1:9" s="56" customFormat="1">
      <c r="A375" s="69" t="s">
        <v>734</v>
      </c>
      <c r="B375" s="69" t="s">
        <v>739</v>
      </c>
      <c r="C375" s="69" t="s">
        <v>740</v>
      </c>
      <c r="D375" s="69">
        <v>3760060761279</v>
      </c>
      <c r="E375" s="69" t="s">
        <v>13</v>
      </c>
      <c r="F375" s="69" t="s">
        <v>14</v>
      </c>
      <c r="G375" s="83">
        <v>21591</v>
      </c>
      <c r="I375" s="38" t="str">
        <f>IF(H375&gt;0,COUNTIF($H$16:H375,"&gt;0"),"")</f>
        <v/>
      </c>
    </row>
    <row r="376" spans="1:9" s="56" customFormat="1">
      <c r="A376" s="69" t="s">
        <v>734</v>
      </c>
      <c r="B376" s="69" t="s">
        <v>741</v>
      </c>
      <c r="C376" s="69" t="s">
        <v>742</v>
      </c>
      <c r="D376" s="69">
        <v>3760060761880</v>
      </c>
      <c r="E376" s="69" t="s">
        <v>13</v>
      </c>
      <c r="F376" s="69" t="s">
        <v>14</v>
      </c>
      <c r="G376" s="83">
        <v>24879</v>
      </c>
      <c r="I376" s="38" t="str">
        <f>IF(H376&gt;0,COUNTIF($H$16:H376,"&gt;0"),"")</f>
        <v/>
      </c>
    </row>
    <row r="377" spans="1:9" s="56" customFormat="1">
      <c r="A377" s="69" t="s">
        <v>734</v>
      </c>
      <c r="B377" s="69" t="s">
        <v>743</v>
      </c>
      <c r="C377" s="69" t="s">
        <v>744</v>
      </c>
      <c r="D377" s="69">
        <v>3760060762221</v>
      </c>
      <c r="E377" s="69" t="s">
        <v>42</v>
      </c>
      <c r="F377" s="69" t="s">
        <v>14</v>
      </c>
      <c r="G377" s="83">
        <v>15701</v>
      </c>
      <c r="I377" s="38" t="str">
        <f>IF(H377&gt;0,COUNTIF($H$16:H377,"&gt;0"),"")</f>
        <v/>
      </c>
    </row>
    <row r="378" spans="1:9" s="56" customFormat="1" ht="30">
      <c r="A378" s="69" t="s">
        <v>745</v>
      </c>
      <c r="B378" s="69" t="s">
        <v>746</v>
      </c>
      <c r="C378" s="69" t="s">
        <v>747</v>
      </c>
      <c r="D378" s="69">
        <v>6294015196856</v>
      </c>
      <c r="E378" s="69" t="s">
        <v>13</v>
      </c>
      <c r="F378" s="69" t="s">
        <v>14</v>
      </c>
      <c r="G378" s="83">
        <v>14402</v>
      </c>
      <c r="I378" s="38" t="str">
        <f>IF(H378&gt;0,COUNTIF($H$16:H378,"&gt;0"),"")</f>
        <v/>
      </c>
    </row>
    <row r="379" spans="1:9" s="56" customFormat="1" ht="30">
      <c r="A379" s="69" t="s">
        <v>745</v>
      </c>
      <c r="B379" s="69" t="s">
        <v>748</v>
      </c>
      <c r="C379" s="69" t="s">
        <v>749</v>
      </c>
      <c r="D379" s="69">
        <v>6295199810798</v>
      </c>
      <c r="E379" s="69" t="s">
        <v>17</v>
      </c>
      <c r="F379" s="69" t="s">
        <v>14</v>
      </c>
      <c r="G379" s="83">
        <v>10595</v>
      </c>
      <c r="I379" s="38" t="str">
        <f>IF(H379&gt;0,COUNTIF($H$16:H379,"&gt;0"),"")</f>
        <v/>
      </c>
    </row>
    <row r="380" spans="1:9" s="56" customFormat="1" ht="30">
      <c r="A380" s="69" t="s">
        <v>745</v>
      </c>
      <c r="B380" s="69" t="s">
        <v>750</v>
      </c>
      <c r="C380" s="69" t="s">
        <v>751</v>
      </c>
      <c r="D380" s="69">
        <v>6294015198881</v>
      </c>
      <c r="E380" s="69" t="s">
        <v>17</v>
      </c>
      <c r="F380" s="69" t="s">
        <v>14</v>
      </c>
      <c r="G380" s="83">
        <v>13797</v>
      </c>
      <c r="I380" s="38" t="str">
        <f>IF(H380&gt;0,COUNTIF($H$16:H380,"&gt;0"),"")</f>
        <v/>
      </c>
    </row>
    <row r="381" spans="1:9" s="56" customFormat="1" ht="30">
      <c r="A381" s="69" t="s">
        <v>745</v>
      </c>
      <c r="B381" s="69" t="s">
        <v>752</v>
      </c>
      <c r="C381" s="69" t="s">
        <v>753</v>
      </c>
      <c r="D381" s="69">
        <v>6294015198898</v>
      </c>
      <c r="E381" s="69" t="s">
        <v>13</v>
      </c>
      <c r="F381" s="69" t="s">
        <v>14</v>
      </c>
      <c r="G381" s="83">
        <v>13883</v>
      </c>
      <c r="I381" s="38" t="str">
        <f>IF(H381&gt;0,COUNTIF($H$16:H381,"&gt;0"),"")</f>
        <v/>
      </c>
    </row>
    <row r="382" spans="1:9" s="56" customFormat="1" ht="30">
      <c r="A382" s="69" t="s">
        <v>745</v>
      </c>
      <c r="B382" s="69" t="s">
        <v>754</v>
      </c>
      <c r="C382" s="69" t="s">
        <v>755</v>
      </c>
      <c r="D382" s="69">
        <v>6294015199062</v>
      </c>
      <c r="E382" s="69" t="s">
        <v>17</v>
      </c>
      <c r="F382" s="69" t="s">
        <v>14</v>
      </c>
      <c r="G382" s="83">
        <v>12498</v>
      </c>
      <c r="I382" s="38" t="str">
        <f>IF(H382&gt;0,COUNTIF($H$16:H382,"&gt;0"),"")</f>
        <v/>
      </c>
    </row>
    <row r="383" spans="1:9" s="56" customFormat="1" ht="30">
      <c r="A383" s="69" t="s">
        <v>745</v>
      </c>
      <c r="B383" s="69" t="s">
        <v>756</v>
      </c>
      <c r="C383" s="69" t="s">
        <v>757</v>
      </c>
      <c r="D383" s="69">
        <v>6294015199000</v>
      </c>
      <c r="E383" s="69" t="s">
        <v>42</v>
      </c>
      <c r="F383" s="69" t="s">
        <v>14</v>
      </c>
      <c r="G383" s="83">
        <v>13970</v>
      </c>
      <c r="I383" s="38" t="str">
        <f>IF(H383&gt;0,COUNTIF($H$16:H383,"&gt;0"),"")</f>
        <v/>
      </c>
    </row>
    <row r="384" spans="1:9" s="56" customFormat="1" ht="30">
      <c r="A384" s="69" t="s">
        <v>745</v>
      </c>
      <c r="B384" s="69" t="s">
        <v>758</v>
      </c>
      <c r="C384" s="69" t="s">
        <v>759</v>
      </c>
      <c r="D384" s="69">
        <v>6294015199017</v>
      </c>
      <c r="E384" s="69" t="s">
        <v>13</v>
      </c>
      <c r="F384" s="69" t="s">
        <v>14</v>
      </c>
      <c r="G384" s="83">
        <v>14316</v>
      </c>
      <c r="I384" s="38" t="str">
        <f>IF(H384&gt;0,COUNTIF($H$16:H384,"&gt;0"),"")</f>
        <v/>
      </c>
    </row>
    <row r="385" spans="1:9" s="56" customFormat="1" ht="30">
      <c r="A385" s="69" t="s">
        <v>745</v>
      </c>
      <c r="B385" s="69" t="s">
        <v>760</v>
      </c>
      <c r="C385" s="69" t="s">
        <v>761</v>
      </c>
      <c r="D385" s="69">
        <v>6294015196955</v>
      </c>
      <c r="E385" s="69" t="s">
        <v>13</v>
      </c>
      <c r="F385" s="69" t="s">
        <v>14</v>
      </c>
      <c r="G385" s="83">
        <v>14835</v>
      </c>
      <c r="I385" s="38" t="str">
        <f>IF(H385&gt;0,COUNTIF($H$16:H385,"&gt;0"),"")</f>
        <v/>
      </c>
    </row>
    <row r="386" spans="1:9" s="56" customFormat="1" ht="30">
      <c r="A386" s="69" t="s">
        <v>745</v>
      </c>
      <c r="B386" s="69" t="s">
        <v>762</v>
      </c>
      <c r="C386" s="69" t="s">
        <v>763</v>
      </c>
      <c r="D386" s="69">
        <v>6294015196962</v>
      </c>
      <c r="E386" s="69" t="s">
        <v>13</v>
      </c>
      <c r="F386" s="69" t="s">
        <v>14</v>
      </c>
      <c r="G386" s="83">
        <v>14835</v>
      </c>
      <c r="I386" s="38" t="str">
        <f>IF(H386&gt;0,COUNTIF($H$16:H386,"&gt;0"),"")</f>
        <v/>
      </c>
    </row>
    <row r="387" spans="1:9" s="56" customFormat="1" ht="30">
      <c r="A387" s="69" t="s">
        <v>745</v>
      </c>
      <c r="B387" s="69" t="s">
        <v>764</v>
      </c>
      <c r="C387" s="69" t="s">
        <v>765</v>
      </c>
      <c r="D387" s="69">
        <v>6294015198959</v>
      </c>
      <c r="E387" s="69" t="s">
        <v>17</v>
      </c>
      <c r="F387" s="69" t="s">
        <v>14</v>
      </c>
      <c r="G387" s="83">
        <v>14229</v>
      </c>
      <c r="I387" s="38" t="str">
        <f>IF(H387&gt;0,COUNTIF($H$16:H387,"&gt;0"),"")</f>
        <v/>
      </c>
    </row>
    <row r="388" spans="1:9" s="56" customFormat="1" ht="30">
      <c r="A388" s="69" t="s">
        <v>745</v>
      </c>
      <c r="B388" s="69" t="s">
        <v>766</v>
      </c>
      <c r="C388" s="69" t="s">
        <v>767</v>
      </c>
      <c r="D388" s="69">
        <v>6294015198942</v>
      </c>
      <c r="E388" s="69" t="s">
        <v>13</v>
      </c>
      <c r="F388" s="69" t="s">
        <v>14</v>
      </c>
      <c r="G388" s="83">
        <v>14229</v>
      </c>
      <c r="I388" s="38" t="str">
        <f>IF(H388&gt;0,COUNTIF($H$16:H388,"&gt;0"),"")</f>
        <v/>
      </c>
    </row>
    <row r="389" spans="1:9" s="56" customFormat="1" ht="30">
      <c r="A389" s="69" t="s">
        <v>745</v>
      </c>
      <c r="B389" s="69" t="s">
        <v>768</v>
      </c>
      <c r="C389" s="69" t="s">
        <v>769</v>
      </c>
      <c r="D389" s="69">
        <v>6294015197013</v>
      </c>
      <c r="E389" s="69" t="s">
        <v>42</v>
      </c>
      <c r="F389" s="69" t="s">
        <v>14</v>
      </c>
      <c r="G389" s="83">
        <v>14229</v>
      </c>
      <c r="I389" s="38" t="str">
        <f>IF(H389&gt;0,COUNTIF($H$16:H389,"&gt;0"),"")</f>
        <v/>
      </c>
    </row>
    <row r="390" spans="1:9" s="56" customFormat="1" ht="30">
      <c r="A390" s="69" t="s">
        <v>745</v>
      </c>
      <c r="B390" s="69" t="s">
        <v>770</v>
      </c>
      <c r="C390" s="69" t="s">
        <v>771</v>
      </c>
      <c r="D390" s="69">
        <v>6294015197006</v>
      </c>
      <c r="E390" s="69" t="s">
        <v>13</v>
      </c>
      <c r="F390" s="69" t="s">
        <v>14</v>
      </c>
      <c r="G390" s="83">
        <v>14489</v>
      </c>
      <c r="I390" s="38" t="str">
        <f>IF(H390&gt;0,COUNTIF($H$16:H390,"&gt;0"),"")</f>
        <v/>
      </c>
    </row>
    <row r="391" spans="1:9" s="56" customFormat="1" ht="30">
      <c r="A391" s="69" t="s">
        <v>745</v>
      </c>
      <c r="B391" s="69" t="s">
        <v>772</v>
      </c>
      <c r="C391" s="69" t="s">
        <v>773</v>
      </c>
      <c r="D391" s="69">
        <v>6294015196993</v>
      </c>
      <c r="E391" s="69" t="s">
        <v>13</v>
      </c>
      <c r="F391" s="69" t="s">
        <v>14</v>
      </c>
      <c r="G391" s="83">
        <v>13364</v>
      </c>
      <c r="I391" s="38" t="str">
        <f>IF(H391&gt;0,COUNTIF($H$16:H391,"&gt;0"),"")</f>
        <v/>
      </c>
    </row>
    <row r="392" spans="1:9" s="56" customFormat="1" ht="30">
      <c r="A392" s="69" t="s">
        <v>745</v>
      </c>
      <c r="B392" s="69" t="s">
        <v>774</v>
      </c>
      <c r="C392" s="69" t="s">
        <v>775</v>
      </c>
      <c r="D392" s="69">
        <v>6294015199031</v>
      </c>
      <c r="E392" s="69" t="s">
        <v>13</v>
      </c>
      <c r="F392" s="69" t="s">
        <v>14</v>
      </c>
      <c r="G392" s="83">
        <v>13797</v>
      </c>
      <c r="I392" s="38" t="str">
        <f>IF(H392&gt;0,COUNTIF($H$16:H392,"&gt;0"),"")</f>
        <v/>
      </c>
    </row>
    <row r="393" spans="1:9" s="56" customFormat="1" ht="30">
      <c r="A393" s="69" t="s">
        <v>745</v>
      </c>
      <c r="B393" s="69" t="s">
        <v>776</v>
      </c>
      <c r="C393" s="69" t="s">
        <v>777</v>
      </c>
      <c r="D393" s="69">
        <v>6295199822678</v>
      </c>
      <c r="E393" s="69" t="s">
        <v>17</v>
      </c>
      <c r="F393" s="69" t="s">
        <v>14</v>
      </c>
      <c r="G393" s="83">
        <v>19250</v>
      </c>
      <c r="I393" s="38" t="str">
        <f>IF(H393&gt;0,COUNTIF($H$16:H393,"&gt;0"),"")</f>
        <v/>
      </c>
    </row>
    <row r="394" spans="1:9" s="56" customFormat="1" ht="30">
      <c r="A394" s="69" t="s">
        <v>745</v>
      </c>
      <c r="B394" s="69" t="s">
        <v>778</v>
      </c>
      <c r="C394" s="69" t="s">
        <v>779</v>
      </c>
      <c r="D394" s="69">
        <v>6294015198966</v>
      </c>
      <c r="E394" s="69" t="s">
        <v>13</v>
      </c>
      <c r="F394" s="69" t="s">
        <v>14</v>
      </c>
      <c r="G394" s="83">
        <v>12932</v>
      </c>
      <c r="I394" s="38" t="str">
        <f>IF(H394&gt;0,COUNTIF($H$16:H394,"&gt;0"),"")</f>
        <v/>
      </c>
    </row>
    <row r="395" spans="1:9" s="56" customFormat="1" ht="30">
      <c r="A395" s="69" t="s">
        <v>745</v>
      </c>
      <c r="B395" s="69" t="s">
        <v>780</v>
      </c>
      <c r="C395" s="69" t="s">
        <v>781</v>
      </c>
      <c r="D395" s="69">
        <v>6294015198973</v>
      </c>
      <c r="E395" s="69" t="s">
        <v>13</v>
      </c>
      <c r="F395" s="69" t="s">
        <v>14</v>
      </c>
      <c r="G395" s="83">
        <v>14229</v>
      </c>
      <c r="I395" s="38" t="str">
        <f>IF(H395&gt;0,COUNTIF($H$16:H395,"&gt;0"),"")</f>
        <v/>
      </c>
    </row>
    <row r="396" spans="1:9" s="56" customFormat="1" ht="30">
      <c r="A396" s="69" t="s">
        <v>745</v>
      </c>
      <c r="B396" s="69" t="s">
        <v>782</v>
      </c>
      <c r="C396" s="69" t="s">
        <v>783</v>
      </c>
      <c r="D396" s="69">
        <v>6294015199055</v>
      </c>
      <c r="E396" s="69" t="s">
        <v>17</v>
      </c>
      <c r="F396" s="69" t="s">
        <v>14</v>
      </c>
      <c r="G396" s="83">
        <v>16740</v>
      </c>
      <c r="I396" s="38" t="str">
        <f>IF(H396&gt;0,COUNTIF($H$16:H396,"&gt;0"),"")</f>
        <v/>
      </c>
    </row>
    <row r="397" spans="1:9" s="56" customFormat="1" ht="30">
      <c r="A397" s="69" t="s">
        <v>745</v>
      </c>
      <c r="B397" s="69" t="s">
        <v>784</v>
      </c>
      <c r="C397" s="69" t="s">
        <v>785</v>
      </c>
      <c r="D397" s="69">
        <v>6294015199048</v>
      </c>
      <c r="E397" s="69" t="s">
        <v>17</v>
      </c>
      <c r="F397" s="69" t="s">
        <v>14</v>
      </c>
      <c r="G397" s="83">
        <v>16999</v>
      </c>
      <c r="I397" s="38" t="str">
        <f>IF(H397&gt;0,COUNTIF($H$16:H397,"&gt;0"),"")</f>
        <v/>
      </c>
    </row>
    <row r="398" spans="1:9" s="56" customFormat="1" ht="30">
      <c r="A398" s="69" t="s">
        <v>745</v>
      </c>
      <c r="B398" s="69" t="s">
        <v>786</v>
      </c>
      <c r="C398" s="69" t="s">
        <v>787</v>
      </c>
      <c r="D398" s="69">
        <v>6294015196931</v>
      </c>
      <c r="E398" s="69" t="s">
        <v>17</v>
      </c>
      <c r="F398" s="69" t="s">
        <v>14</v>
      </c>
      <c r="G398" s="83">
        <v>14749</v>
      </c>
      <c r="I398" s="38" t="str">
        <f>IF(H398&gt;0,COUNTIF($H$16:H398,"&gt;0"),"")</f>
        <v/>
      </c>
    </row>
    <row r="399" spans="1:9" s="56" customFormat="1" ht="30">
      <c r="A399" s="69" t="s">
        <v>745</v>
      </c>
      <c r="B399" s="69" t="s">
        <v>788</v>
      </c>
      <c r="C399" s="69" t="s">
        <v>789</v>
      </c>
      <c r="D399" s="69">
        <v>6294015196948</v>
      </c>
      <c r="E399" s="69" t="s">
        <v>42</v>
      </c>
      <c r="F399" s="69" t="s">
        <v>14</v>
      </c>
      <c r="G399" s="83">
        <v>14749</v>
      </c>
      <c r="I399" s="38" t="str">
        <f>IF(H399&gt;0,COUNTIF($H$16:H399,"&gt;0"),"")</f>
        <v/>
      </c>
    </row>
    <row r="400" spans="1:9" s="56" customFormat="1" ht="30">
      <c r="A400" s="69" t="s">
        <v>745</v>
      </c>
      <c r="B400" s="69" t="s">
        <v>790</v>
      </c>
      <c r="C400" s="69" t="s">
        <v>791</v>
      </c>
      <c r="D400" s="69">
        <v>6294015196894</v>
      </c>
      <c r="E400" s="69" t="s">
        <v>13</v>
      </c>
      <c r="F400" s="69" t="s">
        <v>14</v>
      </c>
      <c r="G400" s="83">
        <v>14489</v>
      </c>
      <c r="I400" s="38" t="str">
        <f>IF(H400&gt;0,COUNTIF($H$16:H400,"&gt;0"),"")</f>
        <v/>
      </c>
    </row>
    <row r="401" spans="1:9" s="56" customFormat="1" ht="30">
      <c r="A401" s="69" t="s">
        <v>745</v>
      </c>
      <c r="B401" s="69" t="s">
        <v>792</v>
      </c>
      <c r="C401" s="69" t="s">
        <v>793</v>
      </c>
      <c r="D401" s="69">
        <v>6295199805763</v>
      </c>
      <c r="E401" s="69" t="s">
        <v>13</v>
      </c>
      <c r="F401" s="69" t="s">
        <v>14</v>
      </c>
      <c r="G401" s="83">
        <v>13970</v>
      </c>
      <c r="I401" s="38" t="str">
        <f>IF(H401&gt;0,COUNTIF($H$16:H401,"&gt;0"),"")</f>
        <v/>
      </c>
    </row>
    <row r="402" spans="1:9" s="56" customFormat="1" ht="30">
      <c r="A402" s="69" t="s">
        <v>745</v>
      </c>
      <c r="B402" s="69" t="s">
        <v>794</v>
      </c>
      <c r="C402" s="69" t="s">
        <v>795</v>
      </c>
      <c r="D402" s="69">
        <v>6294015196900</v>
      </c>
      <c r="E402" s="69" t="s">
        <v>42</v>
      </c>
      <c r="F402" s="69" t="s">
        <v>14</v>
      </c>
      <c r="G402" s="83">
        <v>14402</v>
      </c>
      <c r="I402" s="38" t="str">
        <f>IF(H402&gt;0,COUNTIF($H$16:H402,"&gt;0"),"")</f>
        <v/>
      </c>
    </row>
    <row r="403" spans="1:9" s="56" customFormat="1" ht="30">
      <c r="A403" s="69" t="s">
        <v>745</v>
      </c>
      <c r="B403" s="69" t="s">
        <v>796</v>
      </c>
      <c r="C403" s="69" t="s">
        <v>797</v>
      </c>
      <c r="D403" s="69">
        <v>6294015197020</v>
      </c>
      <c r="E403" s="69" t="s">
        <v>17</v>
      </c>
      <c r="F403" s="69" t="s">
        <v>14</v>
      </c>
      <c r="G403" s="83">
        <v>14489</v>
      </c>
      <c r="I403" s="38" t="str">
        <f>IF(H403&gt;0,COUNTIF($H$16:H403,"&gt;0"),"")</f>
        <v/>
      </c>
    </row>
    <row r="404" spans="1:9" s="56" customFormat="1" ht="30">
      <c r="A404" s="69" t="s">
        <v>745</v>
      </c>
      <c r="B404" s="69" t="s">
        <v>798</v>
      </c>
      <c r="C404" s="69" t="s">
        <v>799</v>
      </c>
      <c r="D404" s="69">
        <v>6294015197037</v>
      </c>
      <c r="E404" s="69" t="s">
        <v>42</v>
      </c>
      <c r="F404" s="69" t="s">
        <v>14</v>
      </c>
      <c r="G404" s="83">
        <v>13624</v>
      </c>
      <c r="I404" s="38" t="str">
        <f>IF(H404&gt;0,COUNTIF($H$16:H404,"&gt;0"),"")</f>
        <v/>
      </c>
    </row>
    <row r="405" spans="1:9" s="56" customFormat="1" ht="30">
      <c r="A405" s="69" t="s">
        <v>745</v>
      </c>
      <c r="B405" s="69" t="s">
        <v>800</v>
      </c>
      <c r="C405" s="69" t="s">
        <v>801</v>
      </c>
      <c r="D405" s="69">
        <v>6294015198980</v>
      </c>
      <c r="E405" s="69" t="s">
        <v>17</v>
      </c>
      <c r="F405" s="69" t="s">
        <v>14</v>
      </c>
      <c r="G405" s="83">
        <v>13883</v>
      </c>
      <c r="I405" s="38" t="str">
        <f>IF(H405&gt;0,COUNTIF($H$16:H405,"&gt;0"),"")</f>
        <v/>
      </c>
    </row>
    <row r="406" spans="1:9" s="56" customFormat="1" ht="30">
      <c r="A406" s="69" t="s">
        <v>745</v>
      </c>
      <c r="B406" s="69" t="s">
        <v>802</v>
      </c>
      <c r="C406" s="69" t="s">
        <v>803</v>
      </c>
      <c r="D406" s="69">
        <v>6294015198997</v>
      </c>
      <c r="E406" s="69" t="s">
        <v>42</v>
      </c>
      <c r="F406" s="69" t="s">
        <v>14</v>
      </c>
      <c r="G406" s="83">
        <v>13970</v>
      </c>
      <c r="I406" s="38" t="str">
        <f>IF(H406&gt;0,COUNTIF($H$16:H406,"&gt;0"),"")</f>
        <v/>
      </c>
    </row>
    <row r="407" spans="1:9" s="56" customFormat="1" ht="30">
      <c r="A407" s="69" t="s">
        <v>745</v>
      </c>
      <c r="B407" s="69" t="s">
        <v>804</v>
      </c>
      <c r="C407" s="69" t="s">
        <v>805</v>
      </c>
      <c r="D407" s="69">
        <v>6294015198249</v>
      </c>
      <c r="E407" s="69" t="s">
        <v>42</v>
      </c>
      <c r="F407" s="69" t="s">
        <v>14</v>
      </c>
      <c r="G407" s="83">
        <v>14229</v>
      </c>
      <c r="I407" s="38" t="str">
        <f>IF(H407&gt;0,COUNTIF($H$16:H407,"&gt;0"),"")</f>
        <v/>
      </c>
    </row>
    <row r="408" spans="1:9" s="56" customFormat="1" ht="30">
      <c r="A408" s="69" t="s">
        <v>745</v>
      </c>
      <c r="B408" s="69" t="s">
        <v>806</v>
      </c>
      <c r="C408" s="69" t="s">
        <v>807</v>
      </c>
      <c r="D408" s="69">
        <v>6294015198256</v>
      </c>
      <c r="E408" s="69" t="s">
        <v>13</v>
      </c>
      <c r="F408" s="69" t="s">
        <v>14</v>
      </c>
      <c r="G408" s="83">
        <v>14229</v>
      </c>
      <c r="I408" s="38" t="str">
        <f>IF(H408&gt;0,COUNTIF($H$16:H408,"&gt;0"),"")</f>
        <v/>
      </c>
    </row>
    <row r="409" spans="1:9" s="56" customFormat="1" ht="30">
      <c r="A409" s="69" t="s">
        <v>745</v>
      </c>
      <c r="B409" s="69" t="s">
        <v>808</v>
      </c>
      <c r="C409" s="69" t="s">
        <v>809</v>
      </c>
      <c r="D409" s="69">
        <v>6294015196979</v>
      </c>
      <c r="E409" s="69" t="s">
        <v>13</v>
      </c>
      <c r="F409" s="69" t="s">
        <v>14</v>
      </c>
      <c r="G409" s="83">
        <v>14489</v>
      </c>
      <c r="I409" s="38" t="str">
        <f>IF(H409&gt;0,COUNTIF($H$16:H409,"&gt;0"),"")</f>
        <v/>
      </c>
    </row>
    <row r="410" spans="1:9" s="56" customFormat="1" ht="30">
      <c r="A410" s="69" t="s">
        <v>745</v>
      </c>
      <c r="B410" s="69" t="s">
        <v>810</v>
      </c>
      <c r="C410" s="69" t="s">
        <v>811</v>
      </c>
      <c r="D410" s="69">
        <v>6294015196986</v>
      </c>
      <c r="E410" s="69" t="s">
        <v>17</v>
      </c>
      <c r="F410" s="69" t="s">
        <v>14</v>
      </c>
      <c r="G410" s="83">
        <v>14229</v>
      </c>
      <c r="I410" s="38" t="str">
        <f>IF(H410&gt;0,COUNTIF($H$16:H410,"&gt;0"),"")</f>
        <v/>
      </c>
    </row>
    <row r="411" spans="1:9" s="56" customFormat="1" ht="30">
      <c r="A411" s="69" t="s">
        <v>745</v>
      </c>
      <c r="B411" s="69" t="s">
        <v>812</v>
      </c>
      <c r="C411" s="69" t="s">
        <v>813</v>
      </c>
      <c r="D411" s="69">
        <v>6294015198935</v>
      </c>
      <c r="E411" s="69" t="s">
        <v>42</v>
      </c>
      <c r="F411" s="69" t="s">
        <v>14</v>
      </c>
      <c r="G411" s="83">
        <v>16999</v>
      </c>
      <c r="I411" s="38" t="str">
        <f>IF(H411&gt;0,COUNTIF($H$16:H411,"&gt;0"),"")</f>
        <v/>
      </c>
    </row>
    <row r="412" spans="1:9" s="56" customFormat="1" ht="30">
      <c r="A412" s="69" t="s">
        <v>745</v>
      </c>
      <c r="B412" s="69" t="s">
        <v>814</v>
      </c>
      <c r="C412" s="69" t="s">
        <v>815</v>
      </c>
      <c r="D412" s="69">
        <v>6294015196863</v>
      </c>
      <c r="E412" s="69" t="s">
        <v>13</v>
      </c>
      <c r="F412" s="69" t="s">
        <v>14</v>
      </c>
      <c r="G412" s="83">
        <v>14489</v>
      </c>
      <c r="I412" s="38" t="str">
        <f>IF(H412&gt;0,COUNTIF($H$16:H412,"&gt;0"),"")</f>
        <v/>
      </c>
    </row>
    <row r="413" spans="1:9" s="56" customFormat="1" ht="30">
      <c r="A413" s="69" t="s">
        <v>745</v>
      </c>
      <c r="B413" s="69" t="s">
        <v>816</v>
      </c>
      <c r="C413" s="69" t="s">
        <v>817</v>
      </c>
      <c r="D413" s="69">
        <v>6294015199024</v>
      </c>
      <c r="E413" s="69" t="s">
        <v>17</v>
      </c>
      <c r="F413" s="69" t="s">
        <v>14</v>
      </c>
      <c r="G413" s="83">
        <v>12932</v>
      </c>
      <c r="I413" s="38" t="str">
        <f>IF(H413&gt;0,COUNTIF($H$16:H413,"&gt;0"),"")</f>
        <v/>
      </c>
    </row>
    <row r="414" spans="1:9" s="56" customFormat="1">
      <c r="A414" s="69" t="s">
        <v>74</v>
      </c>
      <c r="B414" s="69" t="s">
        <v>818</v>
      </c>
      <c r="C414" s="69" t="s">
        <v>819</v>
      </c>
      <c r="D414" s="69">
        <v>6294021905466</v>
      </c>
      <c r="E414" s="69" t="s">
        <v>42</v>
      </c>
      <c r="F414" s="69" t="s">
        <v>14</v>
      </c>
      <c r="G414" s="83">
        <v>15701</v>
      </c>
      <c r="I414" s="38" t="str">
        <f>IF(H414&gt;0,COUNTIF($H$16:H414,"&gt;0"),"")</f>
        <v/>
      </c>
    </row>
    <row r="415" spans="1:9" s="56" customFormat="1">
      <c r="A415" s="69" t="s">
        <v>74</v>
      </c>
      <c r="B415" s="69" t="s">
        <v>820</v>
      </c>
      <c r="C415" s="69" t="s">
        <v>821</v>
      </c>
      <c r="D415" s="69">
        <v>6291108525159</v>
      </c>
      <c r="E415" s="69" t="s">
        <v>13</v>
      </c>
      <c r="F415" s="69" t="s">
        <v>14</v>
      </c>
      <c r="G415" s="83">
        <v>15701</v>
      </c>
      <c r="I415" s="38" t="str">
        <f>IF(H415&gt;0,COUNTIF($H$16:H415,"&gt;0"),"")</f>
        <v/>
      </c>
    </row>
    <row r="416" spans="1:9" s="56" customFormat="1">
      <c r="A416" s="69" t="s">
        <v>74</v>
      </c>
      <c r="B416" s="69" t="s">
        <v>822</v>
      </c>
      <c r="C416" s="69" t="s">
        <v>823</v>
      </c>
      <c r="D416" s="69">
        <v>6294021909228</v>
      </c>
      <c r="E416" s="69" t="s">
        <v>13</v>
      </c>
      <c r="F416" s="69" t="s">
        <v>14</v>
      </c>
      <c r="G416" s="83">
        <v>15701</v>
      </c>
      <c r="I416" s="38" t="str">
        <f>IF(H416&gt;0,COUNTIF($H$16:H416,"&gt;0"),"")</f>
        <v/>
      </c>
    </row>
    <row r="417" spans="1:9" s="56" customFormat="1">
      <c r="A417" s="69" t="s">
        <v>74</v>
      </c>
      <c r="B417" s="69" t="s">
        <v>824</v>
      </c>
      <c r="C417" s="69" t="s">
        <v>825</v>
      </c>
      <c r="D417" s="69">
        <v>6294021901772</v>
      </c>
      <c r="E417" s="69" t="s">
        <v>42</v>
      </c>
      <c r="F417" s="69" t="s">
        <v>14</v>
      </c>
      <c r="G417" s="83">
        <v>15701</v>
      </c>
      <c r="I417" s="38" t="str">
        <f>IF(H417&gt;0,COUNTIF($H$16:H417,"&gt;0"),"")</f>
        <v/>
      </c>
    </row>
    <row r="418" spans="1:9" s="56" customFormat="1">
      <c r="A418" s="69" t="s">
        <v>74</v>
      </c>
      <c r="B418" s="69" t="s">
        <v>826</v>
      </c>
      <c r="C418" s="69" t="s">
        <v>827</v>
      </c>
      <c r="D418" s="69">
        <v>6294021909235</v>
      </c>
      <c r="E418" s="69" t="s">
        <v>17</v>
      </c>
      <c r="F418" s="69" t="s">
        <v>14</v>
      </c>
      <c r="G418" s="83">
        <v>15701</v>
      </c>
      <c r="I418" s="38" t="str">
        <f>IF(H418&gt;0,COUNTIF($H$16:H418,"&gt;0"),"")</f>
        <v/>
      </c>
    </row>
    <row r="419" spans="1:9" s="56" customFormat="1">
      <c r="A419" s="69" t="s">
        <v>74</v>
      </c>
      <c r="B419" s="69" t="s">
        <v>828</v>
      </c>
      <c r="C419" s="69" t="s">
        <v>829</v>
      </c>
      <c r="D419" s="69">
        <v>6294021901468</v>
      </c>
      <c r="E419" s="69" t="s">
        <v>17</v>
      </c>
      <c r="F419" s="69" t="s">
        <v>14</v>
      </c>
      <c r="G419" s="83">
        <v>15701</v>
      </c>
      <c r="I419" s="38" t="str">
        <f>IF(H419&gt;0,COUNTIF($H$16:H419,"&gt;0"),"")</f>
        <v/>
      </c>
    </row>
    <row r="420" spans="1:9" s="56" customFormat="1">
      <c r="A420" s="69" t="s">
        <v>74</v>
      </c>
      <c r="B420" s="69" t="s">
        <v>830</v>
      </c>
      <c r="C420" s="69" t="s">
        <v>831</v>
      </c>
      <c r="D420" s="69">
        <v>6294021909242</v>
      </c>
      <c r="E420" s="69" t="s">
        <v>17</v>
      </c>
      <c r="F420" s="69" t="s">
        <v>14</v>
      </c>
      <c r="G420" s="83">
        <v>15701</v>
      </c>
      <c r="I420" s="38" t="str">
        <f>IF(H420&gt;0,COUNTIF($H$16:H420,"&gt;0"),"")</f>
        <v/>
      </c>
    </row>
    <row r="421" spans="1:9" s="56" customFormat="1">
      <c r="A421" s="69" t="s">
        <v>74</v>
      </c>
      <c r="B421" s="69" t="s">
        <v>832</v>
      </c>
      <c r="C421" s="69" t="s">
        <v>833</v>
      </c>
      <c r="D421" s="69">
        <v>6294021901390</v>
      </c>
      <c r="E421" s="69" t="s">
        <v>42</v>
      </c>
      <c r="F421" s="69" t="s">
        <v>14</v>
      </c>
      <c r="G421" s="83">
        <v>15701</v>
      </c>
      <c r="I421" s="38" t="str">
        <f>IF(H421&gt;0,COUNTIF($H$16:H421,"&gt;0"),"")</f>
        <v/>
      </c>
    </row>
    <row r="422" spans="1:9" s="56" customFormat="1">
      <c r="A422" s="69" t="s">
        <v>74</v>
      </c>
      <c r="B422" s="69" t="s">
        <v>834</v>
      </c>
      <c r="C422" s="69" t="s">
        <v>835</v>
      </c>
      <c r="D422" s="69">
        <v>6291108523520</v>
      </c>
      <c r="E422" s="69" t="s">
        <v>13</v>
      </c>
      <c r="F422" s="69" t="s">
        <v>14</v>
      </c>
      <c r="G422" s="83">
        <v>15701</v>
      </c>
      <c r="I422" s="38" t="str">
        <f>IF(H422&gt;0,COUNTIF($H$16:H422,"&gt;0"),"")</f>
        <v/>
      </c>
    </row>
    <row r="423" spans="1:9" s="56" customFormat="1">
      <c r="A423" s="69" t="s">
        <v>74</v>
      </c>
      <c r="B423" s="69" t="s">
        <v>836</v>
      </c>
      <c r="C423" s="69" t="s">
        <v>837</v>
      </c>
      <c r="D423" s="69">
        <v>6294021901130</v>
      </c>
      <c r="E423" s="69" t="s">
        <v>42</v>
      </c>
      <c r="F423" s="69" t="s">
        <v>14</v>
      </c>
      <c r="G423" s="83">
        <v>15701</v>
      </c>
      <c r="I423" s="38" t="str">
        <f>IF(H423&gt;0,COUNTIF($H$16:H423,"&gt;0"),"")</f>
        <v/>
      </c>
    </row>
    <row r="424" spans="1:9" s="56" customFormat="1">
      <c r="A424" s="69" t="s">
        <v>74</v>
      </c>
      <c r="B424" s="69" t="s">
        <v>75</v>
      </c>
      <c r="C424" s="69" t="s">
        <v>76</v>
      </c>
      <c r="D424" s="69">
        <v>6291108525067</v>
      </c>
      <c r="E424" s="69" t="s">
        <v>13</v>
      </c>
      <c r="F424" s="69" t="s">
        <v>14</v>
      </c>
      <c r="G424" s="83">
        <v>15701</v>
      </c>
      <c r="I424" s="38" t="str">
        <f>IF(H424&gt;0,COUNTIF($H$16:H424,"&gt;0"),"")</f>
        <v/>
      </c>
    </row>
    <row r="425" spans="1:9" s="56" customFormat="1">
      <c r="A425" s="69" t="s">
        <v>74</v>
      </c>
      <c r="B425" s="69" t="s">
        <v>77</v>
      </c>
      <c r="C425" s="69" t="s">
        <v>78</v>
      </c>
      <c r="D425" s="69">
        <v>6291103660060</v>
      </c>
      <c r="E425" s="69" t="s">
        <v>42</v>
      </c>
      <c r="F425" s="69" t="s">
        <v>14</v>
      </c>
      <c r="G425" s="83">
        <v>14056</v>
      </c>
      <c r="I425" s="38" t="str">
        <f>IF(H425&gt;0,COUNTIF($H$16:H425,"&gt;0"),"")</f>
        <v/>
      </c>
    </row>
    <row r="426" spans="1:9" s="56" customFormat="1">
      <c r="A426" s="69" t="s">
        <v>74</v>
      </c>
      <c r="B426" s="69" t="s">
        <v>838</v>
      </c>
      <c r="C426" s="69" t="s">
        <v>839</v>
      </c>
      <c r="D426" s="69">
        <v>6294021908481</v>
      </c>
      <c r="E426" s="69" t="s">
        <v>42</v>
      </c>
      <c r="F426" s="69" t="s">
        <v>14</v>
      </c>
      <c r="G426" s="83">
        <v>14056</v>
      </c>
      <c r="I426" s="38" t="str">
        <f>IF(H426&gt;0,COUNTIF($H$16:H426,"&gt;0"),"")</f>
        <v/>
      </c>
    </row>
    <row r="427" spans="1:9" s="56" customFormat="1">
      <c r="A427" s="69" t="s">
        <v>74</v>
      </c>
      <c r="B427" s="69" t="s">
        <v>840</v>
      </c>
      <c r="C427" s="69" t="s">
        <v>841</v>
      </c>
      <c r="D427" s="69">
        <v>6294021907309</v>
      </c>
      <c r="E427" s="69" t="s">
        <v>13</v>
      </c>
      <c r="F427" s="69" t="s">
        <v>14</v>
      </c>
      <c r="G427" s="83">
        <v>18384</v>
      </c>
      <c r="I427" s="38" t="str">
        <f>IF(H427&gt;0,COUNTIF($H$16:H427,"&gt;0"),"")</f>
        <v/>
      </c>
    </row>
    <row r="428" spans="1:9" s="56" customFormat="1">
      <c r="A428" s="69" t="s">
        <v>74</v>
      </c>
      <c r="B428" s="69" t="s">
        <v>842</v>
      </c>
      <c r="C428" s="69" t="s">
        <v>843</v>
      </c>
      <c r="D428" s="69">
        <v>6294021907316</v>
      </c>
      <c r="E428" s="69" t="s">
        <v>13</v>
      </c>
      <c r="F428" s="69" t="s">
        <v>14</v>
      </c>
      <c r="G428" s="83">
        <v>18384</v>
      </c>
      <c r="I428" s="38" t="str">
        <f>IF(H428&gt;0,COUNTIF($H$16:H428,"&gt;0"),"")</f>
        <v/>
      </c>
    </row>
    <row r="429" spans="1:9" s="56" customFormat="1">
      <c r="A429" s="69" t="s">
        <v>74</v>
      </c>
      <c r="B429" s="69" t="s">
        <v>844</v>
      </c>
      <c r="C429" s="69" t="s">
        <v>845</v>
      </c>
      <c r="D429" s="69">
        <v>6291108525081</v>
      </c>
      <c r="E429" s="69" t="s">
        <v>42</v>
      </c>
      <c r="F429" s="69" t="s">
        <v>14</v>
      </c>
      <c r="G429" s="83">
        <v>15701</v>
      </c>
      <c r="I429" s="38" t="str">
        <f>IF(H429&gt;0,COUNTIF($H$16:H429,"&gt;0"),"")</f>
        <v/>
      </c>
    </row>
    <row r="430" spans="1:9" s="56" customFormat="1">
      <c r="A430" s="69" t="s">
        <v>74</v>
      </c>
      <c r="B430" s="69" t="s">
        <v>846</v>
      </c>
      <c r="C430" s="69" t="s">
        <v>847</v>
      </c>
      <c r="D430" s="69">
        <v>6291103666895</v>
      </c>
      <c r="E430" s="69" t="s">
        <v>13</v>
      </c>
      <c r="F430" s="69" t="s">
        <v>14</v>
      </c>
      <c r="G430" s="83">
        <v>16220</v>
      </c>
      <c r="I430" s="38" t="str">
        <f>IF(H430&gt;0,COUNTIF($H$16:H430,"&gt;0"),"")</f>
        <v/>
      </c>
    </row>
    <row r="431" spans="1:9" s="56" customFormat="1">
      <c r="A431" s="69" t="s">
        <v>74</v>
      </c>
      <c r="B431" s="69" t="s">
        <v>848</v>
      </c>
      <c r="C431" s="69" t="s">
        <v>849</v>
      </c>
      <c r="D431" s="69">
        <v>6291103667120</v>
      </c>
      <c r="E431" s="69" t="s">
        <v>17</v>
      </c>
      <c r="F431" s="69" t="s">
        <v>14</v>
      </c>
      <c r="G431" s="83">
        <v>16220</v>
      </c>
      <c r="I431" s="38" t="str">
        <f>IF(H431&gt;0,COUNTIF($H$16:H431,"&gt;0"),"")</f>
        <v/>
      </c>
    </row>
    <row r="432" spans="1:9" s="56" customFormat="1">
      <c r="A432" s="69" t="s">
        <v>74</v>
      </c>
      <c r="B432" s="69" t="s">
        <v>850</v>
      </c>
      <c r="C432" s="69" t="s">
        <v>851</v>
      </c>
      <c r="D432" s="69">
        <v>6294021905725</v>
      </c>
      <c r="E432" s="69" t="s">
        <v>17</v>
      </c>
      <c r="F432" s="69" t="s">
        <v>14</v>
      </c>
      <c r="G432" s="83">
        <v>16220</v>
      </c>
      <c r="I432" s="38" t="str">
        <f>IF(H432&gt;0,COUNTIF($H$16:H432,"&gt;0"),"")</f>
        <v/>
      </c>
    </row>
    <row r="433" spans="1:9" s="56" customFormat="1">
      <c r="A433" s="69" t="s">
        <v>74</v>
      </c>
      <c r="B433" s="69" t="s">
        <v>852</v>
      </c>
      <c r="C433" s="69" t="s">
        <v>853</v>
      </c>
      <c r="D433" s="69">
        <v>6294021908153</v>
      </c>
      <c r="E433" s="69" t="s">
        <v>17</v>
      </c>
      <c r="F433" s="69" t="s">
        <v>69</v>
      </c>
      <c r="G433" s="83">
        <v>16740</v>
      </c>
      <c r="I433" s="38" t="str">
        <f>IF(H433&gt;0,COUNTIF($H$16:H433,"&gt;0"),"")</f>
        <v/>
      </c>
    </row>
    <row r="434" spans="1:9" s="56" customFormat="1">
      <c r="A434" s="69" t="s">
        <v>74</v>
      </c>
      <c r="B434" s="69" t="s">
        <v>854</v>
      </c>
      <c r="C434" s="69" t="s">
        <v>855</v>
      </c>
      <c r="D434" s="69">
        <v>6294021909693</v>
      </c>
      <c r="E434" s="69" t="s">
        <v>17</v>
      </c>
      <c r="F434" s="69" t="s">
        <v>69</v>
      </c>
      <c r="G434" s="83">
        <v>16740</v>
      </c>
      <c r="I434" s="38" t="str">
        <f>IF(H434&gt;0,COUNTIF($H$16:H434,"&gt;0"),"")</f>
        <v/>
      </c>
    </row>
    <row r="435" spans="1:9" s="56" customFormat="1">
      <c r="A435" s="69" t="s">
        <v>74</v>
      </c>
      <c r="B435" s="69" t="s">
        <v>856</v>
      </c>
      <c r="C435" s="69" t="s">
        <v>857</v>
      </c>
      <c r="D435" s="69">
        <v>6294021909648</v>
      </c>
      <c r="E435" s="69" t="s">
        <v>17</v>
      </c>
      <c r="F435" s="69" t="s">
        <v>69</v>
      </c>
      <c r="G435" s="83">
        <v>16740</v>
      </c>
      <c r="I435" s="38" t="str">
        <f>IF(H435&gt;0,COUNTIF($H$16:H435,"&gt;0"),"")</f>
        <v/>
      </c>
    </row>
    <row r="436" spans="1:9" s="56" customFormat="1">
      <c r="A436" s="69" t="s">
        <v>74</v>
      </c>
      <c r="B436" s="69" t="s">
        <v>858</v>
      </c>
      <c r="C436" s="69" t="s">
        <v>859</v>
      </c>
      <c r="D436" s="69">
        <v>6294021908368</v>
      </c>
      <c r="E436" s="69" t="s">
        <v>17</v>
      </c>
      <c r="F436" s="69" t="s">
        <v>69</v>
      </c>
      <c r="G436" s="83">
        <v>19163</v>
      </c>
      <c r="I436" s="38" t="str">
        <f>IF(H436&gt;0,COUNTIF($H$16:H436,"&gt;0"),"")</f>
        <v/>
      </c>
    </row>
    <row r="437" spans="1:9" s="56" customFormat="1">
      <c r="A437" s="69" t="s">
        <v>74</v>
      </c>
      <c r="B437" s="69" t="s">
        <v>860</v>
      </c>
      <c r="C437" s="69" t="s">
        <v>861</v>
      </c>
      <c r="D437" s="69">
        <v>6294021909679</v>
      </c>
      <c r="E437" s="69" t="s">
        <v>17</v>
      </c>
      <c r="F437" s="69" t="s">
        <v>69</v>
      </c>
      <c r="G437" s="83">
        <v>16740</v>
      </c>
      <c r="I437" s="38" t="str">
        <f>IF(H437&gt;0,COUNTIF($H$16:H437,"&gt;0"),"")</f>
        <v/>
      </c>
    </row>
    <row r="438" spans="1:9" s="56" customFormat="1">
      <c r="A438" s="69" t="s">
        <v>74</v>
      </c>
      <c r="B438" s="69" t="s">
        <v>862</v>
      </c>
      <c r="C438" s="69" t="s">
        <v>863</v>
      </c>
      <c r="D438" s="69">
        <v>6294021905688</v>
      </c>
      <c r="E438" s="69" t="s">
        <v>13</v>
      </c>
      <c r="F438" s="69" t="s">
        <v>69</v>
      </c>
      <c r="G438" s="83">
        <v>18384</v>
      </c>
      <c r="I438" s="38" t="str">
        <f>IF(H438&gt;0,COUNTIF($H$16:H438,"&gt;0"),"")</f>
        <v/>
      </c>
    </row>
    <row r="439" spans="1:9" s="56" customFormat="1">
      <c r="A439" s="69" t="s">
        <v>74</v>
      </c>
      <c r="B439" s="69" t="s">
        <v>864</v>
      </c>
      <c r="C439" s="69" t="s">
        <v>865</v>
      </c>
      <c r="D439" s="69">
        <v>6294021905695</v>
      </c>
      <c r="E439" s="69" t="s">
        <v>13</v>
      </c>
      <c r="F439" s="69" t="s">
        <v>69</v>
      </c>
      <c r="G439" s="83">
        <v>18384</v>
      </c>
      <c r="I439" s="38" t="str">
        <f>IF(H439&gt;0,COUNTIF($H$16:H439,"&gt;0"),"")</f>
        <v/>
      </c>
    </row>
    <row r="440" spans="1:9" s="56" customFormat="1">
      <c r="A440" s="69" t="s">
        <v>74</v>
      </c>
      <c r="B440" s="69" t="s">
        <v>866</v>
      </c>
      <c r="C440" s="69" t="s">
        <v>867</v>
      </c>
      <c r="D440" s="69">
        <v>6294021905176</v>
      </c>
      <c r="E440" s="69" t="s">
        <v>13</v>
      </c>
      <c r="F440" s="69" t="s">
        <v>69</v>
      </c>
      <c r="G440" s="83">
        <v>18384</v>
      </c>
      <c r="I440" s="38" t="str">
        <f>IF(H440&gt;0,COUNTIF($H$16:H440,"&gt;0"),"")</f>
        <v/>
      </c>
    </row>
    <row r="441" spans="1:9" s="56" customFormat="1">
      <c r="A441" s="69" t="s">
        <v>868</v>
      </c>
      <c r="B441" s="69" t="s">
        <v>869</v>
      </c>
      <c r="C441" s="69" t="s">
        <v>870</v>
      </c>
      <c r="D441" s="69">
        <v>3614274219579</v>
      </c>
      <c r="E441" s="69" t="s">
        <v>13</v>
      </c>
      <c r="F441" s="69" t="s">
        <v>14</v>
      </c>
      <c r="G441" s="83">
        <v>81551</v>
      </c>
      <c r="I441" s="38" t="str">
        <f>IF(H441&gt;0,COUNTIF($H$16:H441,"&gt;0"),"")</f>
        <v/>
      </c>
    </row>
    <row r="442" spans="1:9" s="56" customFormat="1">
      <c r="A442" s="69" t="s">
        <v>871</v>
      </c>
      <c r="B442" s="69" t="s">
        <v>872</v>
      </c>
      <c r="C442" s="69" t="s">
        <v>873</v>
      </c>
      <c r="D442" s="69">
        <v>3616304203572</v>
      </c>
      <c r="E442" s="69" t="s">
        <v>42</v>
      </c>
      <c r="F442" s="69" t="s">
        <v>14</v>
      </c>
      <c r="G442" s="83">
        <v>16307</v>
      </c>
      <c r="I442" s="38" t="str">
        <f>IF(H442&gt;0,COUNTIF($H$16:H442,"&gt;0"),"")</f>
        <v/>
      </c>
    </row>
    <row r="443" spans="1:9" s="56" customFormat="1">
      <c r="A443" s="69" t="s">
        <v>871</v>
      </c>
      <c r="B443" s="69" t="s">
        <v>874</v>
      </c>
      <c r="C443" s="69" t="s">
        <v>875</v>
      </c>
      <c r="D443" s="69">
        <v>730870263075</v>
      </c>
      <c r="E443" s="69" t="s">
        <v>13</v>
      </c>
      <c r="F443" s="69" t="s">
        <v>14</v>
      </c>
      <c r="G443" s="83">
        <v>22456</v>
      </c>
      <c r="I443" s="38" t="str">
        <f>IF(H443&gt;0,COUNTIF($H$16:H443,"&gt;0"),"")</f>
        <v/>
      </c>
    </row>
    <row r="444" spans="1:9" s="56" customFormat="1">
      <c r="A444" s="69" t="s">
        <v>876</v>
      </c>
      <c r="B444" s="69" t="s">
        <v>877</v>
      </c>
      <c r="C444" s="69" t="s">
        <v>878</v>
      </c>
      <c r="D444" s="69">
        <v>27131521433</v>
      </c>
      <c r="E444" s="69" t="s">
        <v>13</v>
      </c>
      <c r="F444" s="69" t="s">
        <v>14</v>
      </c>
      <c r="G444" s="83">
        <v>21068</v>
      </c>
      <c r="I444" s="38" t="str">
        <f>IF(H444&gt;0,COUNTIF($H$16:H444,"&gt;0"),"")</f>
        <v/>
      </c>
    </row>
    <row r="445" spans="1:9" s="56" customFormat="1">
      <c r="A445" s="69" t="s">
        <v>879</v>
      </c>
      <c r="B445" s="69" t="s">
        <v>880</v>
      </c>
      <c r="C445" s="69" t="s">
        <v>881</v>
      </c>
      <c r="D445" s="69">
        <v>6295199800386</v>
      </c>
      <c r="E445" s="69" t="s">
        <v>13</v>
      </c>
      <c r="F445" s="69" t="s">
        <v>14</v>
      </c>
      <c r="G445" s="83">
        <v>15095</v>
      </c>
      <c r="I445" s="38" t="str">
        <f>IF(H445&gt;0,COUNTIF($H$16:H445,"&gt;0"),"")</f>
        <v/>
      </c>
    </row>
    <row r="446" spans="1:9" s="56" customFormat="1">
      <c r="A446" s="69" t="s">
        <v>879</v>
      </c>
      <c r="B446" s="69" t="s">
        <v>882</v>
      </c>
      <c r="C446" s="69" t="s">
        <v>883</v>
      </c>
      <c r="D446" s="69">
        <v>6295199800430</v>
      </c>
      <c r="E446" s="69" t="s">
        <v>17</v>
      </c>
      <c r="F446" s="69" t="s">
        <v>14</v>
      </c>
      <c r="G446" s="83">
        <v>14662</v>
      </c>
      <c r="I446" s="38" t="str">
        <f>IF(H446&gt;0,COUNTIF($H$16:H446,"&gt;0"),"")</f>
        <v/>
      </c>
    </row>
    <row r="447" spans="1:9" s="56" customFormat="1">
      <c r="A447" s="69" t="s">
        <v>879</v>
      </c>
      <c r="B447" s="69" t="s">
        <v>884</v>
      </c>
      <c r="C447" s="69" t="s">
        <v>885</v>
      </c>
      <c r="D447" s="69">
        <v>6295199800515</v>
      </c>
      <c r="E447" s="69" t="s">
        <v>42</v>
      </c>
      <c r="F447" s="69" t="s">
        <v>14</v>
      </c>
      <c r="G447" s="83">
        <v>15095</v>
      </c>
      <c r="I447" s="38" t="str">
        <f>IF(H447&gt;0,COUNTIF($H$16:H447,"&gt;0"),"")</f>
        <v/>
      </c>
    </row>
    <row r="448" spans="1:9" s="56" customFormat="1">
      <c r="A448" s="69" t="s">
        <v>879</v>
      </c>
      <c r="B448" s="69" t="s">
        <v>886</v>
      </c>
      <c r="C448" s="69" t="s">
        <v>887</v>
      </c>
      <c r="D448" s="69">
        <v>6294015181197</v>
      </c>
      <c r="E448" s="69" t="s">
        <v>17</v>
      </c>
      <c r="F448" s="69" t="s">
        <v>14</v>
      </c>
      <c r="G448" s="83">
        <v>14662</v>
      </c>
      <c r="I448" s="38" t="str">
        <f>IF(H448&gt;0,COUNTIF($H$16:H448,"&gt;0"),"")</f>
        <v/>
      </c>
    </row>
    <row r="449" spans="1:9" s="56" customFormat="1">
      <c r="A449" s="69" t="s">
        <v>879</v>
      </c>
      <c r="B449" s="69" t="s">
        <v>888</v>
      </c>
      <c r="C449" s="69" t="s">
        <v>889</v>
      </c>
      <c r="D449" s="69">
        <v>6295199800409</v>
      </c>
      <c r="E449" s="69" t="s">
        <v>42</v>
      </c>
      <c r="F449" s="69" t="s">
        <v>14</v>
      </c>
      <c r="G449" s="83">
        <v>15095</v>
      </c>
      <c r="I449" s="38" t="str">
        <f>IF(H449&gt;0,COUNTIF($H$16:H449,"&gt;0"),"")</f>
        <v/>
      </c>
    </row>
    <row r="450" spans="1:9" s="56" customFormat="1">
      <c r="A450" s="69" t="s">
        <v>879</v>
      </c>
      <c r="B450" s="69" t="s">
        <v>890</v>
      </c>
      <c r="C450" s="69" t="s">
        <v>891</v>
      </c>
      <c r="D450" s="69">
        <v>6294015181418</v>
      </c>
      <c r="E450" s="69" t="s">
        <v>17</v>
      </c>
      <c r="F450" s="69" t="s">
        <v>14</v>
      </c>
      <c r="G450" s="83">
        <v>15355</v>
      </c>
      <c r="I450" s="38" t="str">
        <f>IF(H450&gt;0,COUNTIF($H$16:H450,"&gt;0"),"")</f>
        <v/>
      </c>
    </row>
    <row r="451" spans="1:9" s="56" customFormat="1">
      <c r="A451" s="69" t="s">
        <v>879</v>
      </c>
      <c r="B451" s="69" t="s">
        <v>892</v>
      </c>
      <c r="C451" s="69" t="s">
        <v>893</v>
      </c>
      <c r="D451" s="69">
        <v>6294015181425</v>
      </c>
      <c r="E451" s="69" t="s">
        <v>17</v>
      </c>
      <c r="F451" s="69" t="s">
        <v>14</v>
      </c>
      <c r="G451" s="83">
        <v>15355</v>
      </c>
      <c r="I451" s="38" t="str">
        <f>IF(H451&gt;0,COUNTIF($H$16:H451,"&gt;0"),"")</f>
        <v/>
      </c>
    </row>
    <row r="452" spans="1:9" s="56" customFormat="1">
      <c r="A452" s="69" t="s">
        <v>879</v>
      </c>
      <c r="B452" s="69" t="s">
        <v>894</v>
      </c>
      <c r="C452" s="69" t="s">
        <v>895</v>
      </c>
      <c r="D452" s="69">
        <v>6294015197990</v>
      </c>
      <c r="E452" s="69" t="s">
        <v>17</v>
      </c>
      <c r="F452" s="69" t="s">
        <v>14</v>
      </c>
      <c r="G452" s="83">
        <v>15095</v>
      </c>
      <c r="I452" s="38" t="str">
        <f>IF(H452&gt;0,COUNTIF($H$16:H452,"&gt;0"),"")</f>
        <v/>
      </c>
    </row>
    <row r="453" spans="1:9" s="56" customFormat="1">
      <c r="A453" s="69" t="s">
        <v>879</v>
      </c>
      <c r="B453" s="69" t="s">
        <v>896</v>
      </c>
      <c r="C453" s="69" t="s">
        <v>897</v>
      </c>
      <c r="D453" s="69">
        <v>6295199806050</v>
      </c>
      <c r="E453" s="69" t="s">
        <v>17</v>
      </c>
      <c r="F453" s="69" t="s">
        <v>14</v>
      </c>
      <c r="G453" s="83">
        <v>15095</v>
      </c>
      <c r="I453" s="38" t="str">
        <f>IF(H453&gt;0,COUNTIF($H$16:H453,"&gt;0"),"")</f>
        <v/>
      </c>
    </row>
    <row r="454" spans="1:9" s="56" customFormat="1">
      <c r="A454" s="69" t="s">
        <v>879</v>
      </c>
      <c r="B454" s="69" t="s">
        <v>898</v>
      </c>
      <c r="C454" s="69" t="s">
        <v>899</v>
      </c>
      <c r="D454" s="69">
        <v>6295199800416</v>
      </c>
      <c r="E454" s="69" t="s">
        <v>13</v>
      </c>
      <c r="F454" s="69" t="s">
        <v>14</v>
      </c>
      <c r="G454" s="83">
        <v>15095</v>
      </c>
      <c r="I454" s="38" t="str">
        <f>IF(H454&gt;0,COUNTIF($H$16:H454,"&gt;0"),"")</f>
        <v/>
      </c>
    </row>
    <row r="455" spans="1:9" s="56" customFormat="1">
      <c r="A455" s="69" t="s">
        <v>879</v>
      </c>
      <c r="B455" s="69" t="s">
        <v>900</v>
      </c>
      <c r="C455" s="69" t="s">
        <v>901</v>
      </c>
      <c r="D455" s="69">
        <v>6295199803011</v>
      </c>
      <c r="E455" s="69" t="s">
        <v>13</v>
      </c>
      <c r="F455" s="69" t="s">
        <v>14</v>
      </c>
      <c r="G455" s="83">
        <v>14662</v>
      </c>
      <c r="I455" s="38" t="str">
        <f>IF(H455&gt;0,COUNTIF($H$16:H455,"&gt;0"),"")</f>
        <v/>
      </c>
    </row>
    <row r="456" spans="1:9" s="56" customFormat="1">
      <c r="A456" s="69" t="s">
        <v>879</v>
      </c>
      <c r="B456" s="69" t="s">
        <v>902</v>
      </c>
      <c r="C456" s="69" t="s">
        <v>903</v>
      </c>
      <c r="D456" s="69">
        <v>6295199809518</v>
      </c>
      <c r="E456" s="69" t="s">
        <v>17</v>
      </c>
      <c r="F456" s="69" t="s">
        <v>14</v>
      </c>
      <c r="G456" s="83">
        <v>15095</v>
      </c>
      <c r="I456" s="38" t="str">
        <f>IF(H456&gt;0,COUNTIF($H$16:H456,"&gt;0"),"")</f>
        <v/>
      </c>
    </row>
    <row r="457" spans="1:9" s="56" customFormat="1">
      <c r="A457" s="69" t="s">
        <v>879</v>
      </c>
      <c r="B457" s="69" t="s">
        <v>904</v>
      </c>
      <c r="C457" s="69" t="s">
        <v>905</v>
      </c>
      <c r="D457" s="69">
        <v>6295199809488</v>
      </c>
      <c r="E457" s="69" t="s">
        <v>17</v>
      </c>
      <c r="F457" s="69" t="s">
        <v>14</v>
      </c>
      <c r="G457" s="83">
        <v>15095</v>
      </c>
      <c r="I457" s="38" t="str">
        <f>IF(H457&gt;0,COUNTIF($H$16:H457,"&gt;0"),"")</f>
        <v/>
      </c>
    </row>
    <row r="458" spans="1:9" s="56" customFormat="1">
      <c r="A458" s="69" t="s">
        <v>879</v>
      </c>
      <c r="B458" s="69" t="s">
        <v>906</v>
      </c>
      <c r="C458" s="69" t="s">
        <v>907</v>
      </c>
      <c r="D458" s="69">
        <v>6295199809495</v>
      </c>
      <c r="E458" s="69" t="s">
        <v>17</v>
      </c>
      <c r="F458" s="69" t="s">
        <v>14</v>
      </c>
      <c r="G458" s="83">
        <v>15095</v>
      </c>
      <c r="I458" s="38" t="str">
        <f>IF(H458&gt;0,COUNTIF($H$16:H458,"&gt;0"),"")</f>
        <v/>
      </c>
    </row>
    <row r="459" spans="1:9" s="56" customFormat="1">
      <c r="A459" s="69" t="s">
        <v>879</v>
      </c>
      <c r="B459" s="69" t="s">
        <v>908</v>
      </c>
      <c r="C459" s="69" t="s">
        <v>909</v>
      </c>
      <c r="D459" s="69">
        <v>6295199809501</v>
      </c>
      <c r="E459" s="69" t="s">
        <v>17</v>
      </c>
      <c r="F459" s="69" t="s">
        <v>14</v>
      </c>
      <c r="G459" s="83">
        <v>15095</v>
      </c>
      <c r="I459" s="38" t="str">
        <f>IF(H459&gt;0,COUNTIF($H$16:H459,"&gt;0"),"")</f>
        <v/>
      </c>
    </row>
    <row r="460" spans="1:9" s="56" customFormat="1">
      <c r="A460" s="69" t="s">
        <v>879</v>
      </c>
      <c r="B460" s="69" t="s">
        <v>910</v>
      </c>
      <c r="C460" s="69" t="s">
        <v>911</v>
      </c>
      <c r="D460" s="69">
        <v>6294015181289</v>
      </c>
      <c r="E460" s="69" t="s">
        <v>17</v>
      </c>
      <c r="F460" s="69" t="s">
        <v>14</v>
      </c>
      <c r="G460" s="83">
        <v>14662</v>
      </c>
      <c r="I460" s="38" t="str">
        <f>IF(H460&gt;0,COUNTIF($H$16:H460,"&gt;0"),"")</f>
        <v/>
      </c>
    </row>
    <row r="461" spans="1:9" s="56" customFormat="1">
      <c r="A461" s="69" t="s">
        <v>879</v>
      </c>
      <c r="B461" s="69" t="s">
        <v>912</v>
      </c>
      <c r="C461" s="69" t="s">
        <v>913</v>
      </c>
      <c r="D461" s="69">
        <v>6294015181241</v>
      </c>
      <c r="E461" s="69" t="s">
        <v>17</v>
      </c>
      <c r="F461" s="69" t="s">
        <v>14</v>
      </c>
      <c r="G461" s="83">
        <v>14662</v>
      </c>
      <c r="I461" s="38" t="str">
        <f>IF(H461&gt;0,COUNTIF($H$16:H461,"&gt;0"),"")</f>
        <v/>
      </c>
    </row>
    <row r="462" spans="1:9" s="56" customFormat="1">
      <c r="A462" s="69" t="s">
        <v>879</v>
      </c>
      <c r="B462" s="69" t="s">
        <v>914</v>
      </c>
      <c r="C462" s="69" t="s">
        <v>915</v>
      </c>
      <c r="D462" s="69">
        <v>6294015181203</v>
      </c>
      <c r="E462" s="69" t="s">
        <v>17</v>
      </c>
      <c r="F462" s="69" t="s">
        <v>14</v>
      </c>
      <c r="G462" s="83">
        <v>14662</v>
      </c>
      <c r="I462" s="38" t="str">
        <f>IF(H462&gt;0,COUNTIF($H$16:H462,"&gt;0"),"")</f>
        <v/>
      </c>
    </row>
    <row r="463" spans="1:9" s="56" customFormat="1">
      <c r="A463" s="69" t="s">
        <v>879</v>
      </c>
      <c r="B463" s="69" t="s">
        <v>916</v>
      </c>
      <c r="C463" s="69" t="s">
        <v>917</v>
      </c>
      <c r="D463" s="69">
        <v>6295199800362</v>
      </c>
      <c r="E463" s="69" t="s">
        <v>42</v>
      </c>
      <c r="F463" s="69" t="s">
        <v>14</v>
      </c>
      <c r="G463" s="83">
        <v>15095</v>
      </c>
      <c r="I463" s="38" t="str">
        <f>IF(H463&gt;0,COUNTIF($H$16:H463,"&gt;0"),"")</f>
        <v/>
      </c>
    </row>
    <row r="464" spans="1:9" s="56" customFormat="1">
      <c r="A464" s="69" t="s">
        <v>879</v>
      </c>
      <c r="B464" s="69" t="s">
        <v>918</v>
      </c>
      <c r="C464" s="69" t="s">
        <v>919</v>
      </c>
      <c r="D464" s="69">
        <v>6295199800379</v>
      </c>
      <c r="E464" s="69" t="s">
        <v>13</v>
      </c>
      <c r="F464" s="69" t="s">
        <v>14</v>
      </c>
      <c r="G464" s="83">
        <v>15095</v>
      </c>
      <c r="I464" s="38" t="str">
        <f>IF(H464&gt;0,COUNTIF($H$16:H464,"&gt;0"),"")</f>
        <v/>
      </c>
    </row>
    <row r="465" spans="1:9" s="56" customFormat="1">
      <c r="A465" s="69" t="s">
        <v>879</v>
      </c>
      <c r="B465" s="69" t="s">
        <v>920</v>
      </c>
      <c r="C465" s="69" t="s">
        <v>921</v>
      </c>
      <c r="D465" s="69">
        <v>6294015181210</v>
      </c>
      <c r="E465" s="69" t="s">
        <v>17</v>
      </c>
      <c r="F465" s="69" t="s">
        <v>14</v>
      </c>
      <c r="G465" s="83">
        <v>14662</v>
      </c>
      <c r="I465" s="38" t="str">
        <f>IF(H465&gt;0,COUNTIF($H$16:H465,"&gt;0"),"")</f>
        <v/>
      </c>
    </row>
    <row r="466" spans="1:9" s="56" customFormat="1">
      <c r="A466" s="69" t="s">
        <v>879</v>
      </c>
      <c r="B466" s="69" t="s">
        <v>922</v>
      </c>
      <c r="C466" s="69" t="s">
        <v>923</v>
      </c>
      <c r="D466" s="69">
        <v>6294015181180</v>
      </c>
      <c r="E466" s="69" t="s">
        <v>17</v>
      </c>
      <c r="F466" s="69" t="s">
        <v>14</v>
      </c>
      <c r="G466" s="83">
        <v>14662</v>
      </c>
      <c r="I466" s="38" t="str">
        <f>IF(H466&gt;0,COUNTIF($H$16:H466,"&gt;0"),"")</f>
        <v/>
      </c>
    </row>
    <row r="467" spans="1:9" s="56" customFormat="1">
      <c r="A467" s="69" t="s">
        <v>879</v>
      </c>
      <c r="B467" s="69" t="s">
        <v>924</v>
      </c>
      <c r="C467" s="69" t="s">
        <v>925</v>
      </c>
      <c r="D467" s="69">
        <v>6294015181296</v>
      </c>
      <c r="E467" s="69" t="s">
        <v>17</v>
      </c>
      <c r="F467" s="69" t="s">
        <v>14</v>
      </c>
      <c r="G467" s="83">
        <v>14662</v>
      </c>
      <c r="I467" s="38" t="str">
        <f>IF(H467&gt;0,COUNTIF($H$16:H467,"&gt;0"),"")</f>
        <v/>
      </c>
    </row>
    <row r="468" spans="1:9" s="56" customFormat="1">
      <c r="A468" s="69" t="s">
        <v>879</v>
      </c>
      <c r="B468" s="69" t="s">
        <v>926</v>
      </c>
      <c r="C468" s="69" t="s">
        <v>927</v>
      </c>
      <c r="D468" s="69">
        <v>6295199800508</v>
      </c>
      <c r="E468" s="69" t="s">
        <v>42</v>
      </c>
      <c r="F468" s="69" t="s">
        <v>14</v>
      </c>
      <c r="G468" s="83">
        <v>15095</v>
      </c>
      <c r="I468" s="38" t="str">
        <f>IF(H468&gt;0,COUNTIF($H$16:H468,"&gt;0"),"")</f>
        <v/>
      </c>
    </row>
    <row r="469" spans="1:9" s="56" customFormat="1" ht="27.75" customHeight="1">
      <c r="A469" s="69" t="s">
        <v>879</v>
      </c>
      <c r="B469" s="69" t="s">
        <v>928</v>
      </c>
      <c r="C469" s="69" t="s">
        <v>929</v>
      </c>
      <c r="D469" s="69">
        <v>6295199800454</v>
      </c>
      <c r="E469" s="69" t="s">
        <v>42</v>
      </c>
      <c r="F469" s="69" t="s">
        <v>14</v>
      </c>
      <c r="G469" s="83">
        <v>15095</v>
      </c>
      <c r="I469" s="38" t="str">
        <f>IF(H469&gt;0,COUNTIF($H$16:H469,"&gt;0"),"")</f>
        <v/>
      </c>
    </row>
    <row r="470" spans="1:9" s="56" customFormat="1">
      <c r="A470" s="69" t="s">
        <v>879</v>
      </c>
      <c r="B470" s="69" t="s">
        <v>930</v>
      </c>
      <c r="C470" s="69" t="s">
        <v>931</v>
      </c>
      <c r="D470" s="69">
        <v>6295199800393</v>
      </c>
      <c r="E470" s="69" t="s">
        <v>13</v>
      </c>
      <c r="F470" s="69" t="s">
        <v>14</v>
      </c>
      <c r="G470" s="83">
        <v>15095</v>
      </c>
      <c r="I470" s="38" t="str">
        <f>IF(H470&gt;0,COUNTIF($H$16:H470,"&gt;0"),"")</f>
        <v/>
      </c>
    </row>
    <row r="471" spans="1:9" s="56" customFormat="1">
      <c r="A471" s="69" t="s">
        <v>932</v>
      </c>
      <c r="B471" s="69" t="s">
        <v>933</v>
      </c>
      <c r="C471" s="69" t="s">
        <v>934</v>
      </c>
      <c r="D471" s="69">
        <v>6084015580522</v>
      </c>
      <c r="E471" s="69" t="s">
        <v>13</v>
      </c>
      <c r="F471" s="69" t="s">
        <v>14</v>
      </c>
      <c r="G471" s="83">
        <v>27390</v>
      </c>
      <c r="I471" s="38" t="str">
        <f>IF(H471&gt;0,COUNTIF($H$16:H471,"&gt;0"),"")</f>
        <v/>
      </c>
    </row>
    <row r="472" spans="1:9" s="56" customFormat="1">
      <c r="A472" s="69" t="s">
        <v>932</v>
      </c>
      <c r="B472" s="69" t="s">
        <v>935</v>
      </c>
      <c r="C472" s="69" t="s">
        <v>936</v>
      </c>
      <c r="D472" s="69">
        <v>6290361941324</v>
      </c>
      <c r="E472" s="69" t="s">
        <v>17</v>
      </c>
      <c r="F472" s="69" t="s">
        <v>14</v>
      </c>
      <c r="G472" s="83">
        <v>27390</v>
      </c>
      <c r="I472" s="38" t="str">
        <f>IF(H472&gt;0,COUNTIF($H$16:H472,"&gt;0"),"")</f>
        <v/>
      </c>
    </row>
    <row r="473" spans="1:9" s="56" customFormat="1">
      <c r="A473" s="69" t="s">
        <v>932</v>
      </c>
      <c r="B473" s="69" t="s">
        <v>937</v>
      </c>
      <c r="C473" s="69" t="s">
        <v>938</v>
      </c>
      <c r="D473" s="69">
        <v>6084015580553</v>
      </c>
      <c r="E473" s="69" t="s">
        <v>17</v>
      </c>
      <c r="F473" s="69" t="s">
        <v>14</v>
      </c>
      <c r="G473" s="83">
        <v>27390</v>
      </c>
      <c r="I473" s="38" t="str">
        <f>IF(H473&gt;0,COUNTIF($H$16:H473,"&gt;0"),"")</f>
        <v/>
      </c>
    </row>
    <row r="474" spans="1:9" s="56" customFormat="1">
      <c r="A474" s="69" t="s">
        <v>932</v>
      </c>
      <c r="B474" s="69" t="s">
        <v>939</v>
      </c>
      <c r="C474" s="69" t="s">
        <v>940</v>
      </c>
      <c r="D474" s="69">
        <v>6290361941331</v>
      </c>
      <c r="E474" s="69" t="s">
        <v>17</v>
      </c>
      <c r="F474" s="69" t="s">
        <v>14</v>
      </c>
      <c r="G474" s="83">
        <v>27390</v>
      </c>
      <c r="I474" s="38" t="str">
        <f>IF(H474&gt;0,COUNTIF($H$16:H474,"&gt;0"),"")</f>
        <v/>
      </c>
    </row>
    <row r="475" spans="1:9" s="56" customFormat="1">
      <c r="A475" s="69" t="s">
        <v>932</v>
      </c>
      <c r="B475" s="69" t="s">
        <v>941</v>
      </c>
      <c r="C475" s="69" t="s">
        <v>942</v>
      </c>
      <c r="D475" s="69">
        <v>6084015580515</v>
      </c>
      <c r="E475" s="69" t="s">
        <v>13</v>
      </c>
      <c r="F475" s="69" t="s">
        <v>14</v>
      </c>
      <c r="G475" s="83">
        <v>27390</v>
      </c>
      <c r="I475" s="38" t="str">
        <f>IF(H475&gt;0,COUNTIF($H$16:H475,"&gt;0"),"")</f>
        <v/>
      </c>
    </row>
    <row r="476" spans="1:9" s="56" customFormat="1">
      <c r="A476" s="69" t="s">
        <v>932</v>
      </c>
      <c r="B476" s="69" t="s">
        <v>943</v>
      </c>
      <c r="C476" s="69" t="s">
        <v>944</v>
      </c>
      <c r="D476" s="69">
        <v>6290361941300</v>
      </c>
      <c r="E476" s="69" t="s">
        <v>17</v>
      </c>
      <c r="F476" s="69" t="s">
        <v>14</v>
      </c>
      <c r="G476" s="83">
        <v>27390</v>
      </c>
      <c r="I476" s="38" t="str">
        <f>IF(H476&gt;0,COUNTIF($H$16:H476,"&gt;0"),"")</f>
        <v/>
      </c>
    </row>
    <row r="477" spans="1:9" s="56" customFormat="1">
      <c r="A477" s="69" t="s">
        <v>932</v>
      </c>
      <c r="B477" s="69" t="s">
        <v>945</v>
      </c>
      <c r="C477" s="69" t="s">
        <v>946</v>
      </c>
      <c r="D477" s="69">
        <v>6290361941317</v>
      </c>
      <c r="E477" s="69" t="s">
        <v>17</v>
      </c>
      <c r="F477" s="69" t="s">
        <v>14</v>
      </c>
      <c r="G477" s="83">
        <v>27390</v>
      </c>
      <c r="I477" s="38" t="str">
        <f>IF(H477&gt;0,COUNTIF($H$16:H477,"&gt;0"),"")</f>
        <v/>
      </c>
    </row>
    <row r="478" spans="1:9" s="56" customFormat="1">
      <c r="A478" s="69" t="s">
        <v>932</v>
      </c>
      <c r="B478" s="69" t="s">
        <v>947</v>
      </c>
      <c r="C478" s="69" t="s">
        <v>948</v>
      </c>
      <c r="D478" s="69">
        <v>6084015580546</v>
      </c>
      <c r="E478" s="69" t="s">
        <v>17</v>
      </c>
      <c r="F478" s="69" t="s">
        <v>14</v>
      </c>
      <c r="G478" s="83">
        <v>27390</v>
      </c>
      <c r="I478" s="38" t="str">
        <f>IF(H478&gt;0,COUNTIF($H$16:H478,"&gt;0"),"")</f>
        <v/>
      </c>
    </row>
    <row r="479" spans="1:9" s="56" customFormat="1">
      <c r="A479" s="69" t="s">
        <v>949</v>
      </c>
      <c r="B479" s="69" t="s">
        <v>950</v>
      </c>
      <c r="C479" s="69" t="s">
        <v>951</v>
      </c>
      <c r="D479" s="69">
        <v>6290360375359</v>
      </c>
      <c r="E479" s="69" t="s">
        <v>42</v>
      </c>
      <c r="F479" s="69" t="s">
        <v>14</v>
      </c>
      <c r="G479" s="83">
        <v>11633</v>
      </c>
      <c r="I479" s="38" t="str">
        <f>IF(H479&gt;0,COUNTIF($H$16:H479,"&gt;0"),"")</f>
        <v/>
      </c>
    </row>
    <row r="480" spans="1:9" s="56" customFormat="1">
      <c r="A480" s="69" t="s">
        <v>949</v>
      </c>
      <c r="B480" s="69" t="s">
        <v>952</v>
      </c>
      <c r="C480" s="69" t="s">
        <v>953</v>
      </c>
      <c r="D480" s="69">
        <v>6291108326763</v>
      </c>
      <c r="E480" s="69" t="s">
        <v>13</v>
      </c>
      <c r="F480" s="69" t="s">
        <v>14</v>
      </c>
      <c r="G480" s="83">
        <v>13451</v>
      </c>
      <c r="I480" s="38" t="str">
        <f>IF(H480&gt;0,COUNTIF($H$16:H480,"&gt;0"),"")</f>
        <v/>
      </c>
    </row>
    <row r="481" spans="1:9" s="56" customFormat="1">
      <c r="A481" s="69" t="s">
        <v>949</v>
      </c>
      <c r="B481" s="69" t="s">
        <v>954</v>
      </c>
      <c r="C481" s="69" t="s">
        <v>955</v>
      </c>
      <c r="D481" s="69">
        <v>6290360371436</v>
      </c>
      <c r="E481" s="69" t="s">
        <v>13</v>
      </c>
      <c r="F481" s="69" t="s">
        <v>14</v>
      </c>
      <c r="G481" s="83">
        <v>16047</v>
      </c>
      <c r="I481" s="38" t="str">
        <f>IF(H481&gt;0,COUNTIF($H$16:H481,"&gt;0"),"")</f>
        <v/>
      </c>
    </row>
    <row r="482" spans="1:9" s="56" customFormat="1">
      <c r="A482" s="69" t="s">
        <v>949</v>
      </c>
      <c r="B482" s="69" t="s">
        <v>956</v>
      </c>
      <c r="C482" s="69" t="s">
        <v>957</v>
      </c>
      <c r="D482" s="69">
        <v>6290360376356</v>
      </c>
      <c r="E482" s="69" t="s">
        <v>42</v>
      </c>
      <c r="F482" s="69" t="s">
        <v>14</v>
      </c>
      <c r="G482" s="83">
        <v>13797</v>
      </c>
      <c r="I482" s="38" t="str">
        <f>IF(H482&gt;0,COUNTIF($H$16:H482,"&gt;0"),"")</f>
        <v/>
      </c>
    </row>
    <row r="483" spans="1:9" s="56" customFormat="1">
      <c r="A483" s="69" t="s">
        <v>949</v>
      </c>
      <c r="B483" s="69" t="s">
        <v>958</v>
      </c>
      <c r="C483" s="69" t="s">
        <v>959</v>
      </c>
      <c r="D483" s="69">
        <v>6290360371160</v>
      </c>
      <c r="E483" s="69" t="s">
        <v>13</v>
      </c>
      <c r="F483" s="69" t="s">
        <v>960</v>
      </c>
      <c r="G483" s="83">
        <v>11114</v>
      </c>
      <c r="I483" s="38" t="str">
        <f>IF(H483&gt;0,COUNTIF($H$16:H483,"&gt;0"),"")</f>
        <v/>
      </c>
    </row>
    <row r="484" spans="1:9" s="56" customFormat="1">
      <c r="A484" s="69" t="s">
        <v>949</v>
      </c>
      <c r="B484" s="69" t="s">
        <v>961</v>
      </c>
      <c r="C484" s="69" t="s">
        <v>962</v>
      </c>
      <c r="D484" s="69">
        <v>6291108324981</v>
      </c>
      <c r="E484" s="69" t="s">
        <v>42</v>
      </c>
      <c r="F484" s="69" t="s">
        <v>14</v>
      </c>
      <c r="G484" s="83">
        <v>11373</v>
      </c>
      <c r="I484" s="38" t="str">
        <f>IF(H484&gt;0,COUNTIF($H$16:H484,"&gt;0"),"")</f>
        <v/>
      </c>
    </row>
    <row r="485" spans="1:9" s="56" customFormat="1">
      <c r="A485" s="69" t="s">
        <v>949</v>
      </c>
      <c r="B485" s="69" t="s">
        <v>963</v>
      </c>
      <c r="C485" s="69" t="s">
        <v>964</v>
      </c>
      <c r="D485" s="69">
        <v>6290360378909</v>
      </c>
      <c r="E485" s="69" t="s">
        <v>17</v>
      </c>
      <c r="F485" s="69" t="s">
        <v>14</v>
      </c>
      <c r="G485" s="83">
        <v>14402</v>
      </c>
      <c r="I485" s="38" t="str">
        <f>IF(H485&gt;0,COUNTIF($H$16:H485,"&gt;0"),"")</f>
        <v/>
      </c>
    </row>
    <row r="486" spans="1:9" s="56" customFormat="1">
      <c r="A486" s="69" t="s">
        <v>949</v>
      </c>
      <c r="B486" s="69" t="s">
        <v>965</v>
      </c>
      <c r="C486" s="69" t="s">
        <v>966</v>
      </c>
      <c r="D486" s="69">
        <v>6298042000582</v>
      </c>
      <c r="E486" s="69" t="s">
        <v>13</v>
      </c>
      <c r="F486" s="69" t="s">
        <v>14</v>
      </c>
      <c r="G486" s="83">
        <v>16480</v>
      </c>
      <c r="I486" s="38" t="str">
        <f>IF(H486&gt;0,COUNTIF($H$16:H486,"&gt;0"),"")</f>
        <v/>
      </c>
    </row>
    <row r="487" spans="1:9" s="56" customFormat="1">
      <c r="A487" s="69" t="s">
        <v>949</v>
      </c>
      <c r="B487" s="69" t="s">
        <v>967</v>
      </c>
      <c r="C487" s="69" t="s">
        <v>968</v>
      </c>
      <c r="D487" s="69">
        <v>6290360379319</v>
      </c>
      <c r="E487" s="69" t="s">
        <v>17</v>
      </c>
      <c r="F487" s="69" t="s">
        <v>14</v>
      </c>
      <c r="G487" s="83">
        <v>17259</v>
      </c>
      <c r="I487" s="38" t="str">
        <f>IF(H487&gt;0,COUNTIF($H$16:H487,"&gt;0"),"")</f>
        <v/>
      </c>
    </row>
    <row r="488" spans="1:9" s="56" customFormat="1">
      <c r="A488" s="69" t="s">
        <v>949</v>
      </c>
      <c r="B488" s="69" t="s">
        <v>969</v>
      </c>
      <c r="C488" s="69" t="s">
        <v>970</v>
      </c>
      <c r="D488" s="69">
        <v>6290360371306</v>
      </c>
      <c r="E488" s="69" t="s">
        <v>17</v>
      </c>
      <c r="F488" s="69" t="s">
        <v>14</v>
      </c>
      <c r="G488" s="83">
        <v>11806</v>
      </c>
      <c r="I488" s="38" t="str">
        <f>IF(H488&gt;0,COUNTIF($H$16:H488,"&gt;0"),"")</f>
        <v/>
      </c>
    </row>
    <row r="489" spans="1:9" s="56" customFormat="1">
      <c r="A489" s="69" t="s">
        <v>949</v>
      </c>
      <c r="B489" s="69" t="s">
        <v>971</v>
      </c>
      <c r="C489" s="69" t="s">
        <v>972</v>
      </c>
      <c r="D489" s="69">
        <v>6290360378039</v>
      </c>
      <c r="E489" s="69" t="s">
        <v>17</v>
      </c>
      <c r="F489" s="69" t="s">
        <v>14</v>
      </c>
      <c r="G489" s="83">
        <v>16913</v>
      </c>
      <c r="I489" s="38" t="str">
        <f>IF(H489&gt;0,COUNTIF($H$16:H489,"&gt;0"),"")</f>
        <v/>
      </c>
    </row>
    <row r="490" spans="1:9" s="56" customFormat="1">
      <c r="A490" s="69" t="s">
        <v>949</v>
      </c>
      <c r="B490" s="69" t="s">
        <v>973</v>
      </c>
      <c r="C490" s="69" t="s">
        <v>974</v>
      </c>
      <c r="D490" s="69">
        <v>6298042001954</v>
      </c>
      <c r="E490" s="69" t="s">
        <v>17</v>
      </c>
      <c r="F490" s="69" t="s">
        <v>14</v>
      </c>
      <c r="G490" s="83">
        <v>14489</v>
      </c>
      <c r="I490" s="38" t="str">
        <f>IF(H490&gt;0,COUNTIF($H$16:H490,"&gt;0"),"")</f>
        <v/>
      </c>
    </row>
    <row r="491" spans="1:9" s="56" customFormat="1">
      <c r="A491" s="69" t="s">
        <v>949</v>
      </c>
      <c r="B491" s="69" t="s">
        <v>975</v>
      </c>
      <c r="C491" s="69" t="s">
        <v>976</v>
      </c>
      <c r="D491" s="69">
        <v>6298042001817</v>
      </c>
      <c r="E491" s="69" t="s">
        <v>13</v>
      </c>
      <c r="F491" s="69" t="s">
        <v>14</v>
      </c>
      <c r="G491" s="83">
        <v>11200</v>
      </c>
      <c r="I491" s="38" t="str">
        <f>IF(H491&gt;0,COUNTIF($H$16:H491,"&gt;0"),"")</f>
        <v/>
      </c>
    </row>
    <row r="492" spans="1:9" s="56" customFormat="1">
      <c r="A492" s="69" t="s">
        <v>949</v>
      </c>
      <c r="B492" s="69" t="s">
        <v>977</v>
      </c>
      <c r="C492" s="69" t="s">
        <v>978</v>
      </c>
      <c r="D492" s="69">
        <v>6298042001473</v>
      </c>
      <c r="E492" s="69" t="s">
        <v>42</v>
      </c>
      <c r="F492" s="69" t="s">
        <v>14</v>
      </c>
      <c r="G492" s="83">
        <v>15181</v>
      </c>
      <c r="I492" s="38" t="str">
        <f>IF(H492&gt;0,COUNTIF($H$16:H492,"&gt;0"),"")</f>
        <v/>
      </c>
    </row>
    <row r="493" spans="1:9" s="56" customFormat="1">
      <c r="A493" s="69" t="s">
        <v>949</v>
      </c>
      <c r="B493" s="69" t="s">
        <v>979</v>
      </c>
      <c r="C493" s="69" t="s">
        <v>980</v>
      </c>
      <c r="D493" s="69">
        <v>6298042001497</v>
      </c>
      <c r="E493" s="69" t="s">
        <v>42</v>
      </c>
      <c r="F493" s="69" t="s">
        <v>14</v>
      </c>
      <c r="G493" s="83">
        <v>15181</v>
      </c>
      <c r="I493" s="38" t="str">
        <f>IF(H493&gt;0,COUNTIF($H$16:H493,"&gt;0"),"")</f>
        <v/>
      </c>
    </row>
    <row r="494" spans="1:9" s="56" customFormat="1">
      <c r="A494" s="69" t="s">
        <v>949</v>
      </c>
      <c r="B494" s="69" t="s">
        <v>981</v>
      </c>
      <c r="C494" s="69" t="s">
        <v>982</v>
      </c>
      <c r="D494" s="69">
        <v>6290360379036</v>
      </c>
      <c r="E494" s="69" t="s">
        <v>13</v>
      </c>
      <c r="F494" s="69" t="s">
        <v>14</v>
      </c>
      <c r="G494" s="83">
        <v>14316</v>
      </c>
      <c r="I494" s="38" t="str">
        <f>IF(H494&gt;0,COUNTIF($H$16:H494,"&gt;0"),"")</f>
        <v/>
      </c>
    </row>
    <row r="495" spans="1:9" s="56" customFormat="1">
      <c r="A495" s="69" t="s">
        <v>949</v>
      </c>
      <c r="B495" s="69" t="s">
        <v>983</v>
      </c>
      <c r="C495" s="69" t="s">
        <v>984</v>
      </c>
      <c r="D495" s="69">
        <v>6290360379029</v>
      </c>
      <c r="E495" s="69" t="s">
        <v>17</v>
      </c>
      <c r="F495" s="69" t="s">
        <v>14</v>
      </c>
      <c r="G495" s="83">
        <v>14316</v>
      </c>
      <c r="I495" s="38" t="str">
        <f>IF(H495&gt;0,COUNTIF($H$16:H495,"&gt;0"),"")</f>
        <v/>
      </c>
    </row>
    <row r="496" spans="1:9" s="56" customFormat="1">
      <c r="A496" s="69" t="s">
        <v>949</v>
      </c>
      <c r="B496" s="69" t="s">
        <v>985</v>
      </c>
      <c r="C496" s="69" t="s">
        <v>986</v>
      </c>
      <c r="D496" s="69">
        <v>6291108323847</v>
      </c>
      <c r="E496" s="69" t="s">
        <v>13</v>
      </c>
      <c r="F496" s="69" t="s">
        <v>14</v>
      </c>
      <c r="G496" s="83">
        <v>11546</v>
      </c>
      <c r="I496" s="38" t="str">
        <f>IF(H496&gt;0,COUNTIF($H$16:H496,"&gt;0"),"")</f>
        <v/>
      </c>
    </row>
    <row r="497" spans="1:9" s="56" customFormat="1">
      <c r="A497" s="69" t="s">
        <v>949</v>
      </c>
      <c r="B497" s="69" t="s">
        <v>987</v>
      </c>
      <c r="C497" s="69" t="s">
        <v>988</v>
      </c>
      <c r="D497" s="69">
        <v>6290360379128</v>
      </c>
      <c r="E497" s="69" t="s">
        <v>17</v>
      </c>
      <c r="F497" s="69" t="s">
        <v>14</v>
      </c>
      <c r="G497" s="83">
        <v>12238</v>
      </c>
      <c r="I497" s="38" t="str">
        <f>IF(H497&gt;0,COUNTIF($H$16:H497,"&gt;0"),"")</f>
        <v/>
      </c>
    </row>
    <row r="498" spans="1:9" s="56" customFormat="1">
      <c r="A498" s="69" t="s">
        <v>949</v>
      </c>
      <c r="B498" s="69" t="s">
        <v>989</v>
      </c>
      <c r="C498" s="69" t="s">
        <v>990</v>
      </c>
      <c r="D498" s="69">
        <v>6290360379135</v>
      </c>
      <c r="E498" s="69" t="s">
        <v>17</v>
      </c>
      <c r="F498" s="69" t="s">
        <v>14</v>
      </c>
      <c r="G498" s="83">
        <v>12498</v>
      </c>
      <c r="I498" s="38" t="str">
        <f>IF(H498&gt;0,COUNTIF($H$16:H498,"&gt;0"),"")</f>
        <v/>
      </c>
    </row>
    <row r="499" spans="1:9" s="56" customFormat="1">
      <c r="A499" s="69" t="s">
        <v>949</v>
      </c>
      <c r="B499" s="69" t="s">
        <v>991</v>
      </c>
      <c r="C499" s="69" t="s">
        <v>992</v>
      </c>
      <c r="D499" s="69">
        <v>6290360379708</v>
      </c>
      <c r="E499" s="69" t="s">
        <v>17</v>
      </c>
      <c r="F499" s="69" t="s">
        <v>14</v>
      </c>
      <c r="G499" s="83">
        <v>12759</v>
      </c>
      <c r="I499" s="38" t="str">
        <f>IF(H499&gt;0,COUNTIF($H$16:H499,"&gt;0"),"")</f>
        <v/>
      </c>
    </row>
    <row r="500" spans="1:9" s="56" customFormat="1">
      <c r="A500" s="69" t="s">
        <v>949</v>
      </c>
      <c r="B500" s="69" t="s">
        <v>993</v>
      </c>
      <c r="C500" s="69" t="s">
        <v>994</v>
      </c>
      <c r="D500" s="69">
        <v>6298042000025</v>
      </c>
      <c r="E500" s="69" t="s">
        <v>17</v>
      </c>
      <c r="F500" s="69" t="s">
        <v>14</v>
      </c>
      <c r="G500" s="83">
        <v>6526</v>
      </c>
      <c r="I500" s="38" t="str">
        <f>IF(H500&gt;0,COUNTIF($H$16:H500,"&gt;0"),"")</f>
        <v/>
      </c>
    </row>
    <row r="501" spans="1:9" s="56" customFormat="1">
      <c r="A501" s="69" t="s">
        <v>949</v>
      </c>
      <c r="B501" s="69" t="s">
        <v>995</v>
      </c>
      <c r="C501" s="69" t="s">
        <v>996</v>
      </c>
      <c r="D501" s="69">
        <v>6290360376554</v>
      </c>
      <c r="E501" s="69" t="s">
        <v>13</v>
      </c>
      <c r="F501" s="69" t="s">
        <v>14</v>
      </c>
      <c r="G501" s="83">
        <v>13537</v>
      </c>
      <c r="I501" s="38" t="str">
        <f>IF(H501&gt;0,COUNTIF($H$16:H501,"&gt;0"),"")</f>
        <v/>
      </c>
    </row>
    <row r="502" spans="1:9" s="56" customFormat="1">
      <c r="A502" s="69" t="s">
        <v>949</v>
      </c>
      <c r="B502" s="69" t="s">
        <v>997</v>
      </c>
      <c r="C502" s="69" t="s">
        <v>998</v>
      </c>
      <c r="D502" s="69">
        <v>6290360371313</v>
      </c>
      <c r="E502" s="69" t="s">
        <v>17</v>
      </c>
      <c r="F502" s="69" t="s">
        <v>14</v>
      </c>
      <c r="G502" s="83">
        <v>12412</v>
      </c>
      <c r="I502" s="38" t="str">
        <f>IF(H502&gt;0,COUNTIF($H$16:H502,"&gt;0"),"")</f>
        <v/>
      </c>
    </row>
    <row r="503" spans="1:9" s="56" customFormat="1">
      <c r="A503" s="69" t="s">
        <v>949</v>
      </c>
      <c r="B503" s="69" t="s">
        <v>999</v>
      </c>
      <c r="C503" s="69" t="s">
        <v>1000</v>
      </c>
      <c r="D503" s="69">
        <v>6290360379531</v>
      </c>
      <c r="E503" s="69" t="s">
        <v>17</v>
      </c>
      <c r="F503" s="69" t="s">
        <v>14</v>
      </c>
      <c r="G503" s="83">
        <v>15442</v>
      </c>
      <c r="I503" s="38" t="str">
        <f>IF(H503&gt;0,COUNTIF($H$16:H503,"&gt;0"),"")</f>
        <v/>
      </c>
    </row>
    <row r="504" spans="1:9" s="56" customFormat="1">
      <c r="A504" s="69" t="s">
        <v>949</v>
      </c>
      <c r="B504" s="69" t="s">
        <v>1001</v>
      </c>
      <c r="C504" s="69" t="s">
        <v>1002</v>
      </c>
      <c r="D504" s="69">
        <v>6290360376066</v>
      </c>
      <c r="E504" s="69" t="s">
        <v>42</v>
      </c>
      <c r="F504" s="69" t="s">
        <v>14</v>
      </c>
      <c r="G504" s="83">
        <v>11806</v>
      </c>
      <c r="I504" s="38" t="str">
        <f>IF(H504&gt;0,COUNTIF($H$16:H504,"&gt;0"),"")</f>
        <v/>
      </c>
    </row>
    <row r="505" spans="1:9" s="56" customFormat="1">
      <c r="A505" s="69" t="s">
        <v>949</v>
      </c>
      <c r="B505" s="69" t="s">
        <v>1003</v>
      </c>
      <c r="C505" s="69" t="s">
        <v>1004</v>
      </c>
      <c r="D505" s="69">
        <v>6291108323953</v>
      </c>
      <c r="E505" s="69" t="s">
        <v>17</v>
      </c>
      <c r="F505" s="69" t="s">
        <v>14</v>
      </c>
      <c r="G505" s="83">
        <v>18125</v>
      </c>
      <c r="I505" s="38" t="str">
        <f>IF(H505&gt;0,COUNTIF($H$16:H505,"&gt;0"),"")</f>
        <v/>
      </c>
    </row>
    <row r="506" spans="1:9" s="56" customFormat="1">
      <c r="A506" s="69" t="s">
        <v>949</v>
      </c>
      <c r="B506" s="69" t="s">
        <v>1005</v>
      </c>
      <c r="C506" s="69" t="s">
        <v>1006</v>
      </c>
      <c r="D506" s="69">
        <v>6290360375687</v>
      </c>
      <c r="E506" s="69" t="s">
        <v>17</v>
      </c>
      <c r="F506" s="69" t="s">
        <v>14</v>
      </c>
      <c r="G506" s="83">
        <v>19769</v>
      </c>
      <c r="I506" s="38" t="str">
        <f>IF(H506&gt;0,COUNTIF($H$16:H506,"&gt;0"),"")</f>
        <v/>
      </c>
    </row>
    <row r="507" spans="1:9" s="56" customFormat="1" ht="27.75" customHeight="1">
      <c r="A507" s="69" t="s">
        <v>949</v>
      </c>
      <c r="B507" s="69" t="s">
        <v>1007</v>
      </c>
      <c r="C507" s="69" t="s">
        <v>1008</v>
      </c>
      <c r="D507" s="69">
        <v>6290360378817</v>
      </c>
      <c r="E507" s="69" t="s">
        <v>13</v>
      </c>
      <c r="F507" s="69" t="s">
        <v>14</v>
      </c>
      <c r="G507" s="83">
        <v>13451</v>
      </c>
      <c r="I507" s="38" t="str">
        <f>IF(H507&gt;0,COUNTIF($H$16:H507,"&gt;0"),"")</f>
        <v/>
      </c>
    </row>
    <row r="508" spans="1:9" s="56" customFormat="1">
      <c r="A508" s="69" t="s">
        <v>949</v>
      </c>
      <c r="B508" s="69" t="s">
        <v>1009</v>
      </c>
      <c r="C508" s="69" t="s">
        <v>1010</v>
      </c>
      <c r="D508" s="69">
        <v>6290360370736</v>
      </c>
      <c r="E508" s="69" t="s">
        <v>17</v>
      </c>
      <c r="F508" s="69" t="s">
        <v>14</v>
      </c>
      <c r="G508" s="83">
        <v>12152</v>
      </c>
      <c r="I508" s="38" t="str">
        <f>IF(H508&gt;0,COUNTIF($H$16:H508,"&gt;0"),"")</f>
        <v/>
      </c>
    </row>
    <row r="509" spans="1:9" s="56" customFormat="1">
      <c r="A509" s="69" t="s">
        <v>949</v>
      </c>
      <c r="B509" s="69" t="s">
        <v>1011</v>
      </c>
      <c r="C509" s="69" t="s">
        <v>1012</v>
      </c>
      <c r="D509" s="69">
        <v>6290360370729</v>
      </c>
      <c r="E509" s="69" t="s">
        <v>17</v>
      </c>
      <c r="F509" s="69" t="s">
        <v>14</v>
      </c>
      <c r="G509" s="83">
        <v>12152</v>
      </c>
      <c r="I509" s="38" t="str">
        <f>IF(H509&gt;0,COUNTIF($H$16:H509,"&gt;0"),"")</f>
        <v/>
      </c>
    </row>
    <row r="510" spans="1:9" s="56" customFormat="1">
      <c r="A510" s="69" t="s">
        <v>949</v>
      </c>
      <c r="B510" s="69" t="s">
        <v>1013</v>
      </c>
      <c r="C510" s="69" t="s">
        <v>1014</v>
      </c>
      <c r="D510" s="69">
        <v>6290360370712</v>
      </c>
      <c r="E510" s="69" t="s">
        <v>17</v>
      </c>
      <c r="F510" s="69" t="s">
        <v>14</v>
      </c>
      <c r="G510" s="83">
        <v>12152</v>
      </c>
      <c r="I510" s="38" t="str">
        <f>IF(H510&gt;0,COUNTIF($H$16:H510,"&gt;0"),"")</f>
        <v/>
      </c>
    </row>
    <row r="511" spans="1:9" s="56" customFormat="1">
      <c r="A511" s="69" t="s">
        <v>949</v>
      </c>
      <c r="B511" s="69" t="s">
        <v>1015</v>
      </c>
      <c r="C511" s="69" t="s">
        <v>1016</v>
      </c>
      <c r="D511" s="69">
        <v>6290360370835</v>
      </c>
      <c r="E511" s="69" t="s">
        <v>17</v>
      </c>
      <c r="F511" s="69" t="s">
        <v>14</v>
      </c>
      <c r="G511" s="83">
        <v>12152</v>
      </c>
      <c r="I511" s="38" t="str">
        <f>IF(H511&gt;0,COUNTIF($H$16:H511,"&gt;0"),"")</f>
        <v/>
      </c>
    </row>
    <row r="512" spans="1:9" s="56" customFormat="1" ht="27.75" customHeight="1">
      <c r="A512" s="69" t="s">
        <v>949</v>
      </c>
      <c r="B512" s="69" t="s">
        <v>1017</v>
      </c>
      <c r="C512" s="69" t="s">
        <v>1018</v>
      </c>
      <c r="D512" s="69">
        <v>6290360375861</v>
      </c>
      <c r="E512" s="69" t="s">
        <v>13</v>
      </c>
      <c r="F512" s="69" t="s">
        <v>14</v>
      </c>
      <c r="G512" s="83">
        <v>11806</v>
      </c>
      <c r="I512" s="38" t="str">
        <f>IF(H512&gt;0,COUNTIF($H$16:H512,"&gt;0"),"")</f>
        <v/>
      </c>
    </row>
    <row r="513" spans="1:9" s="56" customFormat="1">
      <c r="A513" s="69" t="s">
        <v>949</v>
      </c>
      <c r="B513" s="69" t="s">
        <v>1019</v>
      </c>
      <c r="C513" s="69" t="s">
        <v>1020</v>
      </c>
      <c r="D513" s="69">
        <v>6290360378831</v>
      </c>
      <c r="E513" s="69" t="s">
        <v>13</v>
      </c>
      <c r="F513" s="69" t="s">
        <v>14</v>
      </c>
      <c r="G513" s="83">
        <v>12065</v>
      </c>
      <c r="I513" s="38" t="str">
        <f>IF(H513&gt;0,COUNTIF($H$16:H513,"&gt;0"),"")</f>
        <v/>
      </c>
    </row>
    <row r="514" spans="1:9" s="56" customFormat="1">
      <c r="A514" s="69" t="s">
        <v>949</v>
      </c>
      <c r="B514" s="69" t="s">
        <v>1021</v>
      </c>
      <c r="C514" s="69" t="s">
        <v>1022</v>
      </c>
      <c r="D514" s="69">
        <v>6290360375953</v>
      </c>
      <c r="E514" s="69" t="s">
        <v>42</v>
      </c>
      <c r="F514" s="69" t="s">
        <v>14</v>
      </c>
      <c r="G514" s="83">
        <v>15269</v>
      </c>
      <c r="I514" s="38" t="str">
        <f>IF(H514&gt;0,COUNTIF($H$16:H514,"&gt;0"),"")</f>
        <v/>
      </c>
    </row>
    <row r="515" spans="1:9" s="56" customFormat="1">
      <c r="A515" s="69" t="s">
        <v>949</v>
      </c>
      <c r="B515" s="69" t="s">
        <v>1023</v>
      </c>
      <c r="C515" s="69" t="s">
        <v>1024</v>
      </c>
      <c r="D515" s="69">
        <v>6290360376363</v>
      </c>
      <c r="E515" s="69" t="s">
        <v>42</v>
      </c>
      <c r="F515" s="69" t="s">
        <v>14</v>
      </c>
      <c r="G515" s="83">
        <v>13624</v>
      </c>
      <c r="I515" s="38" t="str">
        <f>IF(H515&gt;0,COUNTIF($H$16:H515,"&gt;0"),"")</f>
        <v/>
      </c>
    </row>
    <row r="516" spans="1:9" s="56" customFormat="1">
      <c r="A516" s="69" t="s">
        <v>949</v>
      </c>
      <c r="B516" s="69" t="s">
        <v>1025</v>
      </c>
      <c r="C516" s="69" t="s">
        <v>1026</v>
      </c>
      <c r="D516" s="69">
        <v>6290360376349</v>
      </c>
      <c r="E516" s="69" t="s">
        <v>42</v>
      </c>
      <c r="F516" s="69" t="s">
        <v>14</v>
      </c>
      <c r="G516" s="83">
        <v>13883</v>
      </c>
      <c r="I516" s="38" t="str">
        <f>IF(H516&gt;0,COUNTIF($H$16:H516,"&gt;0"),"")</f>
        <v/>
      </c>
    </row>
    <row r="517" spans="1:9" s="56" customFormat="1">
      <c r="A517" s="69" t="s">
        <v>949</v>
      </c>
      <c r="B517" s="69" t="s">
        <v>1027</v>
      </c>
      <c r="C517" s="69" t="s">
        <v>1028</v>
      </c>
      <c r="D517" s="69">
        <v>6290360377391</v>
      </c>
      <c r="E517" s="69" t="s">
        <v>13</v>
      </c>
      <c r="F517" s="69" t="s">
        <v>14</v>
      </c>
      <c r="G517" s="83">
        <v>13970</v>
      </c>
      <c r="I517" s="38" t="str">
        <f>IF(H517&gt;0,COUNTIF($H$16:H517,"&gt;0"),"")</f>
        <v/>
      </c>
    </row>
    <row r="518" spans="1:9" s="56" customFormat="1">
      <c r="A518" s="69" t="s">
        <v>949</v>
      </c>
      <c r="B518" s="69" t="s">
        <v>1029</v>
      </c>
      <c r="C518" s="69" t="s">
        <v>1030</v>
      </c>
      <c r="D518" s="69">
        <v>6290360377407</v>
      </c>
      <c r="E518" s="69" t="s">
        <v>13</v>
      </c>
      <c r="F518" s="69" t="s">
        <v>14</v>
      </c>
      <c r="G518" s="83">
        <v>13970</v>
      </c>
      <c r="I518" s="38" t="str">
        <f>IF(H518&gt;0,COUNTIF($H$16:H518,"&gt;0"),"")</f>
        <v/>
      </c>
    </row>
    <row r="519" spans="1:9" s="56" customFormat="1">
      <c r="A519" s="69" t="s">
        <v>949</v>
      </c>
      <c r="B519" s="69" t="s">
        <v>1031</v>
      </c>
      <c r="C519" s="69" t="s">
        <v>1032</v>
      </c>
      <c r="D519" s="69">
        <v>6290360376585</v>
      </c>
      <c r="E519" s="69" t="s">
        <v>17</v>
      </c>
      <c r="F519" s="69" t="s">
        <v>14</v>
      </c>
      <c r="G519" s="83">
        <v>41284</v>
      </c>
      <c r="I519" s="38" t="str">
        <f>IF(H519&gt;0,COUNTIF($H$16:H519,"&gt;0"),"")</f>
        <v/>
      </c>
    </row>
    <row r="520" spans="1:9" s="56" customFormat="1">
      <c r="A520" s="69" t="s">
        <v>949</v>
      </c>
      <c r="B520" s="69" t="s">
        <v>1033</v>
      </c>
      <c r="C520" s="69" t="s">
        <v>1034</v>
      </c>
      <c r="D520" s="69">
        <v>6290360376578</v>
      </c>
      <c r="E520" s="69" t="s">
        <v>17</v>
      </c>
      <c r="F520" s="69" t="s">
        <v>14</v>
      </c>
      <c r="G520" s="83">
        <v>41284</v>
      </c>
      <c r="I520" s="38" t="str">
        <f>IF(H520&gt;0,COUNTIF($H$16:H520,"&gt;0"),"")</f>
        <v/>
      </c>
    </row>
    <row r="521" spans="1:9" s="56" customFormat="1">
      <c r="A521" s="69" t="s">
        <v>949</v>
      </c>
      <c r="B521" s="69" t="s">
        <v>1035</v>
      </c>
      <c r="C521" s="69" t="s">
        <v>1036</v>
      </c>
      <c r="D521" s="69">
        <v>6290360375649</v>
      </c>
      <c r="E521" s="69" t="s">
        <v>42</v>
      </c>
      <c r="F521" s="69" t="s">
        <v>14</v>
      </c>
      <c r="G521" s="83">
        <v>24014</v>
      </c>
      <c r="I521" s="38" t="str">
        <f>IF(H521&gt;0,COUNTIF($H$16:H521,"&gt;0"),"")</f>
        <v/>
      </c>
    </row>
    <row r="522" spans="1:9" s="56" customFormat="1">
      <c r="A522" s="69" t="s">
        <v>949</v>
      </c>
      <c r="B522" s="69" t="s">
        <v>1037</v>
      </c>
      <c r="C522" s="69" t="s">
        <v>1038</v>
      </c>
      <c r="D522" s="69">
        <v>6290360378435</v>
      </c>
      <c r="E522" s="69" t="s">
        <v>17</v>
      </c>
      <c r="F522" s="69" t="s">
        <v>14</v>
      </c>
      <c r="G522" s="83">
        <v>11806</v>
      </c>
      <c r="I522" s="38" t="str">
        <f>IF(H522&gt;0,COUNTIF($H$16:H522,"&gt;0"),"")</f>
        <v/>
      </c>
    </row>
    <row r="523" spans="1:9" s="56" customFormat="1">
      <c r="A523" s="69" t="s">
        <v>949</v>
      </c>
      <c r="B523" s="69" t="s">
        <v>1039</v>
      </c>
      <c r="C523" s="69" t="s">
        <v>1040</v>
      </c>
      <c r="D523" s="69">
        <v>6290360378022</v>
      </c>
      <c r="E523" s="69" t="s">
        <v>17</v>
      </c>
      <c r="F523" s="69" t="s">
        <v>14</v>
      </c>
      <c r="G523" s="83">
        <v>13883</v>
      </c>
      <c r="I523" s="38" t="str">
        <f>IF(H523&gt;0,COUNTIF($H$16:H523,"&gt;0"),"")</f>
        <v/>
      </c>
    </row>
    <row r="524" spans="1:9" s="56" customFormat="1" ht="30">
      <c r="A524" s="69" t="s">
        <v>949</v>
      </c>
      <c r="B524" s="69" t="s">
        <v>1041</v>
      </c>
      <c r="C524" s="69" t="s">
        <v>1042</v>
      </c>
      <c r="D524" s="69">
        <v>6290360371610</v>
      </c>
      <c r="E524" s="69" t="s">
        <v>42</v>
      </c>
      <c r="F524" s="69" t="s">
        <v>14</v>
      </c>
      <c r="G524" s="83">
        <v>18298</v>
      </c>
      <c r="I524" s="38" t="str">
        <f>IF(H524&gt;0,COUNTIF($H$16:H524,"&gt;0"),"")</f>
        <v/>
      </c>
    </row>
    <row r="525" spans="1:9" s="56" customFormat="1">
      <c r="A525" s="69" t="s">
        <v>949</v>
      </c>
      <c r="B525" s="69" t="s">
        <v>1043</v>
      </c>
      <c r="C525" s="69" t="s">
        <v>1044</v>
      </c>
      <c r="D525" s="69">
        <v>6290360379005</v>
      </c>
      <c r="E525" s="69" t="s">
        <v>13</v>
      </c>
      <c r="F525" s="69" t="s">
        <v>14</v>
      </c>
      <c r="G525" s="83">
        <v>12325</v>
      </c>
      <c r="I525" s="38" t="str">
        <f>IF(H525&gt;0,COUNTIF($H$16:H525,"&gt;0"),"")</f>
        <v/>
      </c>
    </row>
    <row r="526" spans="1:9" s="56" customFormat="1">
      <c r="A526" s="69" t="s">
        <v>949</v>
      </c>
      <c r="B526" s="69" t="s">
        <v>1045</v>
      </c>
      <c r="C526" s="69" t="s">
        <v>1046</v>
      </c>
      <c r="D526" s="69">
        <v>6290360378824</v>
      </c>
      <c r="E526" s="69" t="s">
        <v>13</v>
      </c>
      <c r="F526" s="69" t="s">
        <v>14</v>
      </c>
      <c r="G526" s="83">
        <v>13105</v>
      </c>
      <c r="I526" s="38" t="str">
        <f>IF(H526&gt;0,COUNTIF($H$16:H526,"&gt;0"),"")</f>
        <v/>
      </c>
    </row>
    <row r="527" spans="1:9" s="56" customFormat="1">
      <c r="A527" s="69" t="s">
        <v>949</v>
      </c>
      <c r="B527" s="69" t="s">
        <v>1047</v>
      </c>
      <c r="C527" s="69" t="s">
        <v>1048</v>
      </c>
      <c r="D527" s="69">
        <v>6290360379449</v>
      </c>
      <c r="E527" s="69" t="s">
        <v>13</v>
      </c>
      <c r="F527" s="69" t="s">
        <v>14</v>
      </c>
      <c r="G527" s="83">
        <v>17172</v>
      </c>
      <c r="I527" s="38" t="str">
        <f>IF(H527&gt;0,COUNTIF($H$16:H527,"&gt;0"),"")</f>
        <v/>
      </c>
    </row>
    <row r="528" spans="1:9" s="56" customFormat="1">
      <c r="A528" s="69" t="s">
        <v>949</v>
      </c>
      <c r="B528" s="69" t="s">
        <v>1049</v>
      </c>
      <c r="C528" s="69" t="s">
        <v>1050</v>
      </c>
      <c r="D528" s="69">
        <v>6291108326060</v>
      </c>
      <c r="E528" s="69" t="s">
        <v>13</v>
      </c>
      <c r="F528" s="69" t="s">
        <v>14</v>
      </c>
      <c r="G528" s="83">
        <v>11373</v>
      </c>
      <c r="I528" s="38" t="str">
        <f>IF(H528&gt;0,COUNTIF($H$16:H528,"&gt;0"),"")</f>
        <v/>
      </c>
    </row>
    <row r="529" spans="1:9" s="56" customFormat="1">
      <c r="A529" s="69" t="s">
        <v>949</v>
      </c>
      <c r="B529" s="69" t="s">
        <v>1051</v>
      </c>
      <c r="C529" s="69" t="s">
        <v>1052</v>
      </c>
      <c r="D529" s="69">
        <v>6290360379630</v>
      </c>
      <c r="E529" s="69" t="s">
        <v>17</v>
      </c>
      <c r="F529" s="69" t="s">
        <v>14</v>
      </c>
      <c r="G529" s="83">
        <v>16913</v>
      </c>
      <c r="I529" s="38" t="str">
        <f>IF(H529&gt;0,COUNTIF($H$16:H529,"&gt;0"),"")</f>
        <v/>
      </c>
    </row>
    <row r="530" spans="1:9" s="56" customFormat="1">
      <c r="A530" s="69" t="s">
        <v>949</v>
      </c>
      <c r="B530" s="69" t="s">
        <v>1053</v>
      </c>
      <c r="C530" s="69" t="s">
        <v>1054</v>
      </c>
      <c r="D530" s="69">
        <v>6290360376073</v>
      </c>
      <c r="E530" s="69" t="s">
        <v>17</v>
      </c>
      <c r="F530" s="69" t="s">
        <v>14</v>
      </c>
      <c r="G530" s="83">
        <v>11633</v>
      </c>
      <c r="I530" s="38" t="str">
        <f>IF(H530&gt;0,COUNTIF($H$16:H530,"&gt;0"),"")</f>
        <v/>
      </c>
    </row>
    <row r="531" spans="1:9" s="56" customFormat="1">
      <c r="A531" s="69" t="s">
        <v>949</v>
      </c>
      <c r="B531" s="69" t="s">
        <v>1055</v>
      </c>
      <c r="C531" s="69" t="s">
        <v>1056</v>
      </c>
      <c r="D531" s="69">
        <v>6291108323991</v>
      </c>
      <c r="E531" s="69" t="s">
        <v>42</v>
      </c>
      <c r="F531" s="69" t="s">
        <v>14</v>
      </c>
      <c r="G531" s="83">
        <v>11460</v>
      </c>
      <c r="I531" s="38" t="str">
        <f>IF(H531&gt;0,COUNTIF($H$16:H531,"&gt;0"),"")</f>
        <v/>
      </c>
    </row>
    <row r="532" spans="1:9" s="56" customFormat="1">
      <c r="A532" s="69" t="s">
        <v>949</v>
      </c>
      <c r="B532" s="69" t="s">
        <v>1057</v>
      </c>
      <c r="C532" s="69" t="s">
        <v>1058</v>
      </c>
      <c r="D532" s="69">
        <v>6290360378442</v>
      </c>
      <c r="E532" s="69" t="s">
        <v>13</v>
      </c>
      <c r="F532" s="69" t="s">
        <v>14</v>
      </c>
      <c r="G532" s="83">
        <v>15008</v>
      </c>
      <c r="I532" s="38" t="str">
        <f>IF(H532&gt;0,COUNTIF($H$16:H532,"&gt;0"),"")</f>
        <v/>
      </c>
    </row>
    <row r="533" spans="1:9" s="56" customFormat="1">
      <c r="A533" s="69" t="s">
        <v>949</v>
      </c>
      <c r="B533" s="69" t="s">
        <v>1059</v>
      </c>
      <c r="C533" s="69" t="s">
        <v>1060</v>
      </c>
      <c r="D533" s="69">
        <v>6290360378480</v>
      </c>
      <c r="E533" s="69" t="s">
        <v>42</v>
      </c>
      <c r="F533" s="69" t="s">
        <v>14</v>
      </c>
      <c r="G533" s="83">
        <v>15008</v>
      </c>
      <c r="I533" s="38" t="str">
        <f>IF(H533&gt;0,COUNTIF($H$16:H533,"&gt;0"),"")</f>
        <v/>
      </c>
    </row>
    <row r="534" spans="1:9" s="56" customFormat="1">
      <c r="A534" s="69" t="s">
        <v>949</v>
      </c>
      <c r="B534" s="69" t="s">
        <v>1061</v>
      </c>
      <c r="C534" s="69" t="s">
        <v>1062</v>
      </c>
      <c r="D534" s="69">
        <v>6290360379470</v>
      </c>
      <c r="E534" s="69" t="s">
        <v>17</v>
      </c>
      <c r="F534" s="69" t="s">
        <v>14</v>
      </c>
      <c r="G534" s="83">
        <v>17172</v>
      </c>
      <c r="I534" s="38" t="str">
        <f>IF(H534&gt;0,COUNTIF($H$16:H534,"&gt;0"),"")</f>
        <v/>
      </c>
    </row>
    <row r="535" spans="1:9" s="56" customFormat="1">
      <c r="A535" s="69" t="s">
        <v>949</v>
      </c>
      <c r="B535" s="69" t="s">
        <v>1063</v>
      </c>
      <c r="C535" s="69" t="s">
        <v>1064</v>
      </c>
      <c r="D535" s="69">
        <v>6290360379487</v>
      </c>
      <c r="E535" s="69" t="s">
        <v>17</v>
      </c>
      <c r="F535" s="69" t="s">
        <v>14</v>
      </c>
      <c r="G535" s="83">
        <v>17086</v>
      </c>
      <c r="I535" s="38" t="str">
        <f>IF(H535&gt;0,COUNTIF($H$16:H535,"&gt;0"),"")</f>
        <v/>
      </c>
    </row>
    <row r="536" spans="1:9" s="56" customFormat="1">
      <c r="A536" s="69" t="s">
        <v>949</v>
      </c>
      <c r="B536" s="69" t="s">
        <v>1065</v>
      </c>
      <c r="C536" s="69" t="s">
        <v>1066</v>
      </c>
      <c r="D536" s="69">
        <v>6298042000896</v>
      </c>
      <c r="E536" s="69" t="s">
        <v>42</v>
      </c>
      <c r="F536" s="69" t="s">
        <v>14</v>
      </c>
      <c r="G536" s="83">
        <v>6613</v>
      </c>
      <c r="I536" s="38" t="str">
        <f>IF(H536&gt;0,COUNTIF($H$16:H536,"&gt;0"),"")</f>
        <v/>
      </c>
    </row>
    <row r="537" spans="1:9" s="41" customFormat="1" ht="15" customHeight="1">
      <c r="A537" s="69" t="s">
        <v>949</v>
      </c>
      <c r="B537" s="69" t="s">
        <v>1067</v>
      </c>
      <c r="C537" s="69" t="s">
        <v>1068</v>
      </c>
      <c r="D537" s="69">
        <v>6290360375755</v>
      </c>
      <c r="E537" s="69" t="s">
        <v>13</v>
      </c>
      <c r="F537" s="69" t="s">
        <v>14</v>
      </c>
      <c r="G537" s="83">
        <v>12672</v>
      </c>
      <c r="H537" s="40"/>
      <c r="I537" s="40" t="str">
        <f>IF(H537&gt;0,COUNTIF($H$16:H537,"&gt;0"),"")</f>
        <v/>
      </c>
    </row>
    <row r="538" spans="1:9" s="56" customFormat="1">
      <c r="A538" s="69" t="s">
        <v>949</v>
      </c>
      <c r="B538" s="69" t="s">
        <v>1069</v>
      </c>
      <c r="C538" s="69" t="s">
        <v>1070</v>
      </c>
      <c r="D538" s="69">
        <v>6298042001688</v>
      </c>
      <c r="E538" s="69" t="s">
        <v>17</v>
      </c>
      <c r="F538" s="69" t="s">
        <v>14</v>
      </c>
      <c r="G538" s="83">
        <v>6526</v>
      </c>
      <c r="I538" s="38" t="str">
        <f>IF(H538&gt;0,COUNTIF($H$16:H538,"&gt;0"),"")</f>
        <v/>
      </c>
    </row>
    <row r="539" spans="1:9" s="56" customFormat="1">
      <c r="A539" s="69" t="s">
        <v>949</v>
      </c>
      <c r="B539" s="69" t="s">
        <v>1071</v>
      </c>
      <c r="C539" s="69" t="s">
        <v>1072</v>
      </c>
      <c r="D539" s="69">
        <v>6298042001794</v>
      </c>
      <c r="E539" s="69" t="s">
        <v>17</v>
      </c>
      <c r="F539" s="69" t="s">
        <v>14</v>
      </c>
      <c r="G539" s="83">
        <v>12932</v>
      </c>
      <c r="I539" s="38" t="str">
        <f>IF(H539&gt;0,COUNTIF($H$16:H539,"&gt;0"),"")</f>
        <v/>
      </c>
    </row>
    <row r="540" spans="1:9" s="56" customFormat="1">
      <c r="A540" s="69" t="s">
        <v>949</v>
      </c>
      <c r="B540" s="69" t="s">
        <v>1073</v>
      </c>
      <c r="C540" s="69" t="s">
        <v>1074</v>
      </c>
      <c r="D540" s="69">
        <v>6290360378046</v>
      </c>
      <c r="E540" s="69" t="s">
        <v>13</v>
      </c>
      <c r="F540" s="69" t="s">
        <v>14</v>
      </c>
      <c r="G540" s="83">
        <v>16913</v>
      </c>
      <c r="I540" s="38" t="str">
        <f>IF(H540&gt;0,COUNTIF($H$16:H540,"&gt;0"),"")</f>
        <v/>
      </c>
    </row>
    <row r="541" spans="1:9" s="56" customFormat="1">
      <c r="A541" s="69" t="s">
        <v>949</v>
      </c>
      <c r="B541" s="69" t="s">
        <v>1075</v>
      </c>
      <c r="C541" s="69" t="s">
        <v>1076</v>
      </c>
      <c r="D541" s="69">
        <v>6298042000667</v>
      </c>
      <c r="E541" s="69" t="s">
        <v>17</v>
      </c>
      <c r="F541" s="69" t="s">
        <v>14</v>
      </c>
      <c r="G541" s="83">
        <v>12238</v>
      </c>
      <c r="I541" s="38" t="str">
        <f>IF(H541&gt;0,COUNTIF($H$16:H541,"&gt;0"),"")</f>
        <v/>
      </c>
    </row>
    <row r="542" spans="1:9" s="56" customFormat="1">
      <c r="A542" s="69" t="s">
        <v>949</v>
      </c>
      <c r="B542" s="69" t="s">
        <v>1077</v>
      </c>
      <c r="C542" s="69" t="s">
        <v>1078</v>
      </c>
      <c r="D542" s="69">
        <v>6290360379302</v>
      </c>
      <c r="E542" s="69" t="s">
        <v>17</v>
      </c>
      <c r="F542" s="69" t="s">
        <v>14</v>
      </c>
      <c r="G542" s="83">
        <v>18125</v>
      </c>
      <c r="I542" s="38" t="str">
        <f>IF(H542&gt;0,COUNTIF($H$16:H542,"&gt;0"),"")</f>
        <v/>
      </c>
    </row>
    <row r="543" spans="1:9" s="56" customFormat="1">
      <c r="A543" s="69" t="s">
        <v>949</v>
      </c>
      <c r="B543" s="69" t="s">
        <v>1079</v>
      </c>
      <c r="C543" s="69" t="s">
        <v>1080</v>
      </c>
      <c r="D543" s="69">
        <v>6290360378862</v>
      </c>
      <c r="E543" s="69" t="s">
        <v>13</v>
      </c>
      <c r="F543" s="69" t="s">
        <v>14</v>
      </c>
      <c r="G543" s="83">
        <v>13018</v>
      </c>
      <c r="I543" s="38" t="str">
        <f>IF(H543&gt;0,COUNTIF($H$16:H543,"&gt;0"),"")</f>
        <v/>
      </c>
    </row>
    <row r="544" spans="1:9" s="56" customFormat="1">
      <c r="A544" s="69" t="s">
        <v>949</v>
      </c>
      <c r="B544" s="69" t="s">
        <v>1081</v>
      </c>
      <c r="C544" s="69" t="s">
        <v>1082</v>
      </c>
      <c r="D544" s="69">
        <v>6298042000674</v>
      </c>
      <c r="E544" s="69" t="s">
        <v>13</v>
      </c>
      <c r="F544" s="69" t="s">
        <v>14</v>
      </c>
      <c r="G544" s="83">
        <v>6613</v>
      </c>
      <c r="I544" s="38" t="str">
        <f>IF(H544&gt;0,COUNTIF($H$16:H544,"&gt;0"),"")</f>
        <v/>
      </c>
    </row>
    <row r="545" spans="1:9" s="56" customFormat="1">
      <c r="A545" s="69" t="s">
        <v>949</v>
      </c>
      <c r="B545" s="69" t="s">
        <v>1083</v>
      </c>
      <c r="C545" s="69" t="s">
        <v>1084</v>
      </c>
      <c r="D545" s="69">
        <v>6298042000704</v>
      </c>
      <c r="E545" s="69" t="s">
        <v>17</v>
      </c>
      <c r="F545" s="69" t="s">
        <v>14</v>
      </c>
      <c r="G545" s="83">
        <v>6613</v>
      </c>
      <c r="I545" s="38" t="str">
        <f>IF(H545&gt;0,COUNTIF($H$16:H545,"&gt;0"),"")</f>
        <v/>
      </c>
    </row>
    <row r="546" spans="1:9" s="56" customFormat="1">
      <c r="A546" s="69" t="s">
        <v>949</v>
      </c>
      <c r="B546" s="69" t="s">
        <v>1085</v>
      </c>
      <c r="C546" s="69" t="s">
        <v>1086</v>
      </c>
      <c r="D546" s="69">
        <v>6290360379074</v>
      </c>
      <c r="E546" s="69" t="s">
        <v>13</v>
      </c>
      <c r="F546" s="69" t="s">
        <v>14</v>
      </c>
      <c r="G546" s="83">
        <v>10854</v>
      </c>
      <c r="I546" s="38" t="str">
        <f>IF(H546&gt;0,COUNTIF($H$16:H546,"&gt;0"),"")</f>
        <v/>
      </c>
    </row>
    <row r="547" spans="1:9" s="56" customFormat="1">
      <c r="A547" s="69" t="s">
        <v>949</v>
      </c>
      <c r="B547" s="69" t="s">
        <v>1087</v>
      </c>
      <c r="C547" s="69" t="s">
        <v>1088</v>
      </c>
      <c r="D547" s="69">
        <v>6298042000681</v>
      </c>
      <c r="E547" s="69" t="s">
        <v>17</v>
      </c>
      <c r="F547" s="69" t="s">
        <v>14</v>
      </c>
      <c r="G547" s="83">
        <v>6699</v>
      </c>
      <c r="I547" s="38" t="str">
        <f>IF(H547&gt;0,COUNTIF($H$16:H547,"&gt;0"),"")</f>
        <v/>
      </c>
    </row>
    <row r="548" spans="1:9" s="56" customFormat="1">
      <c r="A548" s="69" t="s">
        <v>949</v>
      </c>
      <c r="B548" s="69" t="s">
        <v>1089</v>
      </c>
      <c r="C548" s="69" t="s">
        <v>1090</v>
      </c>
      <c r="D548" s="69">
        <v>6290360378992</v>
      </c>
      <c r="E548" s="69" t="s">
        <v>13</v>
      </c>
      <c r="F548" s="69" t="s">
        <v>14</v>
      </c>
      <c r="G548" s="83">
        <v>12845</v>
      </c>
      <c r="I548" s="38" t="str">
        <f>IF(H548&gt;0,COUNTIF($H$16:H548,"&gt;0"),"")</f>
        <v/>
      </c>
    </row>
    <row r="549" spans="1:9" s="56" customFormat="1">
      <c r="A549" s="69" t="s">
        <v>79</v>
      </c>
      <c r="B549" s="69" t="s">
        <v>1091</v>
      </c>
      <c r="C549" s="69" t="s">
        <v>1092</v>
      </c>
      <c r="D549" s="69">
        <v>6298042001947</v>
      </c>
      <c r="E549" s="69" t="s">
        <v>17</v>
      </c>
      <c r="F549" s="69" t="s">
        <v>14</v>
      </c>
      <c r="G549" s="83">
        <v>19077</v>
      </c>
      <c r="I549" s="38" t="str">
        <f>IF(H549&gt;0,COUNTIF($H$16:H549,"&gt;0"),"")</f>
        <v/>
      </c>
    </row>
    <row r="550" spans="1:9" s="56" customFormat="1">
      <c r="A550" s="69" t="s">
        <v>79</v>
      </c>
      <c r="B550" s="69" t="s">
        <v>1093</v>
      </c>
      <c r="C550" s="69" t="s">
        <v>1094</v>
      </c>
      <c r="D550" s="69">
        <v>6298042000957</v>
      </c>
      <c r="E550" s="69" t="s">
        <v>13</v>
      </c>
      <c r="F550" s="69" t="s">
        <v>14</v>
      </c>
      <c r="G550" s="83">
        <v>29034</v>
      </c>
      <c r="I550" s="38" t="str">
        <f>IF(H550&gt;0,COUNTIF($H$16:H550,"&gt;0"),"")</f>
        <v/>
      </c>
    </row>
    <row r="551" spans="1:9" s="41" customFormat="1" ht="15" customHeight="1">
      <c r="A551" s="69" t="s">
        <v>79</v>
      </c>
      <c r="B551" s="69" t="s">
        <v>1095</v>
      </c>
      <c r="C551" s="69" t="s">
        <v>1096</v>
      </c>
      <c r="D551" s="69">
        <v>6290360378152</v>
      </c>
      <c r="E551" s="69" t="s">
        <v>13</v>
      </c>
      <c r="F551" s="69" t="s">
        <v>14</v>
      </c>
      <c r="G551" s="83">
        <v>18644</v>
      </c>
      <c r="H551" s="40"/>
      <c r="I551" s="40" t="str">
        <f>IF(H551&gt;0,COUNTIF($H$16:H551,"&gt;0"),"")</f>
        <v/>
      </c>
    </row>
    <row r="552" spans="1:9" s="41" customFormat="1" ht="15" customHeight="1">
      <c r="A552" s="69" t="s">
        <v>79</v>
      </c>
      <c r="B552" s="69" t="s">
        <v>1097</v>
      </c>
      <c r="C552" s="69" t="s">
        <v>1098</v>
      </c>
      <c r="D552" s="69">
        <v>6290360378169</v>
      </c>
      <c r="E552" s="69" t="s">
        <v>42</v>
      </c>
      <c r="F552" s="69" t="s">
        <v>14</v>
      </c>
      <c r="G552" s="83">
        <v>18644</v>
      </c>
      <c r="H552" s="40"/>
      <c r="I552" s="40" t="str">
        <f>IF(H552&gt;0,COUNTIF($H$16:H552,"&gt;0"),"")</f>
        <v/>
      </c>
    </row>
    <row r="553" spans="1:9" s="56" customFormat="1">
      <c r="A553" s="69" t="s">
        <v>79</v>
      </c>
      <c r="B553" s="69" t="s">
        <v>1099</v>
      </c>
      <c r="C553" s="69" t="s">
        <v>1100</v>
      </c>
      <c r="D553" s="69">
        <v>6290360376325</v>
      </c>
      <c r="E553" s="69" t="s">
        <v>17</v>
      </c>
      <c r="F553" s="69" t="s">
        <v>14</v>
      </c>
      <c r="G553" s="83">
        <v>24447</v>
      </c>
      <c r="I553" s="38" t="str">
        <f>IF(H553&gt;0,COUNTIF($H$16:H553,"&gt;0"),"")</f>
        <v/>
      </c>
    </row>
    <row r="554" spans="1:9" s="56" customFormat="1">
      <c r="A554" s="69" t="s">
        <v>79</v>
      </c>
      <c r="B554" s="69" t="s">
        <v>1101</v>
      </c>
      <c r="C554" s="69" t="s">
        <v>1102</v>
      </c>
      <c r="D554" s="69">
        <v>6298042001206</v>
      </c>
      <c r="E554" s="69" t="s">
        <v>17</v>
      </c>
      <c r="F554" s="69" t="s">
        <v>14</v>
      </c>
      <c r="G554" s="83">
        <v>33235</v>
      </c>
      <c r="I554" s="38" t="str">
        <f>IF(H554&gt;0,COUNTIF($H$16:H554,"&gt;0"),"")</f>
        <v/>
      </c>
    </row>
    <row r="555" spans="1:9" s="56" customFormat="1">
      <c r="A555" s="69" t="s">
        <v>79</v>
      </c>
      <c r="B555" s="69" t="s">
        <v>1103</v>
      </c>
      <c r="C555" s="69" t="s">
        <v>1104</v>
      </c>
      <c r="D555" s="69">
        <v>6290360379647</v>
      </c>
      <c r="E555" s="69" t="s">
        <v>17</v>
      </c>
      <c r="F555" s="69" t="s">
        <v>14</v>
      </c>
      <c r="G555" s="83">
        <v>20375</v>
      </c>
      <c r="I555" s="38" t="str">
        <f>IF(H555&gt;0,COUNTIF($H$16:H555,"&gt;0"),"")</f>
        <v/>
      </c>
    </row>
    <row r="556" spans="1:9" s="56" customFormat="1">
      <c r="A556" s="69" t="s">
        <v>79</v>
      </c>
      <c r="B556" s="69" t="s">
        <v>1105</v>
      </c>
      <c r="C556" s="69" t="s">
        <v>1106</v>
      </c>
      <c r="D556" s="69">
        <v>6290360379456</v>
      </c>
      <c r="E556" s="69" t="s">
        <v>17</v>
      </c>
      <c r="F556" s="69" t="s">
        <v>14</v>
      </c>
      <c r="G556" s="83">
        <v>22715</v>
      </c>
      <c r="I556" s="38" t="str">
        <f>IF(H556&gt;0,COUNTIF($H$16:H556,"&gt;0"),"")</f>
        <v/>
      </c>
    </row>
    <row r="557" spans="1:9" s="56" customFormat="1">
      <c r="A557" s="69" t="s">
        <v>79</v>
      </c>
      <c r="B557" s="69" t="s">
        <v>1107</v>
      </c>
      <c r="C557" s="69" t="s">
        <v>1108</v>
      </c>
      <c r="D557" s="69">
        <v>6298042000346</v>
      </c>
      <c r="E557" s="69" t="s">
        <v>17</v>
      </c>
      <c r="F557" s="69" t="s">
        <v>14</v>
      </c>
      <c r="G557" s="83">
        <v>23495</v>
      </c>
      <c r="I557" s="38" t="str">
        <f>IF(H557&gt;0,COUNTIF($H$16:H557,"&gt;0"),"")</f>
        <v/>
      </c>
    </row>
    <row r="558" spans="1:9" s="56" customFormat="1">
      <c r="A558" s="69" t="s">
        <v>79</v>
      </c>
      <c r="B558" s="69" t="s">
        <v>1109</v>
      </c>
      <c r="C558" s="69" t="s">
        <v>1110</v>
      </c>
      <c r="D558" s="69">
        <v>6290360375854</v>
      </c>
      <c r="E558" s="69" t="s">
        <v>17</v>
      </c>
      <c r="F558" s="69" t="s">
        <v>14</v>
      </c>
      <c r="G558" s="83">
        <v>22196</v>
      </c>
      <c r="I558" s="38" t="str">
        <f>IF(H558&gt;0,COUNTIF($H$16:H558,"&gt;0"),"")</f>
        <v/>
      </c>
    </row>
    <row r="559" spans="1:9" s="56" customFormat="1">
      <c r="A559" s="69" t="s">
        <v>79</v>
      </c>
      <c r="B559" s="69" t="s">
        <v>1111</v>
      </c>
      <c r="C559" s="69" t="s">
        <v>1112</v>
      </c>
      <c r="D559" s="69">
        <v>6290360377308</v>
      </c>
      <c r="E559" s="69" t="s">
        <v>17</v>
      </c>
      <c r="F559" s="69" t="s">
        <v>14</v>
      </c>
      <c r="G559" s="83">
        <v>22196</v>
      </c>
      <c r="I559" s="38" t="str">
        <f>IF(H559&gt;0,COUNTIF($H$16:H559,"&gt;0"),"")</f>
        <v/>
      </c>
    </row>
    <row r="560" spans="1:9" s="56" customFormat="1">
      <c r="A560" s="69" t="s">
        <v>79</v>
      </c>
      <c r="B560" s="69" t="s">
        <v>1113</v>
      </c>
      <c r="C560" s="69" t="s">
        <v>1114</v>
      </c>
      <c r="D560" s="69">
        <v>6290360376493</v>
      </c>
      <c r="E560" s="69" t="s">
        <v>17</v>
      </c>
      <c r="F560" s="69" t="s">
        <v>14</v>
      </c>
      <c r="G560" s="83">
        <v>21937</v>
      </c>
      <c r="I560" s="38" t="str">
        <f>IF(H560&gt;0,COUNTIF($H$16:H560,"&gt;0"),"")</f>
        <v/>
      </c>
    </row>
    <row r="561" spans="1:9" s="56" customFormat="1">
      <c r="A561" s="69" t="s">
        <v>79</v>
      </c>
      <c r="B561" s="69" t="s">
        <v>1115</v>
      </c>
      <c r="C561" s="69" t="s">
        <v>1116</v>
      </c>
      <c r="D561" s="69">
        <v>6290360376486</v>
      </c>
      <c r="E561" s="69" t="s">
        <v>17</v>
      </c>
      <c r="F561" s="69" t="s">
        <v>14</v>
      </c>
      <c r="G561" s="83">
        <v>21937</v>
      </c>
      <c r="I561" s="38" t="str">
        <f>IF(H561&gt;0,COUNTIF($H$16:H561,"&gt;0"),"")</f>
        <v/>
      </c>
    </row>
    <row r="562" spans="1:9" s="56" customFormat="1">
      <c r="A562" s="69" t="s">
        <v>79</v>
      </c>
      <c r="B562" s="69" t="s">
        <v>1117</v>
      </c>
      <c r="C562" s="69" t="s">
        <v>1118</v>
      </c>
      <c r="D562" s="69">
        <v>6290360378923</v>
      </c>
      <c r="E562" s="69" t="s">
        <v>42</v>
      </c>
      <c r="F562" s="69" t="s">
        <v>14</v>
      </c>
      <c r="G562" s="83">
        <v>23235</v>
      </c>
      <c r="I562" s="38" t="str">
        <f>IF(H562&gt;0,COUNTIF($H$16:H562,"&gt;0"),"")</f>
        <v/>
      </c>
    </row>
    <row r="563" spans="1:9" s="56" customFormat="1">
      <c r="A563" s="69" t="s">
        <v>79</v>
      </c>
      <c r="B563" s="69" t="s">
        <v>1119</v>
      </c>
      <c r="C563" s="69" t="s">
        <v>1120</v>
      </c>
      <c r="D563" s="69">
        <v>6290360379524</v>
      </c>
      <c r="E563" s="69" t="s">
        <v>17</v>
      </c>
      <c r="F563" s="69" t="s">
        <v>14</v>
      </c>
      <c r="G563" s="83">
        <v>18904</v>
      </c>
      <c r="I563" s="38" t="str">
        <f>IF(H563&gt;0,COUNTIF($H$16:H563,"&gt;0"),"")</f>
        <v/>
      </c>
    </row>
    <row r="564" spans="1:9" s="56" customFormat="1">
      <c r="A564" s="69" t="s">
        <v>79</v>
      </c>
      <c r="B564" s="69" t="s">
        <v>1121</v>
      </c>
      <c r="C564" s="69" t="s">
        <v>1122</v>
      </c>
      <c r="D564" s="69">
        <v>6290360378091</v>
      </c>
      <c r="E564" s="69" t="s">
        <v>42</v>
      </c>
      <c r="F564" s="69" t="s">
        <v>14</v>
      </c>
      <c r="G564" s="83">
        <v>22975</v>
      </c>
      <c r="I564" s="38" t="str">
        <f>IF(H564&gt;0,COUNTIF($H$16:H564,"&gt;0"),"")</f>
        <v/>
      </c>
    </row>
    <row r="565" spans="1:9" s="56" customFormat="1">
      <c r="A565" s="69" t="s">
        <v>79</v>
      </c>
      <c r="B565" s="69" t="s">
        <v>1123</v>
      </c>
      <c r="C565" s="69" t="s">
        <v>1124</v>
      </c>
      <c r="D565" s="69">
        <v>6290360377926</v>
      </c>
      <c r="E565" s="69" t="s">
        <v>13</v>
      </c>
      <c r="F565" s="69" t="s">
        <v>14</v>
      </c>
      <c r="G565" s="83">
        <v>20895</v>
      </c>
      <c r="I565" s="38" t="str">
        <f>IF(H565&gt;0,COUNTIF($H$16:H565,"&gt;0"),"")</f>
        <v/>
      </c>
    </row>
    <row r="566" spans="1:9" s="56" customFormat="1">
      <c r="A566" s="69" t="s">
        <v>79</v>
      </c>
      <c r="B566" s="69" t="s">
        <v>1125</v>
      </c>
      <c r="C566" s="69" t="s">
        <v>1126</v>
      </c>
      <c r="D566" s="69">
        <v>6298042000186</v>
      </c>
      <c r="E566" s="69" t="s">
        <v>17</v>
      </c>
      <c r="F566" s="69" t="s">
        <v>14</v>
      </c>
      <c r="G566" s="83">
        <v>23235</v>
      </c>
      <c r="I566" s="38" t="str">
        <f>IF(H566&gt;0,COUNTIF($H$16:H566,"&gt;0"),"")</f>
        <v/>
      </c>
    </row>
    <row r="567" spans="1:9" s="56" customFormat="1">
      <c r="A567" s="69" t="s">
        <v>79</v>
      </c>
      <c r="B567" s="69" t="s">
        <v>1127</v>
      </c>
      <c r="C567" s="69" t="s">
        <v>1128</v>
      </c>
      <c r="D567" s="69">
        <v>6290360378206</v>
      </c>
      <c r="E567" s="69" t="s">
        <v>17</v>
      </c>
      <c r="F567" s="69" t="s">
        <v>14</v>
      </c>
      <c r="G567" s="83">
        <v>23235</v>
      </c>
      <c r="I567" s="38" t="str">
        <f>IF(H567&gt;0,COUNTIF($H$16:H567,"&gt;0"),"")</f>
        <v/>
      </c>
    </row>
    <row r="568" spans="1:9" s="56" customFormat="1">
      <c r="A568" s="69" t="s">
        <v>79</v>
      </c>
      <c r="B568" s="69" t="s">
        <v>1129</v>
      </c>
      <c r="C568" s="69" t="s">
        <v>1130</v>
      </c>
      <c r="D568" s="69">
        <v>6290360379579</v>
      </c>
      <c r="E568" s="69" t="s">
        <v>17</v>
      </c>
      <c r="F568" s="69" t="s">
        <v>14</v>
      </c>
      <c r="G568" s="83">
        <v>24360</v>
      </c>
      <c r="I568" s="38" t="str">
        <f>IF(H568&gt;0,COUNTIF($H$16:H568,"&gt;0"),"")</f>
        <v/>
      </c>
    </row>
    <row r="569" spans="1:9" s="56" customFormat="1">
      <c r="A569" s="69" t="s">
        <v>79</v>
      </c>
      <c r="B569" s="69" t="s">
        <v>1131</v>
      </c>
      <c r="C569" s="69" t="s">
        <v>1132</v>
      </c>
      <c r="D569" s="69">
        <v>6290360379586</v>
      </c>
      <c r="E569" s="69" t="s">
        <v>17</v>
      </c>
      <c r="F569" s="69" t="s">
        <v>14</v>
      </c>
      <c r="G569" s="83">
        <v>24360</v>
      </c>
      <c r="I569" s="38" t="str">
        <f>IF(H569&gt;0,COUNTIF($H$16:H569,"&gt;0"),"")</f>
        <v/>
      </c>
    </row>
    <row r="570" spans="1:9" s="56" customFormat="1">
      <c r="A570" s="69" t="s">
        <v>79</v>
      </c>
      <c r="B570" s="69" t="s">
        <v>80</v>
      </c>
      <c r="C570" s="69" t="s">
        <v>81</v>
      </c>
      <c r="D570" s="69">
        <v>6290360375694</v>
      </c>
      <c r="E570" s="69" t="s">
        <v>13</v>
      </c>
      <c r="F570" s="69" t="s">
        <v>14</v>
      </c>
      <c r="G570" s="83">
        <v>29208</v>
      </c>
      <c r="I570" s="38" t="str">
        <f>IF(H570&gt;0,COUNTIF($H$16:H570,"&gt;0"),"")</f>
        <v/>
      </c>
    </row>
    <row r="571" spans="1:9" s="56" customFormat="1">
      <c r="A571" s="69" t="s">
        <v>79</v>
      </c>
      <c r="B571" s="69" t="s">
        <v>1133</v>
      </c>
      <c r="C571" s="69" t="s">
        <v>1134</v>
      </c>
      <c r="D571" s="69">
        <v>6298042001831</v>
      </c>
      <c r="E571" s="69" t="s">
        <v>17</v>
      </c>
      <c r="F571" s="69" t="s">
        <v>14</v>
      </c>
      <c r="G571" s="83">
        <v>39553</v>
      </c>
      <c r="I571" s="38" t="str">
        <f>IF(H571&gt;0,COUNTIF($H$16:H571,"&gt;0"),"")</f>
        <v/>
      </c>
    </row>
    <row r="572" spans="1:9" s="41" customFormat="1" ht="15" customHeight="1">
      <c r="A572" s="69" t="s">
        <v>79</v>
      </c>
      <c r="B572" s="69" t="s">
        <v>1135</v>
      </c>
      <c r="C572" s="69" t="s">
        <v>1136</v>
      </c>
      <c r="D572" s="69">
        <v>6298042001190</v>
      </c>
      <c r="E572" s="69" t="s">
        <v>17</v>
      </c>
      <c r="F572" s="69" t="s">
        <v>14</v>
      </c>
      <c r="G572" s="83">
        <v>21677</v>
      </c>
      <c r="H572" s="43"/>
      <c r="I572" s="40" t="str">
        <f>IF(H572&gt;0,COUNTIF($H$16:H572,"&gt;0"),"")</f>
        <v/>
      </c>
    </row>
    <row r="573" spans="1:9" s="41" customFormat="1" ht="15" customHeight="1">
      <c r="A573" s="69" t="s">
        <v>79</v>
      </c>
      <c r="B573" s="69" t="s">
        <v>1137</v>
      </c>
      <c r="C573" s="69" t="s">
        <v>1138</v>
      </c>
      <c r="D573" s="69">
        <v>6290360378916</v>
      </c>
      <c r="E573" s="69" t="s">
        <v>17</v>
      </c>
      <c r="F573" s="69" t="s">
        <v>14</v>
      </c>
      <c r="G573" s="83">
        <v>19077</v>
      </c>
      <c r="H573" s="43"/>
      <c r="I573" s="40" t="str">
        <f>IF(H573&gt;0,COUNTIF($H$16:H573,"&gt;0"),"")</f>
        <v/>
      </c>
    </row>
    <row r="574" spans="1:9" s="56" customFormat="1">
      <c r="A574" s="69" t="s">
        <v>79</v>
      </c>
      <c r="B574" s="69" t="s">
        <v>1139</v>
      </c>
      <c r="C574" s="69" t="s">
        <v>1140</v>
      </c>
      <c r="D574" s="69">
        <v>6298042001879</v>
      </c>
      <c r="E574" s="69" t="s">
        <v>17</v>
      </c>
      <c r="F574" s="69" t="s">
        <v>14</v>
      </c>
      <c r="G574" s="83">
        <v>20115</v>
      </c>
      <c r="I574" s="38" t="str">
        <f>IF(H574&gt;0,COUNTIF($H$16:H574,"&gt;0"),"")</f>
        <v/>
      </c>
    </row>
    <row r="575" spans="1:9" s="56" customFormat="1">
      <c r="A575" s="69" t="s">
        <v>79</v>
      </c>
      <c r="B575" s="69" t="s">
        <v>1141</v>
      </c>
      <c r="C575" s="69" t="s">
        <v>1142</v>
      </c>
      <c r="D575" s="69">
        <v>6298042001923</v>
      </c>
      <c r="E575" s="69" t="s">
        <v>17</v>
      </c>
      <c r="F575" s="69" t="s">
        <v>14</v>
      </c>
      <c r="G575" s="83">
        <v>26611</v>
      </c>
      <c r="I575" s="38" t="str">
        <f>IF(H575&gt;0,COUNTIF($H$16:H575,"&gt;0"),"")</f>
        <v/>
      </c>
    </row>
    <row r="576" spans="1:9" s="56" customFormat="1">
      <c r="A576" s="69" t="s">
        <v>79</v>
      </c>
      <c r="B576" s="69" t="s">
        <v>1143</v>
      </c>
      <c r="C576" s="69" t="s">
        <v>1144</v>
      </c>
      <c r="D576" s="69">
        <v>6298042001909</v>
      </c>
      <c r="E576" s="69" t="s">
        <v>13</v>
      </c>
      <c r="F576" s="69" t="s">
        <v>14</v>
      </c>
      <c r="G576" s="83">
        <v>26611</v>
      </c>
      <c r="I576" s="38" t="str">
        <f>IF(H576&gt;0,COUNTIF($H$16:H576,"&gt;0"),"")</f>
        <v/>
      </c>
    </row>
    <row r="577" spans="1:9" s="56" customFormat="1">
      <c r="A577" s="69" t="s">
        <v>79</v>
      </c>
      <c r="B577" s="69" t="s">
        <v>1145</v>
      </c>
      <c r="C577" s="69" t="s">
        <v>1146</v>
      </c>
      <c r="D577" s="69">
        <v>6298042000322</v>
      </c>
      <c r="E577" s="69" t="s">
        <v>42</v>
      </c>
      <c r="F577" s="69" t="s">
        <v>14</v>
      </c>
      <c r="G577" s="83">
        <v>18558</v>
      </c>
      <c r="I577" s="38" t="str">
        <f>IF(H577&gt;0,COUNTIF($H$16:H577,"&gt;0"),"")</f>
        <v/>
      </c>
    </row>
    <row r="578" spans="1:9" s="56" customFormat="1">
      <c r="A578" s="69" t="s">
        <v>79</v>
      </c>
      <c r="B578" s="69" t="s">
        <v>1147</v>
      </c>
      <c r="C578" s="69" t="s">
        <v>1148</v>
      </c>
      <c r="D578" s="69">
        <v>6298042000940</v>
      </c>
      <c r="E578" s="69" t="s">
        <v>17</v>
      </c>
      <c r="F578" s="69" t="s">
        <v>14</v>
      </c>
      <c r="G578" s="83">
        <v>22283</v>
      </c>
      <c r="I578" s="38" t="str">
        <f>IF(H578&gt;0,COUNTIF($H$16:H578,"&gt;0"),"")</f>
        <v/>
      </c>
    </row>
    <row r="579" spans="1:9" s="56" customFormat="1">
      <c r="A579" s="69" t="s">
        <v>79</v>
      </c>
      <c r="B579" s="69" t="s">
        <v>1149</v>
      </c>
      <c r="C579" s="69" t="s">
        <v>1150</v>
      </c>
      <c r="D579" s="69">
        <v>6290360377889</v>
      </c>
      <c r="E579" s="69" t="s">
        <v>42</v>
      </c>
      <c r="F579" s="69" t="s">
        <v>14</v>
      </c>
      <c r="G579" s="83">
        <v>18384</v>
      </c>
      <c r="I579" s="38" t="str">
        <f>IF(H579&gt;0,COUNTIF($H$16:H579,"&gt;0"),"")</f>
        <v/>
      </c>
    </row>
    <row r="580" spans="1:9" s="56" customFormat="1">
      <c r="A580" s="69" t="s">
        <v>79</v>
      </c>
      <c r="B580" s="69" t="s">
        <v>1151</v>
      </c>
      <c r="C580" s="69" t="s">
        <v>1152</v>
      </c>
      <c r="D580" s="69">
        <v>6298042000933</v>
      </c>
      <c r="E580" s="69" t="s">
        <v>17</v>
      </c>
      <c r="F580" s="69" t="s">
        <v>14</v>
      </c>
      <c r="G580" s="83">
        <v>23148</v>
      </c>
      <c r="I580" s="38" t="str">
        <f>IF(H580&gt;0,COUNTIF($H$16:H580,"&gt;0"),"")</f>
        <v/>
      </c>
    </row>
    <row r="581" spans="1:9" s="56" customFormat="1">
      <c r="A581" s="69" t="s">
        <v>79</v>
      </c>
      <c r="B581" s="69" t="s">
        <v>82</v>
      </c>
      <c r="C581" s="69" t="s">
        <v>83</v>
      </c>
      <c r="D581" s="69">
        <v>6290360378053</v>
      </c>
      <c r="E581" s="69" t="s">
        <v>17</v>
      </c>
      <c r="F581" s="69" t="s">
        <v>14</v>
      </c>
      <c r="G581" s="83">
        <v>33408</v>
      </c>
      <c r="I581" s="38" t="str">
        <f>IF(H581&gt;0,COUNTIF($H$16:H581,"&gt;0"),"")</f>
        <v/>
      </c>
    </row>
    <row r="582" spans="1:9" s="56" customFormat="1">
      <c r="A582" s="69" t="s">
        <v>79</v>
      </c>
      <c r="B582" s="69" t="s">
        <v>1153</v>
      </c>
      <c r="C582" s="69" t="s">
        <v>1154</v>
      </c>
      <c r="D582" s="69">
        <v>6290360378756</v>
      </c>
      <c r="E582" s="69" t="s">
        <v>17</v>
      </c>
      <c r="F582" s="69" t="s">
        <v>14</v>
      </c>
      <c r="G582" s="83">
        <v>19855</v>
      </c>
      <c r="I582" s="38" t="str">
        <f>IF(H582&gt;0,COUNTIF($H$16:H582,"&gt;0"),"")</f>
        <v/>
      </c>
    </row>
    <row r="583" spans="1:9" s="56" customFormat="1">
      <c r="A583" s="69" t="s">
        <v>79</v>
      </c>
      <c r="B583" s="69" t="s">
        <v>1155</v>
      </c>
      <c r="C583" s="69" t="s">
        <v>1156</v>
      </c>
      <c r="D583" s="69">
        <v>6298042001565</v>
      </c>
      <c r="E583" s="69" t="s">
        <v>13</v>
      </c>
      <c r="F583" s="69" t="s">
        <v>14</v>
      </c>
      <c r="G583" s="83">
        <v>18125</v>
      </c>
      <c r="I583" s="38" t="str">
        <f>IF(H583&gt;0,COUNTIF($H$16:H583,"&gt;0"),"")</f>
        <v/>
      </c>
    </row>
    <row r="584" spans="1:9" s="56" customFormat="1">
      <c r="A584" s="69" t="s">
        <v>79</v>
      </c>
      <c r="B584" s="69" t="s">
        <v>1157</v>
      </c>
      <c r="C584" s="69" t="s">
        <v>1158</v>
      </c>
      <c r="D584" s="69">
        <v>6290360379463</v>
      </c>
      <c r="E584" s="69" t="s">
        <v>13</v>
      </c>
      <c r="F584" s="69" t="s">
        <v>14</v>
      </c>
      <c r="G584" s="83">
        <v>19163</v>
      </c>
      <c r="I584" s="38" t="str">
        <f>IF(H584&gt;0,COUNTIF($H$16:H584,"&gt;0"),"")</f>
        <v/>
      </c>
    </row>
    <row r="585" spans="1:9" s="56" customFormat="1">
      <c r="A585" s="69" t="s">
        <v>79</v>
      </c>
      <c r="B585" s="69" t="s">
        <v>1159</v>
      </c>
      <c r="C585" s="69" t="s">
        <v>1160</v>
      </c>
      <c r="D585" s="69">
        <v>6298042001510</v>
      </c>
      <c r="E585" s="69" t="s">
        <v>17</v>
      </c>
      <c r="F585" s="69" t="s">
        <v>14</v>
      </c>
      <c r="G585" s="83">
        <v>18125</v>
      </c>
      <c r="I585" s="38" t="str">
        <f>IF(H585&gt;0,COUNTIF($H$16:H585,"&gt;0"),"")</f>
        <v/>
      </c>
    </row>
    <row r="586" spans="1:9" s="56" customFormat="1">
      <c r="A586" s="69" t="s">
        <v>79</v>
      </c>
      <c r="B586" s="69" t="s">
        <v>1161</v>
      </c>
      <c r="C586" s="69" t="s">
        <v>1162</v>
      </c>
      <c r="D586" s="69">
        <v>6290360378954</v>
      </c>
      <c r="E586" s="69" t="s">
        <v>17</v>
      </c>
      <c r="F586" s="69" t="s">
        <v>14</v>
      </c>
      <c r="G586" s="83">
        <v>19163</v>
      </c>
      <c r="I586" s="38" t="str">
        <f>IF(H586&gt;0,COUNTIF($H$16:H586,"&gt;0"),"")</f>
        <v/>
      </c>
    </row>
    <row r="587" spans="1:9" s="56" customFormat="1">
      <c r="A587" s="69" t="s">
        <v>79</v>
      </c>
      <c r="B587" s="69" t="s">
        <v>1163</v>
      </c>
      <c r="C587" s="69" t="s">
        <v>1164</v>
      </c>
      <c r="D587" s="69">
        <v>6298042000339</v>
      </c>
      <c r="E587" s="69" t="s">
        <v>17</v>
      </c>
      <c r="F587" s="69" t="s">
        <v>69</v>
      </c>
      <c r="G587" s="83">
        <v>83629</v>
      </c>
      <c r="I587" s="38" t="str">
        <f>IF(H587&gt;0,COUNTIF($H$16:H587,"&gt;0"),"")</f>
        <v/>
      </c>
    </row>
    <row r="588" spans="1:9" s="56" customFormat="1">
      <c r="A588" s="69" t="s">
        <v>84</v>
      </c>
      <c r="B588" s="69" t="s">
        <v>1165</v>
      </c>
      <c r="C588" s="69" t="s">
        <v>1166</v>
      </c>
      <c r="D588" s="69">
        <v>3614273954167</v>
      </c>
      <c r="E588" s="69" t="s">
        <v>13</v>
      </c>
      <c r="F588" s="69" t="s">
        <v>14</v>
      </c>
      <c r="G588" s="83">
        <v>73241</v>
      </c>
      <c r="I588" s="38" t="str">
        <f>IF(H588&gt;0,COUNTIF($H$16:H588,"&gt;0"),"")</f>
        <v/>
      </c>
    </row>
    <row r="589" spans="1:9" s="56" customFormat="1">
      <c r="A589" s="69" t="s">
        <v>84</v>
      </c>
      <c r="B589" s="69" t="s">
        <v>1167</v>
      </c>
      <c r="C589" s="69" t="s">
        <v>1168</v>
      </c>
      <c r="D589" s="69">
        <v>3614273954174</v>
      </c>
      <c r="E589" s="69" t="s">
        <v>13</v>
      </c>
      <c r="F589" s="69" t="s">
        <v>14</v>
      </c>
      <c r="G589" s="83">
        <v>59306</v>
      </c>
      <c r="I589" s="38" t="str">
        <f>IF(H589&gt;0,COUNTIF($H$16:H589,"&gt;0"),"")</f>
        <v/>
      </c>
    </row>
    <row r="590" spans="1:9" s="56" customFormat="1">
      <c r="A590" s="69" t="s">
        <v>84</v>
      </c>
      <c r="B590" s="69" t="s">
        <v>1169</v>
      </c>
      <c r="C590" s="69" t="s">
        <v>1170</v>
      </c>
      <c r="D590" s="69">
        <v>3614273604833</v>
      </c>
      <c r="E590" s="69" t="s">
        <v>13</v>
      </c>
      <c r="F590" s="69" t="s">
        <v>14</v>
      </c>
      <c r="G590" s="83">
        <v>67615</v>
      </c>
      <c r="I590" s="38" t="str">
        <f>IF(H590&gt;0,COUNTIF($H$16:H590,"&gt;0"),"")</f>
        <v/>
      </c>
    </row>
    <row r="591" spans="1:9" s="41" customFormat="1" ht="15" customHeight="1">
      <c r="A591" s="69" t="s">
        <v>84</v>
      </c>
      <c r="B591" s="69" t="s">
        <v>1171</v>
      </c>
      <c r="C591" s="69" t="s">
        <v>1172</v>
      </c>
      <c r="D591" s="69">
        <v>3614272907652</v>
      </c>
      <c r="E591" s="69" t="s">
        <v>42</v>
      </c>
      <c r="F591" s="69" t="s">
        <v>14</v>
      </c>
      <c r="G591" s="83">
        <v>36264</v>
      </c>
      <c r="H591" s="43"/>
      <c r="I591" s="40" t="str">
        <f>IF(H591&gt;0,COUNTIF($H$16:H591,"&gt;0"),"")</f>
        <v/>
      </c>
    </row>
    <row r="592" spans="1:9" s="56" customFormat="1">
      <c r="A592" s="69" t="s">
        <v>84</v>
      </c>
      <c r="B592" s="69" t="s">
        <v>1173</v>
      </c>
      <c r="C592" s="69" t="s">
        <v>1174</v>
      </c>
      <c r="D592" s="69">
        <v>3614273947787</v>
      </c>
      <c r="E592" s="69" t="s">
        <v>42</v>
      </c>
      <c r="F592" s="69" t="s">
        <v>14</v>
      </c>
      <c r="G592" s="83">
        <v>41111</v>
      </c>
      <c r="I592" s="38" t="str">
        <f>IF(H592&gt;0,COUNTIF($H$16:H592,"&gt;0"),"")</f>
        <v/>
      </c>
    </row>
    <row r="593" spans="1:9" s="56" customFormat="1">
      <c r="A593" s="69" t="s">
        <v>84</v>
      </c>
      <c r="B593" s="69" t="s">
        <v>1175</v>
      </c>
      <c r="C593" s="69" t="s">
        <v>1176</v>
      </c>
      <c r="D593" s="69">
        <v>3614272907676</v>
      </c>
      <c r="E593" s="69" t="s">
        <v>42</v>
      </c>
      <c r="F593" s="69" t="s">
        <v>14</v>
      </c>
      <c r="G593" s="83">
        <v>59133</v>
      </c>
      <c r="I593" s="38" t="str">
        <f>IF(H593&gt;0,COUNTIF($H$16:H593,"&gt;0"),"")</f>
        <v/>
      </c>
    </row>
    <row r="594" spans="1:9" s="56" customFormat="1">
      <c r="A594" s="69" t="s">
        <v>84</v>
      </c>
      <c r="B594" s="69" t="s">
        <v>1177</v>
      </c>
      <c r="C594" s="69" t="s">
        <v>1178</v>
      </c>
      <c r="D594" s="69">
        <v>3614274143751</v>
      </c>
      <c r="E594" s="69" t="s">
        <v>13</v>
      </c>
      <c r="F594" s="69" t="s">
        <v>14</v>
      </c>
      <c r="G594" s="83">
        <v>65105</v>
      </c>
      <c r="I594" s="38" t="str">
        <f>IF(H594&gt;0,COUNTIF($H$16:H594,"&gt;0"),"")</f>
        <v/>
      </c>
    </row>
    <row r="595" spans="1:9" s="56" customFormat="1">
      <c r="A595" s="69" t="s">
        <v>84</v>
      </c>
      <c r="B595" s="69" t="s">
        <v>1179</v>
      </c>
      <c r="C595" s="69" t="s">
        <v>1180</v>
      </c>
      <c r="D595" s="69">
        <v>3614273955546</v>
      </c>
      <c r="E595" s="69" t="s">
        <v>13</v>
      </c>
      <c r="F595" s="69" t="s">
        <v>14</v>
      </c>
      <c r="G595" s="83">
        <v>65019</v>
      </c>
      <c r="I595" s="38" t="str">
        <f>IF(H595&gt;0,COUNTIF($H$16:H595,"&gt;0"),"")</f>
        <v/>
      </c>
    </row>
    <row r="596" spans="1:9" s="56" customFormat="1">
      <c r="A596" s="69" t="s">
        <v>84</v>
      </c>
      <c r="B596" s="69" t="s">
        <v>1181</v>
      </c>
      <c r="C596" s="69" t="s">
        <v>1182</v>
      </c>
      <c r="D596" s="69">
        <v>3614273955539</v>
      </c>
      <c r="E596" s="69" t="s">
        <v>13</v>
      </c>
      <c r="F596" s="69" t="s">
        <v>14</v>
      </c>
      <c r="G596" s="84">
        <v>92460</v>
      </c>
      <c r="I596" s="38" t="str">
        <f>IF(H596&gt;0,COUNTIF($H$16:H596,"&gt;0"),"")</f>
        <v/>
      </c>
    </row>
    <row r="597" spans="1:9" s="56" customFormat="1">
      <c r="A597" s="69" t="s">
        <v>84</v>
      </c>
      <c r="B597" s="69" t="s">
        <v>1183</v>
      </c>
      <c r="C597" s="69" t="s">
        <v>1184</v>
      </c>
      <c r="D597" s="69">
        <v>3614274361322</v>
      </c>
      <c r="E597" s="69" t="s">
        <v>13</v>
      </c>
      <c r="F597" s="69" t="s">
        <v>14</v>
      </c>
      <c r="G597" s="83">
        <v>64586</v>
      </c>
      <c r="I597" s="38" t="str">
        <f>IF(H597&gt;0,COUNTIF($H$16:H597,"&gt;0"),"")</f>
        <v/>
      </c>
    </row>
    <row r="598" spans="1:9" s="56" customFormat="1">
      <c r="A598" s="69" t="s">
        <v>84</v>
      </c>
      <c r="B598" s="69" t="s">
        <v>1185</v>
      </c>
      <c r="C598" s="69" t="s">
        <v>1186</v>
      </c>
      <c r="D598" s="69">
        <v>3614274361339</v>
      </c>
      <c r="E598" s="69" t="s">
        <v>13</v>
      </c>
      <c r="F598" s="69" t="s">
        <v>14</v>
      </c>
      <c r="G598" s="83">
        <v>50738</v>
      </c>
      <c r="I598" s="38" t="str">
        <f>IF(H598&gt;0,COUNTIF($H$16:H598,"&gt;0"),"")</f>
        <v/>
      </c>
    </row>
    <row r="599" spans="1:9" s="56" customFormat="1">
      <c r="A599" s="69" t="s">
        <v>84</v>
      </c>
      <c r="B599" s="69" t="s">
        <v>1187</v>
      </c>
      <c r="C599" s="69" t="s">
        <v>1188</v>
      </c>
      <c r="D599" s="69">
        <v>3614273636582</v>
      </c>
      <c r="E599" s="69" t="s">
        <v>13</v>
      </c>
      <c r="F599" s="69" t="s">
        <v>14</v>
      </c>
      <c r="G599" s="83">
        <v>40679</v>
      </c>
      <c r="I599" s="38" t="str">
        <f>IF(H599&gt;0,COUNTIF($H$16:H599,"&gt;0"),"")</f>
        <v/>
      </c>
    </row>
    <row r="600" spans="1:9" s="56" customFormat="1">
      <c r="A600" s="69" t="s">
        <v>84</v>
      </c>
      <c r="B600" s="69" t="s">
        <v>1189</v>
      </c>
      <c r="C600" s="69" t="s">
        <v>1190</v>
      </c>
      <c r="D600" s="69">
        <v>3614274661682</v>
      </c>
      <c r="E600" s="69" t="s">
        <v>42</v>
      </c>
      <c r="F600" s="69" t="s">
        <v>14</v>
      </c>
      <c r="G600" s="83">
        <v>66231</v>
      </c>
      <c r="I600" s="38" t="str">
        <f>IF(H600&gt;0,COUNTIF($H$16:H600,"&gt;0"),"")</f>
        <v/>
      </c>
    </row>
    <row r="601" spans="1:9" s="56" customFormat="1">
      <c r="A601" s="69" t="s">
        <v>84</v>
      </c>
      <c r="B601" s="69" t="s">
        <v>1191</v>
      </c>
      <c r="C601" s="69" t="s">
        <v>1192</v>
      </c>
      <c r="D601" s="69">
        <v>3614274150926</v>
      </c>
      <c r="E601" s="69" t="s">
        <v>42</v>
      </c>
      <c r="F601" s="69" t="s">
        <v>14</v>
      </c>
      <c r="G601" s="83">
        <v>87523</v>
      </c>
      <c r="I601" s="38" t="str">
        <f>IF(H601&gt;0,COUNTIF($H$16:H601,"&gt;0"),"")</f>
        <v/>
      </c>
    </row>
    <row r="602" spans="1:9" s="56" customFormat="1">
      <c r="A602" s="69" t="s">
        <v>84</v>
      </c>
      <c r="B602" s="69" t="s">
        <v>1193</v>
      </c>
      <c r="C602" s="69" t="s">
        <v>1194</v>
      </c>
      <c r="D602" s="69">
        <v>3614274322309</v>
      </c>
      <c r="E602" s="69" t="s">
        <v>42</v>
      </c>
      <c r="F602" s="69" t="s">
        <v>14</v>
      </c>
      <c r="G602" s="83">
        <v>47709</v>
      </c>
      <c r="I602" s="38" t="str">
        <f>IF(H602&gt;0,COUNTIF($H$16:H602,"&gt;0"),"")</f>
        <v/>
      </c>
    </row>
    <row r="603" spans="1:9" s="56" customFormat="1">
      <c r="A603" s="69" t="s">
        <v>84</v>
      </c>
      <c r="B603" s="69" t="s">
        <v>1195</v>
      </c>
      <c r="C603" s="69" t="s">
        <v>1196</v>
      </c>
      <c r="D603" s="69">
        <v>3614271994844</v>
      </c>
      <c r="E603" s="69" t="s">
        <v>42</v>
      </c>
      <c r="F603" s="69" t="s">
        <v>14</v>
      </c>
      <c r="G603" s="83">
        <v>78955</v>
      </c>
      <c r="I603" s="38" t="str">
        <f>IF(H603&gt;0,COUNTIF($H$16:H603,"&gt;0"),"")</f>
        <v/>
      </c>
    </row>
    <row r="604" spans="1:9" s="56" customFormat="1">
      <c r="A604" s="69" t="s">
        <v>84</v>
      </c>
      <c r="B604" s="69" t="s">
        <v>1197</v>
      </c>
      <c r="C604" s="69" t="s">
        <v>1198</v>
      </c>
      <c r="D604" s="69">
        <v>3614274151008</v>
      </c>
      <c r="E604" s="69" t="s">
        <v>42</v>
      </c>
      <c r="F604" s="69" t="s">
        <v>14</v>
      </c>
      <c r="G604" s="83">
        <v>45977</v>
      </c>
      <c r="I604" s="38" t="str">
        <f>IF(H604&gt;0,COUNTIF($H$16:H604,"&gt;0"),"")</f>
        <v/>
      </c>
    </row>
    <row r="605" spans="1:9" s="56" customFormat="1">
      <c r="A605" s="69" t="s">
        <v>84</v>
      </c>
      <c r="B605" s="69" t="s">
        <v>1199</v>
      </c>
      <c r="C605" s="69" t="s">
        <v>1200</v>
      </c>
      <c r="D605" s="69">
        <v>3614274821697</v>
      </c>
      <c r="E605" s="69" t="s">
        <v>13</v>
      </c>
      <c r="F605" s="69" t="s">
        <v>69</v>
      </c>
      <c r="G605" s="83">
        <v>79041</v>
      </c>
      <c r="I605" s="38" t="str">
        <f>IF(H605&gt;0,COUNTIF($H$16:H605,"&gt;0"),"")</f>
        <v/>
      </c>
    </row>
    <row r="606" spans="1:9" s="56" customFormat="1">
      <c r="A606" s="69" t="s">
        <v>84</v>
      </c>
      <c r="B606" s="69" t="s">
        <v>86</v>
      </c>
      <c r="C606" s="69" t="s">
        <v>87</v>
      </c>
      <c r="D606" s="69">
        <v>3614274822052</v>
      </c>
      <c r="E606" s="69" t="s">
        <v>13</v>
      </c>
      <c r="F606" s="69" t="s">
        <v>69</v>
      </c>
      <c r="G606" s="83">
        <v>91072</v>
      </c>
      <c r="I606" s="38" t="str">
        <f>IF(H606&gt;0,COUNTIF($H$16:H606,"&gt;0"),"")</f>
        <v/>
      </c>
    </row>
    <row r="607" spans="1:9" s="42" customFormat="1" ht="15" customHeight="1">
      <c r="A607" s="69" t="s">
        <v>84</v>
      </c>
      <c r="B607" s="69" t="s">
        <v>1201</v>
      </c>
      <c r="C607" s="69" t="s">
        <v>1202</v>
      </c>
      <c r="D607" s="69">
        <v>3605521816511</v>
      </c>
      <c r="E607" s="69" t="s">
        <v>42</v>
      </c>
      <c r="F607" s="69" t="s">
        <v>14</v>
      </c>
      <c r="G607" s="83">
        <v>40852</v>
      </c>
      <c r="H607" s="43"/>
      <c r="I607" s="43" t="str">
        <f>IF(H607&gt;0,COUNTIF($H$16:H607,"&gt;0"),"")</f>
        <v/>
      </c>
    </row>
    <row r="608" spans="1:9" s="42" customFormat="1" ht="15" customHeight="1">
      <c r="A608" s="69" t="s">
        <v>84</v>
      </c>
      <c r="B608" s="69" t="s">
        <v>1203</v>
      </c>
      <c r="C608" s="69">
        <v>3605521816580</v>
      </c>
      <c r="D608" s="69">
        <v>3605521816580</v>
      </c>
      <c r="E608" s="69" t="s">
        <v>42</v>
      </c>
      <c r="F608" s="69" t="s">
        <v>14</v>
      </c>
      <c r="G608" s="83">
        <v>58960</v>
      </c>
      <c r="H608" s="43"/>
      <c r="I608" s="43" t="str">
        <f>IF(H608&gt;0,COUNTIF($H$16:H608,"&gt;0"),"")</f>
        <v/>
      </c>
    </row>
    <row r="609" spans="1:9" s="56" customFormat="1">
      <c r="A609" s="69" t="s">
        <v>1204</v>
      </c>
      <c r="B609" s="69" t="s">
        <v>1205</v>
      </c>
      <c r="C609" s="69" t="s">
        <v>1206</v>
      </c>
      <c r="D609" s="69">
        <v>7640164030418</v>
      </c>
      <c r="E609" s="69" t="s">
        <v>13</v>
      </c>
      <c r="F609" s="69" t="s">
        <v>14</v>
      </c>
      <c r="G609" s="83">
        <v>60345</v>
      </c>
      <c r="I609" s="38" t="str">
        <f>IF(H609&gt;0,COUNTIF($H$16:H609,"&gt;0"),"")</f>
        <v/>
      </c>
    </row>
    <row r="610" spans="1:9" s="56" customFormat="1">
      <c r="A610" s="69" t="s">
        <v>1204</v>
      </c>
      <c r="B610" s="69" t="s">
        <v>1207</v>
      </c>
      <c r="C610" s="69" t="s">
        <v>1208</v>
      </c>
      <c r="D610" s="69">
        <v>7640164031040</v>
      </c>
      <c r="E610" s="69" t="s">
        <v>13</v>
      </c>
      <c r="F610" s="69" t="s">
        <v>14</v>
      </c>
      <c r="G610" s="83">
        <v>71251</v>
      </c>
      <c r="I610" s="38" t="str">
        <f>IF(H610&gt;0,COUNTIF($H$16:H610,"&gt;0"),"")</f>
        <v/>
      </c>
    </row>
    <row r="611" spans="1:9" s="56" customFormat="1">
      <c r="A611" s="69" t="s">
        <v>1204</v>
      </c>
      <c r="B611" s="69" t="s">
        <v>1209</v>
      </c>
      <c r="C611" s="69" t="s">
        <v>1210</v>
      </c>
      <c r="D611" s="69">
        <v>7640164030432</v>
      </c>
      <c r="E611" s="69" t="s">
        <v>42</v>
      </c>
      <c r="F611" s="69" t="s">
        <v>14</v>
      </c>
      <c r="G611" s="83">
        <v>45804</v>
      </c>
      <c r="I611" s="38" t="str">
        <f>IF(H611&gt;0,COUNTIF($H$16:H611,"&gt;0"),"")</f>
        <v/>
      </c>
    </row>
    <row r="612" spans="1:9" s="56" customFormat="1">
      <c r="A612" s="69" t="s">
        <v>1204</v>
      </c>
      <c r="B612" s="69" t="s">
        <v>1211</v>
      </c>
      <c r="C612" s="69" t="s">
        <v>1212</v>
      </c>
      <c r="D612" s="69">
        <v>7640164030814</v>
      </c>
      <c r="E612" s="69" t="s">
        <v>42</v>
      </c>
      <c r="F612" s="69" t="s">
        <v>14</v>
      </c>
      <c r="G612" s="83">
        <v>45718</v>
      </c>
      <c r="I612" s="38" t="str">
        <f>IF(H612&gt;0,COUNTIF($H$16:H612,"&gt;0"),"")</f>
        <v/>
      </c>
    </row>
    <row r="613" spans="1:9" s="56" customFormat="1">
      <c r="A613" s="69" t="s">
        <v>1204</v>
      </c>
      <c r="B613" s="69" t="s">
        <v>1213</v>
      </c>
      <c r="C613" s="69" t="s">
        <v>1214</v>
      </c>
      <c r="D613" s="69">
        <v>7640164033105</v>
      </c>
      <c r="E613" s="69" t="s">
        <v>42</v>
      </c>
      <c r="F613" s="69" t="s">
        <v>14</v>
      </c>
      <c r="G613" s="83">
        <v>51517</v>
      </c>
      <c r="I613" s="38" t="str">
        <f>IF(H613&gt;0,COUNTIF($H$16:H613,"&gt;0"),"")</f>
        <v/>
      </c>
    </row>
    <row r="614" spans="1:9" s="56" customFormat="1">
      <c r="A614" s="69" t="s">
        <v>1204</v>
      </c>
      <c r="B614" s="69" t="s">
        <v>1215</v>
      </c>
      <c r="C614" s="69" t="s">
        <v>1216</v>
      </c>
      <c r="D614" s="69">
        <v>7640164031354</v>
      </c>
      <c r="E614" s="69" t="s">
        <v>13</v>
      </c>
      <c r="F614" s="69" t="s">
        <v>14</v>
      </c>
      <c r="G614" s="83">
        <v>61038</v>
      </c>
      <c r="I614" s="38" t="str">
        <f>IF(H614&gt;0,COUNTIF($H$16:H614,"&gt;0"),"")</f>
        <v/>
      </c>
    </row>
    <row r="615" spans="1:9" s="56" customFormat="1">
      <c r="A615" s="69" t="s">
        <v>1204</v>
      </c>
      <c r="B615" s="69" t="s">
        <v>1217</v>
      </c>
      <c r="C615" s="69" t="s">
        <v>1218</v>
      </c>
      <c r="D615" s="69">
        <v>7640164033136</v>
      </c>
      <c r="E615" s="69" t="s">
        <v>13</v>
      </c>
      <c r="F615" s="69" t="s">
        <v>14</v>
      </c>
      <c r="G615" s="83">
        <v>51343</v>
      </c>
      <c r="I615" s="38" t="str">
        <f>IF(H615&gt;0,COUNTIF($H$16:H615,"&gt;0"),"")</f>
        <v/>
      </c>
    </row>
    <row r="616" spans="1:9" s="56" customFormat="1">
      <c r="A616" s="69" t="s">
        <v>1219</v>
      </c>
      <c r="B616" s="69" t="s">
        <v>1220</v>
      </c>
      <c r="C616" s="69" t="s">
        <v>1221</v>
      </c>
      <c r="D616" s="69">
        <v>3616302022472</v>
      </c>
      <c r="E616" s="69" t="s">
        <v>42</v>
      </c>
      <c r="F616" s="69" t="s">
        <v>14</v>
      </c>
      <c r="G616" s="83">
        <v>70992</v>
      </c>
      <c r="I616" s="38" t="str">
        <f>IF(H616&gt;0,COUNTIF($H$16:H616,"&gt;0"),"")</f>
        <v/>
      </c>
    </row>
    <row r="617" spans="1:9" s="56" customFormat="1">
      <c r="A617" s="69" t="s">
        <v>1222</v>
      </c>
      <c r="B617" s="69" t="s">
        <v>1223</v>
      </c>
      <c r="C617" s="69" t="s">
        <v>1224</v>
      </c>
      <c r="D617" s="69">
        <v>3614274309072</v>
      </c>
      <c r="E617" s="69" t="s">
        <v>13</v>
      </c>
      <c r="F617" s="69" t="s">
        <v>14</v>
      </c>
      <c r="G617" s="83">
        <v>17259</v>
      </c>
      <c r="I617" s="38" t="str">
        <f>IF(H617&gt;0,COUNTIF($H$16:H617,"&gt;0"),"")</f>
        <v/>
      </c>
    </row>
    <row r="618" spans="1:9" s="56" customFormat="1">
      <c r="A618" s="69" t="s">
        <v>91</v>
      </c>
      <c r="B618" s="69" t="s">
        <v>92</v>
      </c>
      <c r="C618" s="69" t="s">
        <v>93</v>
      </c>
      <c r="D618" s="69">
        <v>8431754342016</v>
      </c>
      <c r="E618" s="69" t="s">
        <v>42</v>
      </c>
      <c r="F618" s="69" t="s">
        <v>14</v>
      </c>
      <c r="G618" s="83">
        <v>25312</v>
      </c>
      <c r="I618" s="38" t="str">
        <f>IF(H618&gt;0,COUNTIF($H$16:H618,"&gt;0"),"")</f>
        <v/>
      </c>
    </row>
    <row r="619" spans="1:9" s="56" customFormat="1">
      <c r="A619" s="69" t="s">
        <v>91</v>
      </c>
      <c r="B619" s="69" t="s">
        <v>94</v>
      </c>
      <c r="C619" s="69" t="s">
        <v>95</v>
      </c>
      <c r="D619" s="69">
        <v>8431754462516</v>
      </c>
      <c r="E619" s="69" t="s">
        <v>13</v>
      </c>
      <c r="F619" s="69" t="s">
        <v>14</v>
      </c>
      <c r="G619" s="83">
        <v>25312</v>
      </c>
      <c r="I619" s="38" t="str">
        <f>IF(H619&gt;0,COUNTIF($H$16:H619,"&gt;0"),"")</f>
        <v/>
      </c>
    </row>
    <row r="620" spans="1:9" s="56" customFormat="1">
      <c r="A620" s="69" t="s">
        <v>91</v>
      </c>
      <c r="B620" s="69" t="s">
        <v>1225</v>
      </c>
      <c r="C620" s="69" t="s">
        <v>1226</v>
      </c>
      <c r="D620" s="69">
        <v>8431754341019</v>
      </c>
      <c r="E620" s="69" t="s">
        <v>42</v>
      </c>
      <c r="F620" s="69" t="s">
        <v>14</v>
      </c>
      <c r="G620" s="83">
        <v>17172</v>
      </c>
      <c r="I620" s="38" t="str">
        <f>IF(H620&gt;0,COUNTIF($H$16:H620,"&gt;0"),"")</f>
        <v/>
      </c>
    </row>
    <row r="621" spans="1:9" s="56" customFormat="1">
      <c r="A621" s="69" t="s">
        <v>91</v>
      </c>
      <c r="B621" s="69" t="s">
        <v>1227</v>
      </c>
      <c r="C621" s="69" t="s">
        <v>1228</v>
      </c>
      <c r="D621" s="69">
        <v>8431754006031</v>
      </c>
      <c r="E621" s="69" t="s">
        <v>13</v>
      </c>
      <c r="F621" s="69" t="s">
        <v>14</v>
      </c>
      <c r="G621" s="83">
        <v>26351</v>
      </c>
      <c r="I621" s="38" t="str">
        <f>IF(H621&gt;0,COUNTIF($H$16:H621,"&gt;0"),"")</f>
        <v/>
      </c>
    </row>
    <row r="622" spans="1:9" s="56" customFormat="1">
      <c r="A622" s="69" t="s">
        <v>1229</v>
      </c>
      <c r="B622" s="69" t="s">
        <v>1230</v>
      </c>
      <c r="C622" s="69" t="s">
        <v>1231</v>
      </c>
      <c r="D622" s="69">
        <v>6294015199161</v>
      </c>
      <c r="E622" s="69" t="s">
        <v>17</v>
      </c>
      <c r="F622" s="69" t="s">
        <v>14</v>
      </c>
      <c r="G622" s="83">
        <v>13191</v>
      </c>
      <c r="I622" s="38" t="str">
        <f>IF(H622&gt;0,COUNTIF($H$16:H622,"&gt;0"),"")</f>
        <v/>
      </c>
    </row>
    <row r="623" spans="1:9" s="56" customFormat="1">
      <c r="A623" s="69" t="s">
        <v>1229</v>
      </c>
      <c r="B623" s="69" t="s">
        <v>1232</v>
      </c>
      <c r="C623" s="69" t="s">
        <v>1233</v>
      </c>
      <c r="D623" s="69">
        <v>6294015199192</v>
      </c>
      <c r="E623" s="69" t="s">
        <v>17</v>
      </c>
      <c r="F623" s="69" t="s">
        <v>14</v>
      </c>
      <c r="G623" s="83">
        <v>12759</v>
      </c>
      <c r="I623" s="38" t="str">
        <f>IF(H623&gt;0,COUNTIF($H$16:H623,"&gt;0"),"")</f>
        <v/>
      </c>
    </row>
    <row r="624" spans="1:9" s="56" customFormat="1">
      <c r="A624" s="69" t="s">
        <v>96</v>
      </c>
      <c r="B624" s="69" t="s">
        <v>1234</v>
      </c>
      <c r="C624" s="69" t="s">
        <v>1235</v>
      </c>
      <c r="D624" s="69">
        <v>3346132004903</v>
      </c>
      <c r="E624" s="69" t="s">
        <v>17</v>
      </c>
      <c r="F624" s="69" t="s">
        <v>14</v>
      </c>
      <c r="G624" s="83">
        <v>52988</v>
      </c>
      <c r="I624" s="38" t="str">
        <f>IF(H624&gt;0,COUNTIF($H$16:H624,"&gt;0"),"")</f>
        <v/>
      </c>
    </row>
    <row r="625" spans="1:9" s="56" customFormat="1">
      <c r="A625" s="69" t="s">
        <v>96</v>
      </c>
      <c r="B625" s="69" t="s">
        <v>1236</v>
      </c>
      <c r="C625" s="69" t="s">
        <v>1237</v>
      </c>
      <c r="D625" s="69">
        <v>3346133500022</v>
      </c>
      <c r="E625" s="69" t="s">
        <v>13</v>
      </c>
      <c r="F625" s="69" t="s">
        <v>14</v>
      </c>
      <c r="G625" s="83">
        <v>52209</v>
      </c>
      <c r="I625" s="38" t="str">
        <f>IF(H625&gt;0,COUNTIF($H$16:H625,"&gt;0"),"")</f>
        <v/>
      </c>
    </row>
    <row r="626" spans="1:9" s="56" customFormat="1">
      <c r="A626" s="69" t="s">
        <v>96</v>
      </c>
      <c r="B626" s="69" t="s">
        <v>1238</v>
      </c>
      <c r="C626" s="69" t="s">
        <v>1239</v>
      </c>
      <c r="D626" s="69">
        <v>3346130432111</v>
      </c>
      <c r="E626" s="69" t="s">
        <v>13</v>
      </c>
      <c r="F626" s="69" t="s">
        <v>14</v>
      </c>
      <c r="G626" s="83">
        <v>69174</v>
      </c>
      <c r="I626" s="38" t="str">
        <f>IF(H626&gt;0,COUNTIF($H$16:H626,"&gt;0"),"")</f>
        <v/>
      </c>
    </row>
    <row r="627" spans="1:9" s="56" customFormat="1">
      <c r="A627" s="69" t="s">
        <v>96</v>
      </c>
      <c r="B627" s="69" t="s">
        <v>1240</v>
      </c>
      <c r="C627" s="69" t="s">
        <v>1241</v>
      </c>
      <c r="D627" s="69">
        <v>3346130421337</v>
      </c>
      <c r="E627" s="69" t="s">
        <v>42</v>
      </c>
      <c r="F627" s="69" t="s">
        <v>14</v>
      </c>
      <c r="G627" s="83">
        <v>70992</v>
      </c>
      <c r="I627" s="38" t="str">
        <f>IF(H627&gt;0,COUNTIF($H$16:H627,"&gt;0"),"")</f>
        <v/>
      </c>
    </row>
    <row r="628" spans="1:9" s="56" customFormat="1">
      <c r="A628" s="69" t="s">
        <v>96</v>
      </c>
      <c r="B628" s="69" t="s">
        <v>1242</v>
      </c>
      <c r="C628" s="69" t="s">
        <v>1243</v>
      </c>
      <c r="D628" s="69">
        <v>3346132600013</v>
      </c>
      <c r="E628" s="69" t="s">
        <v>17</v>
      </c>
      <c r="F628" s="69" t="s">
        <v>14</v>
      </c>
      <c r="G628" s="83">
        <v>72203</v>
      </c>
      <c r="I628" s="38" t="str">
        <f>IF(H628&gt;0,COUNTIF($H$16:H628,"&gt;0"),"")</f>
        <v/>
      </c>
    </row>
    <row r="629" spans="1:9" s="56" customFormat="1">
      <c r="A629" s="69" t="s">
        <v>96</v>
      </c>
      <c r="B629" s="69" t="s">
        <v>97</v>
      </c>
      <c r="C629" s="69" t="s">
        <v>98</v>
      </c>
      <c r="D629" s="69">
        <v>3346130013457</v>
      </c>
      <c r="E629" s="69" t="s">
        <v>13</v>
      </c>
      <c r="F629" s="69" t="s">
        <v>14</v>
      </c>
      <c r="G629" s="83">
        <v>84754</v>
      </c>
      <c r="I629" s="38" t="str">
        <f>IF(H629&gt;0,COUNTIF($H$16:H629,"&gt;0"),"")</f>
        <v/>
      </c>
    </row>
    <row r="630" spans="1:9" s="56" customFormat="1">
      <c r="A630" s="69" t="s">
        <v>96</v>
      </c>
      <c r="B630" s="69" t="s">
        <v>1244</v>
      </c>
      <c r="C630" s="69" t="s">
        <v>1245</v>
      </c>
      <c r="D630" s="69">
        <v>3346130417262</v>
      </c>
      <c r="E630" s="69" t="s">
        <v>17</v>
      </c>
      <c r="F630" s="69" t="s">
        <v>14</v>
      </c>
      <c r="G630" s="83">
        <v>71511</v>
      </c>
      <c r="I630" s="38" t="str">
        <f>IF(H630&gt;0,COUNTIF($H$16:H630,"&gt;0"),"")</f>
        <v/>
      </c>
    </row>
    <row r="631" spans="1:9" s="56" customFormat="1">
      <c r="A631" s="69" t="s">
        <v>96</v>
      </c>
      <c r="B631" s="69" t="s">
        <v>1246</v>
      </c>
      <c r="C631" s="69" t="s">
        <v>1247</v>
      </c>
      <c r="D631" s="69">
        <v>3346133600050</v>
      </c>
      <c r="E631" s="69" t="s">
        <v>17</v>
      </c>
      <c r="F631" s="69" t="s">
        <v>14</v>
      </c>
      <c r="G631" s="83">
        <v>71511</v>
      </c>
      <c r="I631" s="38" t="str">
        <f>IF(H631&gt;0,COUNTIF($H$16:H631,"&gt;0"),"")</f>
        <v/>
      </c>
    </row>
    <row r="632" spans="1:9" s="56" customFormat="1">
      <c r="A632" s="69" t="s">
        <v>96</v>
      </c>
      <c r="B632" s="69" t="s">
        <v>1248</v>
      </c>
      <c r="C632" s="69" t="s">
        <v>1249</v>
      </c>
      <c r="D632" s="69">
        <v>3346132400019</v>
      </c>
      <c r="E632" s="69" t="s">
        <v>17</v>
      </c>
      <c r="F632" s="69" t="s">
        <v>14</v>
      </c>
      <c r="G632" s="83">
        <v>71511</v>
      </c>
      <c r="I632" s="38" t="str">
        <f>IF(H632&gt;0,COUNTIF($H$16:H632,"&gt;0"),"")</f>
        <v/>
      </c>
    </row>
    <row r="633" spans="1:9" s="56" customFormat="1">
      <c r="A633" s="69" t="s">
        <v>88</v>
      </c>
      <c r="B633" s="69" t="s">
        <v>1250</v>
      </c>
      <c r="C633" s="69" t="s">
        <v>1251</v>
      </c>
      <c r="D633" s="69">
        <v>3614229823806</v>
      </c>
      <c r="E633" s="69" t="s">
        <v>13</v>
      </c>
      <c r="F633" s="69" t="s">
        <v>14</v>
      </c>
      <c r="G633" s="83">
        <v>34273</v>
      </c>
      <c r="I633" s="38" t="str">
        <f>IF(H633&gt;0,COUNTIF($H$16:H633,"&gt;0"),"")</f>
        <v/>
      </c>
    </row>
    <row r="634" spans="1:9" s="56" customFormat="1">
      <c r="A634" s="69" t="s">
        <v>88</v>
      </c>
      <c r="B634" s="69" t="s">
        <v>1252</v>
      </c>
      <c r="C634" s="69" t="s">
        <v>1253</v>
      </c>
      <c r="D634" s="69">
        <v>3614229823790</v>
      </c>
      <c r="E634" s="69" t="s">
        <v>13</v>
      </c>
      <c r="F634" s="69" t="s">
        <v>14</v>
      </c>
      <c r="G634" s="83">
        <v>24101</v>
      </c>
      <c r="I634" s="38" t="str">
        <f>IF(H634&gt;0,COUNTIF($H$16:H634,"&gt;0"),"")</f>
        <v/>
      </c>
    </row>
    <row r="635" spans="1:9" s="56" customFormat="1">
      <c r="A635" s="69" t="s">
        <v>88</v>
      </c>
      <c r="B635" s="69" t="s">
        <v>1254</v>
      </c>
      <c r="C635" s="69" t="s">
        <v>1255</v>
      </c>
      <c r="D635" s="69">
        <v>3616306096202</v>
      </c>
      <c r="E635" s="69" t="s">
        <v>13</v>
      </c>
      <c r="F635" s="69" t="s">
        <v>14</v>
      </c>
      <c r="G635" s="83">
        <v>53248</v>
      </c>
      <c r="I635" s="38" t="str">
        <f>IF(H635&gt;0,COUNTIF($H$16:H635,"&gt;0"),"")</f>
        <v/>
      </c>
    </row>
    <row r="636" spans="1:9" s="56" customFormat="1">
      <c r="A636" s="69" t="s">
        <v>88</v>
      </c>
      <c r="B636" s="69" t="s">
        <v>1256</v>
      </c>
      <c r="C636" s="69" t="s">
        <v>1257</v>
      </c>
      <c r="D636" s="69">
        <v>3616306096219</v>
      </c>
      <c r="E636" s="69" t="s">
        <v>13</v>
      </c>
      <c r="F636" s="69" t="s">
        <v>14</v>
      </c>
      <c r="G636" s="83">
        <v>62076</v>
      </c>
      <c r="I636" s="38" t="str">
        <f>IF(H636&gt;0,COUNTIF($H$16:H636,"&gt;0"),"")</f>
        <v/>
      </c>
    </row>
    <row r="637" spans="1:9" s="56" customFormat="1">
      <c r="A637" s="69" t="s">
        <v>88</v>
      </c>
      <c r="B637" s="69" t="s">
        <v>1258</v>
      </c>
      <c r="C637" s="69" t="s">
        <v>1259</v>
      </c>
      <c r="D637" s="69">
        <v>3616305265661</v>
      </c>
      <c r="E637" s="69" t="s">
        <v>13</v>
      </c>
      <c r="F637" s="69" t="s">
        <v>14</v>
      </c>
      <c r="G637" s="83">
        <v>37043</v>
      </c>
      <c r="I637" s="38" t="str">
        <f>IF(H637&gt;0,COUNTIF($H$16:H637,"&gt;0"),"")</f>
        <v/>
      </c>
    </row>
    <row r="638" spans="1:9" s="56" customFormat="1">
      <c r="A638" s="69" t="s">
        <v>99</v>
      </c>
      <c r="B638" s="69" t="s">
        <v>1260</v>
      </c>
      <c r="C638" s="69" t="s">
        <v>1261</v>
      </c>
      <c r="D638" s="69">
        <v>8435415062190</v>
      </c>
      <c r="E638" s="69" t="s">
        <v>13</v>
      </c>
      <c r="F638" s="69" t="s">
        <v>14</v>
      </c>
      <c r="G638" s="83">
        <v>96612</v>
      </c>
      <c r="I638" s="38" t="str">
        <f>IF(H638&gt;0,COUNTIF($H$16:H638,"&gt;0"),"")</f>
        <v/>
      </c>
    </row>
    <row r="639" spans="1:9" s="56" customFormat="1">
      <c r="A639" s="69" t="s">
        <v>99</v>
      </c>
      <c r="B639" s="69" t="s">
        <v>1262</v>
      </c>
      <c r="C639" s="69" t="s">
        <v>1263</v>
      </c>
      <c r="D639" s="69">
        <v>8435415062213</v>
      </c>
      <c r="E639" s="69" t="s">
        <v>13</v>
      </c>
      <c r="F639" s="69" t="s">
        <v>14</v>
      </c>
      <c r="G639" s="83">
        <v>72290</v>
      </c>
      <c r="I639" s="38" t="str">
        <f>IF(H639&gt;0,COUNTIF($H$16:H639,"&gt;0"),"")</f>
        <v/>
      </c>
    </row>
    <row r="640" spans="1:9" s="56" customFormat="1">
      <c r="A640" s="69" t="s">
        <v>99</v>
      </c>
      <c r="B640" s="69" t="s">
        <v>100</v>
      </c>
      <c r="C640" s="69" t="s">
        <v>101</v>
      </c>
      <c r="D640" s="69">
        <v>8435415032315</v>
      </c>
      <c r="E640" s="69" t="s">
        <v>13</v>
      </c>
      <c r="F640" s="69" t="s">
        <v>14</v>
      </c>
      <c r="G640" s="83">
        <v>72203</v>
      </c>
      <c r="I640" s="38" t="str">
        <f>IF(H640&gt;0,COUNTIF($H$16:H640,"&gt;0"),"")</f>
        <v/>
      </c>
    </row>
    <row r="641" spans="1:9" s="56" customFormat="1">
      <c r="A641" s="69" t="s">
        <v>99</v>
      </c>
      <c r="B641" s="69" t="s">
        <v>1264</v>
      </c>
      <c r="C641" s="69" t="s">
        <v>1265</v>
      </c>
      <c r="D641" s="69">
        <v>8435415017190</v>
      </c>
      <c r="E641" s="69" t="s">
        <v>13</v>
      </c>
      <c r="F641" s="69" t="s">
        <v>14</v>
      </c>
      <c r="G641" s="83">
        <v>66058</v>
      </c>
      <c r="I641" s="38" t="str">
        <f>IF(H641&gt;0,COUNTIF($H$16:H641,"&gt;0"),"")</f>
        <v/>
      </c>
    </row>
    <row r="642" spans="1:9" s="56" customFormat="1">
      <c r="A642" s="69" t="s">
        <v>99</v>
      </c>
      <c r="B642" s="69" t="s">
        <v>1266</v>
      </c>
      <c r="C642" s="69" t="s">
        <v>1267</v>
      </c>
      <c r="D642" s="69">
        <v>8435415032278</v>
      </c>
      <c r="E642" s="69" t="s">
        <v>13</v>
      </c>
      <c r="F642" s="69" t="s">
        <v>14</v>
      </c>
      <c r="G642" s="83">
        <v>63461</v>
      </c>
      <c r="I642" s="38" t="str">
        <f>IF(H642&gt;0,COUNTIF($H$16:H642,"&gt;0"),"")</f>
        <v/>
      </c>
    </row>
    <row r="643" spans="1:9" s="56" customFormat="1" ht="30">
      <c r="A643" s="69" t="s">
        <v>99</v>
      </c>
      <c r="B643" s="69" t="s">
        <v>1268</v>
      </c>
      <c r="C643" s="69" t="s">
        <v>1269</v>
      </c>
      <c r="D643" s="69">
        <v>8435415091169</v>
      </c>
      <c r="E643" s="69" t="s">
        <v>42</v>
      </c>
      <c r="F643" s="69" t="s">
        <v>14</v>
      </c>
      <c r="G643" s="83">
        <v>92024</v>
      </c>
      <c r="I643" s="38" t="str">
        <f>IF(H643&gt;0,COUNTIF($H$16:H643,"&gt;0"),"")</f>
        <v/>
      </c>
    </row>
    <row r="644" spans="1:9" s="56" customFormat="1">
      <c r="A644" s="69" t="s">
        <v>99</v>
      </c>
      <c r="B644" s="69" t="s">
        <v>1270</v>
      </c>
      <c r="C644" s="69" t="s">
        <v>1271</v>
      </c>
      <c r="D644" s="69">
        <v>8435415076838</v>
      </c>
      <c r="E644" s="69" t="s">
        <v>42</v>
      </c>
      <c r="F644" s="69" t="s">
        <v>14</v>
      </c>
      <c r="G644" s="83">
        <v>87783</v>
      </c>
      <c r="I644" s="38" t="str">
        <f>IF(H644&gt;0,COUNTIF($H$16:H644,"&gt;0"),"")</f>
        <v/>
      </c>
    </row>
    <row r="645" spans="1:9" s="56" customFormat="1">
      <c r="A645" s="69" t="s">
        <v>99</v>
      </c>
      <c r="B645" s="69" t="s">
        <v>1272</v>
      </c>
      <c r="C645" s="69" t="s">
        <v>1273</v>
      </c>
      <c r="D645" s="69">
        <v>8435415017206</v>
      </c>
      <c r="E645" s="69" t="s">
        <v>13</v>
      </c>
      <c r="F645" s="69" t="s">
        <v>14</v>
      </c>
      <c r="G645" s="83">
        <v>78348</v>
      </c>
      <c r="I645" s="38" t="str">
        <f>IF(H645&gt;0,COUNTIF($H$16:H645,"&gt;0"),"")</f>
        <v/>
      </c>
    </row>
    <row r="646" spans="1:9" s="56" customFormat="1">
      <c r="A646" s="69" t="s">
        <v>99</v>
      </c>
      <c r="B646" s="69" t="s">
        <v>1274</v>
      </c>
      <c r="C646" s="69" t="s">
        <v>1275</v>
      </c>
      <c r="D646" s="69">
        <v>8435415115193</v>
      </c>
      <c r="E646" s="69" t="s">
        <v>13</v>
      </c>
      <c r="F646" s="69" t="s">
        <v>14</v>
      </c>
      <c r="G646" s="83">
        <v>73675</v>
      </c>
      <c r="I646" s="38" t="str">
        <f>IF(H646&gt;0,COUNTIF($H$16:H646,"&gt;0"),"")</f>
        <v/>
      </c>
    </row>
    <row r="647" spans="1:9" s="56" customFormat="1">
      <c r="A647" s="69" t="s">
        <v>99</v>
      </c>
      <c r="B647" s="69" t="s">
        <v>1276</v>
      </c>
      <c r="C647" s="69" t="s">
        <v>1277</v>
      </c>
      <c r="D647" s="69">
        <v>8435415115209</v>
      </c>
      <c r="E647" s="69" t="s">
        <v>13</v>
      </c>
      <c r="F647" s="69" t="s">
        <v>14</v>
      </c>
      <c r="G647" s="83">
        <v>61903</v>
      </c>
      <c r="I647" s="38" t="str">
        <f>IF(H647&gt;0,COUNTIF($H$16:H647,"&gt;0"),"")</f>
        <v/>
      </c>
    </row>
    <row r="648" spans="1:9" s="56" customFormat="1">
      <c r="A648" s="69" t="s">
        <v>99</v>
      </c>
      <c r="B648" s="69" t="s">
        <v>1278</v>
      </c>
      <c r="C648" s="69" t="s">
        <v>1279</v>
      </c>
      <c r="D648" s="69">
        <v>8435415076937</v>
      </c>
      <c r="E648" s="69" t="s">
        <v>13</v>
      </c>
      <c r="F648" s="69" t="s">
        <v>14</v>
      </c>
      <c r="G648" s="83">
        <v>75059</v>
      </c>
      <c r="I648" s="38" t="str">
        <f>IF(H648&gt;0,COUNTIF($H$16:H648,"&gt;0"),"")</f>
        <v/>
      </c>
    </row>
    <row r="649" spans="1:9" s="56" customFormat="1" ht="30">
      <c r="A649" s="69" t="s">
        <v>99</v>
      </c>
      <c r="B649" s="69" t="s">
        <v>102</v>
      </c>
      <c r="C649" s="69" t="s">
        <v>103</v>
      </c>
      <c r="D649" s="69">
        <v>8435415065191</v>
      </c>
      <c r="E649" s="69" t="s">
        <v>13</v>
      </c>
      <c r="F649" s="69" t="s">
        <v>14</v>
      </c>
      <c r="G649" s="83">
        <v>92024</v>
      </c>
      <c r="I649" s="38" t="str">
        <f>IF(H649&gt;0,COUNTIF($H$16:H649,"&gt;0"),"")</f>
        <v/>
      </c>
    </row>
    <row r="650" spans="1:9" s="56" customFormat="1">
      <c r="A650" s="69" t="s">
        <v>99</v>
      </c>
      <c r="B650" s="69" t="s">
        <v>1280</v>
      </c>
      <c r="C650" s="69" t="s">
        <v>1281</v>
      </c>
      <c r="D650" s="69">
        <v>8435415080392</v>
      </c>
      <c r="E650" s="69" t="s">
        <v>13</v>
      </c>
      <c r="F650" s="69" t="s">
        <v>14</v>
      </c>
      <c r="G650" s="83">
        <v>90812</v>
      </c>
      <c r="I650" s="38" t="str">
        <f>IF(H650&gt;0,COUNTIF($H$16:H650,"&gt;0"),"")</f>
        <v/>
      </c>
    </row>
    <row r="651" spans="1:9" s="56" customFormat="1">
      <c r="A651" s="69" t="s">
        <v>99</v>
      </c>
      <c r="B651" s="69" t="s">
        <v>1282</v>
      </c>
      <c r="C651" s="69" t="s">
        <v>1283</v>
      </c>
      <c r="D651" s="69">
        <v>8435415091275</v>
      </c>
      <c r="E651" s="69" t="s">
        <v>13</v>
      </c>
      <c r="F651" s="69" t="s">
        <v>14</v>
      </c>
      <c r="G651" s="83">
        <v>90466</v>
      </c>
      <c r="I651" s="38" t="str">
        <f>IF(H651&gt;0,COUNTIF($H$16:H651,"&gt;0"),"")</f>
        <v/>
      </c>
    </row>
    <row r="652" spans="1:9" s="56" customFormat="1">
      <c r="A652" s="69" t="s">
        <v>99</v>
      </c>
      <c r="B652" s="69" t="s">
        <v>1284</v>
      </c>
      <c r="C652" s="69" t="s">
        <v>1285</v>
      </c>
      <c r="D652" s="69">
        <v>8435415102346</v>
      </c>
      <c r="E652" s="69" t="s">
        <v>13</v>
      </c>
      <c r="F652" s="69" t="s">
        <v>14</v>
      </c>
      <c r="G652" s="83">
        <v>90726</v>
      </c>
      <c r="I652" s="38" t="str">
        <f>IF(H652&gt;0,COUNTIF($H$16:H652,"&gt;0"),"")</f>
        <v/>
      </c>
    </row>
    <row r="653" spans="1:9" s="56" customFormat="1">
      <c r="A653" s="69" t="s">
        <v>99</v>
      </c>
      <c r="B653" s="69" t="s">
        <v>1286</v>
      </c>
      <c r="C653" s="69" t="s">
        <v>1287</v>
      </c>
      <c r="D653" s="69">
        <v>8435415102728</v>
      </c>
      <c r="E653" s="69" t="s">
        <v>13</v>
      </c>
      <c r="F653" s="69" t="s">
        <v>14</v>
      </c>
      <c r="G653" s="83">
        <v>92543</v>
      </c>
      <c r="I653" s="38" t="str">
        <f>IF(H653&gt;0,COUNTIF($H$16:H653,"&gt;0"),"")</f>
        <v/>
      </c>
    </row>
    <row r="654" spans="1:9" s="56" customFormat="1">
      <c r="A654" s="69" t="s">
        <v>1288</v>
      </c>
      <c r="B654" s="69" t="s">
        <v>1289</v>
      </c>
      <c r="C654" s="69" t="s">
        <v>1290</v>
      </c>
      <c r="D654" s="69">
        <v>6294015181470</v>
      </c>
      <c r="E654" s="69" t="s">
        <v>17</v>
      </c>
      <c r="F654" s="69" t="s">
        <v>14</v>
      </c>
      <c r="G654" s="83">
        <v>12498</v>
      </c>
      <c r="I654" s="38" t="str">
        <f>IF(H654&gt;0,COUNTIF($H$16:H654,"&gt;0"),"")</f>
        <v/>
      </c>
    </row>
    <row r="655" spans="1:9" s="56" customFormat="1">
      <c r="A655" s="69" t="s">
        <v>1288</v>
      </c>
      <c r="B655" s="69" t="s">
        <v>1291</v>
      </c>
      <c r="C655" s="69" t="s">
        <v>1292</v>
      </c>
      <c r="D655" s="69">
        <v>6294015182613</v>
      </c>
      <c r="E655" s="69" t="s">
        <v>17</v>
      </c>
      <c r="F655" s="69" t="s">
        <v>14</v>
      </c>
      <c r="G655" s="83">
        <v>12498</v>
      </c>
      <c r="I655" s="38" t="str">
        <f>IF(H655&gt;0,COUNTIF($H$16:H655,"&gt;0"),"")</f>
        <v/>
      </c>
    </row>
    <row r="656" spans="1:9" s="56" customFormat="1">
      <c r="A656" s="69" t="s">
        <v>1288</v>
      </c>
      <c r="B656" s="69" t="s">
        <v>1293</v>
      </c>
      <c r="C656" s="69" t="s">
        <v>1294</v>
      </c>
      <c r="D656" s="69">
        <v>6294015181487</v>
      </c>
      <c r="E656" s="69" t="s">
        <v>17</v>
      </c>
      <c r="F656" s="69" t="s">
        <v>14</v>
      </c>
      <c r="G656" s="83">
        <v>12498</v>
      </c>
      <c r="I656" s="38" t="str">
        <f>IF(H656&gt;0,COUNTIF($H$16:H656,"&gt;0"),"")</f>
        <v/>
      </c>
    </row>
    <row r="657" spans="1:9" s="56" customFormat="1">
      <c r="A657" s="69" t="s">
        <v>1288</v>
      </c>
      <c r="B657" s="69" t="s">
        <v>1295</v>
      </c>
      <c r="C657" s="69" t="s">
        <v>1296</v>
      </c>
      <c r="D657" s="69">
        <v>6294015182620</v>
      </c>
      <c r="E657" s="69" t="s">
        <v>17</v>
      </c>
      <c r="F657" s="69" t="s">
        <v>14</v>
      </c>
      <c r="G657" s="83">
        <v>12498</v>
      </c>
      <c r="I657" s="38" t="str">
        <f>IF(H657&gt;0,COUNTIF($H$16:H657,"&gt;0"),"")</f>
        <v/>
      </c>
    </row>
    <row r="658" spans="1:9" s="56" customFormat="1">
      <c r="A658" s="69" t="s">
        <v>1288</v>
      </c>
      <c r="B658" s="69" t="s">
        <v>1297</v>
      </c>
      <c r="C658" s="69" t="s">
        <v>1298</v>
      </c>
      <c r="D658" s="69">
        <v>6294015182637</v>
      </c>
      <c r="E658" s="69" t="s">
        <v>17</v>
      </c>
      <c r="F658" s="69" t="s">
        <v>14</v>
      </c>
      <c r="G658" s="83">
        <v>12498</v>
      </c>
      <c r="I658" s="38" t="str">
        <f>IF(H658&gt;0,COUNTIF($H$16:H658,"&gt;0"),"")</f>
        <v/>
      </c>
    </row>
    <row r="659" spans="1:9" s="56" customFormat="1">
      <c r="A659" s="69" t="s">
        <v>1288</v>
      </c>
      <c r="B659" s="69" t="s">
        <v>1299</v>
      </c>
      <c r="C659" s="69" t="s">
        <v>1300</v>
      </c>
      <c r="D659" s="69">
        <v>6294015181494</v>
      </c>
      <c r="E659" s="69" t="s">
        <v>42</v>
      </c>
      <c r="F659" s="69" t="s">
        <v>14</v>
      </c>
      <c r="G659" s="83">
        <v>12498</v>
      </c>
      <c r="I659" s="38" t="str">
        <f>IF(H659&gt;0,COUNTIF($H$16:H659,"&gt;0"),"")</f>
        <v/>
      </c>
    </row>
    <row r="660" spans="1:9" s="56" customFormat="1">
      <c r="A660" s="69" t="s">
        <v>1288</v>
      </c>
      <c r="B660" s="69" t="s">
        <v>1301</v>
      </c>
      <c r="C660" s="69" t="s">
        <v>1302</v>
      </c>
      <c r="D660" s="69">
        <v>6294015181500</v>
      </c>
      <c r="E660" s="69" t="s">
        <v>17</v>
      </c>
      <c r="F660" s="69" t="s">
        <v>14</v>
      </c>
      <c r="G660" s="83">
        <v>12498</v>
      </c>
      <c r="I660" s="38" t="str">
        <f>IF(H660&gt;0,COUNTIF($H$16:H660,"&gt;0"),"")</f>
        <v/>
      </c>
    </row>
    <row r="661" spans="1:9" s="56" customFormat="1">
      <c r="A661" s="69" t="s">
        <v>1288</v>
      </c>
      <c r="B661" s="69" t="s">
        <v>1303</v>
      </c>
      <c r="C661" s="69" t="s">
        <v>1304</v>
      </c>
      <c r="D661" s="69">
        <v>6294015182651</v>
      </c>
      <c r="E661" s="69" t="s">
        <v>17</v>
      </c>
      <c r="F661" s="69" t="s">
        <v>14</v>
      </c>
      <c r="G661" s="83">
        <v>12498</v>
      </c>
      <c r="I661" s="38" t="str">
        <f>IF(H661&gt;0,COUNTIF($H$16:H661,"&gt;0"),"")</f>
        <v/>
      </c>
    </row>
    <row r="662" spans="1:9" s="56" customFormat="1">
      <c r="A662" s="69" t="s">
        <v>1288</v>
      </c>
      <c r="B662" s="69" t="s">
        <v>1305</v>
      </c>
      <c r="C662" s="69" t="s">
        <v>1306</v>
      </c>
      <c r="D662" s="69">
        <v>6294015181517</v>
      </c>
      <c r="E662" s="69" t="s">
        <v>17</v>
      </c>
      <c r="F662" s="69" t="s">
        <v>14</v>
      </c>
      <c r="G662" s="83">
        <v>12498</v>
      </c>
      <c r="I662" s="38" t="str">
        <f>IF(H662&gt;0,COUNTIF($H$16:H662,"&gt;0"),"")</f>
        <v/>
      </c>
    </row>
    <row r="663" spans="1:9" s="56" customFormat="1">
      <c r="A663" s="69" t="s">
        <v>1288</v>
      </c>
      <c r="B663" s="69" t="s">
        <v>1307</v>
      </c>
      <c r="C663" s="69" t="s">
        <v>1308</v>
      </c>
      <c r="D663" s="69">
        <v>6294015181524</v>
      </c>
      <c r="E663" s="69" t="s">
        <v>42</v>
      </c>
      <c r="F663" s="69" t="s">
        <v>14</v>
      </c>
      <c r="G663" s="83">
        <v>12498</v>
      </c>
      <c r="I663" s="38" t="str">
        <f>IF(H663&gt;0,COUNTIF($H$16:H663,"&gt;0"),"")</f>
        <v/>
      </c>
    </row>
    <row r="664" spans="1:9" s="56" customFormat="1">
      <c r="A664" s="69" t="s">
        <v>1288</v>
      </c>
      <c r="B664" s="69" t="s">
        <v>1309</v>
      </c>
      <c r="C664" s="69" t="s">
        <v>1310</v>
      </c>
      <c r="D664" s="69">
        <v>6294015183030</v>
      </c>
      <c r="E664" s="69" t="s">
        <v>17</v>
      </c>
      <c r="F664" s="69" t="s">
        <v>14</v>
      </c>
      <c r="G664" s="83">
        <v>10422</v>
      </c>
      <c r="I664" s="38" t="str">
        <f>IF(H664&gt;0,COUNTIF($H$16:H664,"&gt;0"),"")</f>
        <v/>
      </c>
    </row>
    <row r="665" spans="1:9" s="56" customFormat="1">
      <c r="A665" s="69" t="s">
        <v>1288</v>
      </c>
      <c r="B665" s="69" t="s">
        <v>1311</v>
      </c>
      <c r="C665" s="69" t="s">
        <v>1312</v>
      </c>
      <c r="D665" s="69">
        <v>6294015183061</v>
      </c>
      <c r="E665" s="69" t="s">
        <v>42</v>
      </c>
      <c r="F665" s="69" t="s">
        <v>14</v>
      </c>
      <c r="G665" s="83">
        <v>10422</v>
      </c>
      <c r="I665" s="38" t="str">
        <f>IF(H665&gt;0,COUNTIF($H$16:H665,"&gt;0"),"")</f>
        <v/>
      </c>
    </row>
    <row r="666" spans="1:9" s="56" customFormat="1">
      <c r="A666" s="69" t="s">
        <v>1288</v>
      </c>
      <c r="B666" s="69" t="s">
        <v>1313</v>
      </c>
      <c r="C666" s="69" t="s">
        <v>1314</v>
      </c>
      <c r="D666" s="69">
        <v>6294015181531</v>
      </c>
      <c r="E666" s="69" t="s">
        <v>17</v>
      </c>
      <c r="F666" s="69" t="s">
        <v>14</v>
      </c>
      <c r="G666" s="83">
        <v>12498</v>
      </c>
      <c r="I666" s="38" t="str">
        <f>IF(H666&gt;0,COUNTIF($H$16:H666,"&gt;0"),"")</f>
        <v/>
      </c>
    </row>
    <row r="667" spans="1:9" s="56" customFormat="1">
      <c r="A667" s="69" t="s">
        <v>1288</v>
      </c>
      <c r="B667" s="69" t="s">
        <v>1315</v>
      </c>
      <c r="C667" s="69" t="s">
        <v>1316</v>
      </c>
      <c r="D667" s="69">
        <v>6294015181548</v>
      </c>
      <c r="E667" s="69" t="s">
        <v>17</v>
      </c>
      <c r="F667" s="69" t="s">
        <v>14</v>
      </c>
      <c r="G667" s="83">
        <v>12498</v>
      </c>
      <c r="I667" s="38" t="str">
        <f>IF(H667&gt;0,COUNTIF($H$16:H667,"&gt;0"),"")</f>
        <v/>
      </c>
    </row>
    <row r="668" spans="1:9" s="56" customFormat="1">
      <c r="A668" s="69" t="s">
        <v>1288</v>
      </c>
      <c r="B668" s="69" t="s">
        <v>1317</v>
      </c>
      <c r="C668" s="69" t="s">
        <v>1318</v>
      </c>
      <c r="D668" s="69">
        <v>6294015182668</v>
      </c>
      <c r="E668" s="69" t="s">
        <v>17</v>
      </c>
      <c r="F668" s="69" t="s">
        <v>14</v>
      </c>
      <c r="G668" s="83">
        <v>12498</v>
      </c>
      <c r="I668" s="38" t="str">
        <f>IF(H668&gt;0,COUNTIF($H$16:H668,"&gt;0"),"")</f>
        <v/>
      </c>
    </row>
    <row r="669" spans="1:9" s="56" customFormat="1">
      <c r="A669" s="69" t="s">
        <v>1288</v>
      </c>
      <c r="B669" s="69" t="s">
        <v>1319</v>
      </c>
      <c r="C669" s="69" t="s">
        <v>1320</v>
      </c>
      <c r="D669" s="69">
        <v>6294015183047</v>
      </c>
      <c r="E669" s="69" t="s">
        <v>42</v>
      </c>
      <c r="F669" s="69" t="s">
        <v>14</v>
      </c>
      <c r="G669" s="83">
        <v>10422</v>
      </c>
      <c r="I669" s="38" t="str">
        <f>IF(H669&gt;0,COUNTIF($H$16:H669,"&gt;0"),"")</f>
        <v/>
      </c>
    </row>
    <row r="670" spans="1:9" s="56" customFormat="1">
      <c r="A670" s="69" t="s">
        <v>1288</v>
      </c>
      <c r="B670" s="69" t="s">
        <v>1321</v>
      </c>
      <c r="C670" s="69" t="s">
        <v>1322</v>
      </c>
      <c r="D670" s="69">
        <v>6294015182675</v>
      </c>
      <c r="E670" s="69" t="s">
        <v>17</v>
      </c>
      <c r="F670" s="69" t="s">
        <v>14</v>
      </c>
      <c r="G670" s="83">
        <v>12498</v>
      </c>
      <c r="I670" s="38" t="str">
        <f>IF(H670&gt;0,COUNTIF($H$16:H670,"&gt;0"),"")</f>
        <v/>
      </c>
    </row>
    <row r="671" spans="1:9" s="56" customFormat="1">
      <c r="A671" s="69" t="s">
        <v>1288</v>
      </c>
      <c r="B671" s="69" t="s">
        <v>1323</v>
      </c>
      <c r="C671" s="69" t="s">
        <v>1324</v>
      </c>
      <c r="D671" s="69">
        <v>6294015183023</v>
      </c>
      <c r="E671" s="69" t="s">
        <v>42</v>
      </c>
      <c r="F671" s="69" t="s">
        <v>14</v>
      </c>
      <c r="G671" s="83">
        <v>10422</v>
      </c>
      <c r="I671" s="38" t="str">
        <f>IF(H671&gt;0,COUNTIF($H$16:H671,"&gt;0"),"")</f>
        <v/>
      </c>
    </row>
    <row r="672" spans="1:9" s="56" customFormat="1">
      <c r="A672" s="69" t="s">
        <v>1288</v>
      </c>
      <c r="B672" s="69" t="s">
        <v>1325</v>
      </c>
      <c r="C672" s="69" t="s">
        <v>1326</v>
      </c>
      <c r="D672" s="69">
        <v>6294015182682</v>
      </c>
      <c r="E672" s="69" t="s">
        <v>17</v>
      </c>
      <c r="F672" s="69" t="s">
        <v>14</v>
      </c>
      <c r="G672" s="83">
        <v>12498</v>
      </c>
      <c r="I672" s="38" t="str">
        <f>IF(H672&gt;0,COUNTIF($H$16:H672,"&gt;0"),"")</f>
        <v/>
      </c>
    </row>
    <row r="673" spans="1:9" s="56" customFormat="1">
      <c r="A673" s="69" t="s">
        <v>1288</v>
      </c>
      <c r="B673" s="69" t="s">
        <v>1327</v>
      </c>
      <c r="C673" s="69" t="s">
        <v>1328</v>
      </c>
      <c r="D673" s="69">
        <v>6294015182699</v>
      </c>
      <c r="E673" s="69" t="s">
        <v>17</v>
      </c>
      <c r="F673" s="69" t="s">
        <v>14</v>
      </c>
      <c r="G673" s="83">
        <v>12498</v>
      </c>
      <c r="I673" s="38" t="str">
        <f>IF(H673&gt;0,COUNTIF($H$16:H673,"&gt;0"),"")</f>
        <v/>
      </c>
    </row>
    <row r="674" spans="1:9" s="56" customFormat="1">
      <c r="A674" s="69" t="s">
        <v>1288</v>
      </c>
      <c r="B674" s="69" t="s">
        <v>1329</v>
      </c>
      <c r="C674" s="69" t="s">
        <v>1330</v>
      </c>
      <c r="D674" s="69">
        <v>6294015182705</v>
      </c>
      <c r="E674" s="69" t="s">
        <v>17</v>
      </c>
      <c r="F674" s="69" t="s">
        <v>14</v>
      </c>
      <c r="G674" s="83">
        <v>12498</v>
      </c>
      <c r="I674" s="38" t="str">
        <f>IF(H674&gt;0,COUNTIF($H$16:H674,"&gt;0"),"")</f>
        <v/>
      </c>
    </row>
    <row r="675" spans="1:9" s="56" customFormat="1">
      <c r="A675" s="69" t="s">
        <v>1288</v>
      </c>
      <c r="B675" s="69" t="s">
        <v>1331</v>
      </c>
      <c r="C675" s="69" t="s">
        <v>1332</v>
      </c>
      <c r="D675" s="69">
        <v>6294015183054</v>
      </c>
      <c r="E675" s="69" t="s">
        <v>42</v>
      </c>
      <c r="F675" s="69" t="s">
        <v>14</v>
      </c>
      <c r="G675" s="83">
        <v>10422</v>
      </c>
      <c r="I675" s="38" t="str">
        <f>IF(H675&gt;0,COUNTIF($H$16:H675,"&gt;0"),"")</f>
        <v/>
      </c>
    </row>
    <row r="676" spans="1:9" s="56" customFormat="1">
      <c r="A676" s="69" t="s">
        <v>1288</v>
      </c>
      <c r="B676" s="69" t="s">
        <v>1333</v>
      </c>
      <c r="C676" s="69" t="s">
        <v>1334</v>
      </c>
      <c r="D676" s="69">
        <v>6294015153361</v>
      </c>
      <c r="E676" s="69" t="s">
        <v>17</v>
      </c>
      <c r="F676" s="69" t="s">
        <v>14</v>
      </c>
      <c r="G676" s="83">
        <v>14662</v>
      </c>
      <c r="I676" s="38" t="str">
        <f>IF(H676&gt;0,COUNTIF($H$16:H676,"&gt;0"),"")</f>
        <v/>
      </c>
    </row>
    <row r="677" spans="1:9" s="56" customFormat="1">
      <c r="A677" s="69" t="s">
        <v>1335</v>
      </c>
      <c r="B677" s="69" t="s">
        <v>1336</v>
      </c>
      <c r="C677" s="69" t="s">
        <v>1337</v>
      </c>
      <c r="D677" s="69">
        <v>6291100240012</v>
      </c>
      <c r="E677" s="69" t="s">
        <v>13</v>
      </c>
      <c r="F677" s="69" t="s">
        <v>14</v>
      </c>
      <c r="G677" s="83">
        <v>9988</v>
      </c>
      <c r="I677" s="38" t="str">
        <f>IF(H677&gt;0,COUNTIF($H$16:H677,"&gt;0"),"")</f>
        <v/>
      </c>
    </row>
    <row r="678" spans="1:9" s="56" customFormat="1">
      <c r="A678" s="69" t="s">
        <v>1335</v>
      </c>
      <c r="B678" s="69" t="s">
        <v>1338</v>
      </c>
      <c r="C678" s="69" t="s">
        <v>1339</v>
      </c>
      <c r="D678" s="69">
        <v>6291100240227</v>
      </c>
      <c r="E678" s="69" t="s">
        <v>13</v>
      </c>
      <c r="F678" s="69" t="s">
        <v>14</v>
      </c>
      <c r="G678" s="83">
        <v>9988</v>
      </c>
      <c r="I678" s="38" t="str">
        <f>IF(H678&gt;0,COUNTIF($H$16:H678,"&gt;0"),"")</f>
        <v/>
      </c>
    </row>
    <row r="679" spans="1:9" s="56" customFormat="1">
      <c r="A679" s="69" t="s">
        <v>1335</v>
      </c>
      <c r="B679" s="69" t="s">
        <v>1340</v>
      </c>
      <c r="C679" s="69" t="s">
        <v>1341</v>
      </c>
      <c r="D679" s="69">
        <v>6291100240203</v>
      </c>
      <c r="E679" s="69" t="s">
        <v>42</v>
      </c>
      <c r="F679" s="69" t="s">
        <v>14</v>
      </c>
      <c r="G679" s="83">
        <v>9988</v>
      </c>
      <c r="I679" s="38" t="str">
        <f>IF(H679&gt;0,COUNTIF($H$16:H679,"&gt;0"),"")</f>
        <v/>
      </c>
    </row>
    <row r="680" spans="1:9" s="56" customFormat="1">
      <c r="A680" s="69" t="s">
        <v>1335</v>
      </c>
      <c r="B680" s="69" t="s">
        <v>1342</v>
      </c>
      <c r="C680" s="69" t="s">
        <v>1343</v>
      </c>
      <c r="D680" s="69">
        <v>6291100240159</v>
      </c>
      <c r="E680" s="69" t="s">
        <v>13</v>
      </c>
      <c r="F680" s="69" t="s">
        <v>14</v>
      </c>
      <c r="G680" s="83">
        <v>9988</v>
      </c>
      <c r="I680" s="38" t="str">
        <f>IF(H680&gt;0,COUNTIF($H$16:H680,"&gt;0"),"")</f>
        <v/>
      </c>
    </row>
    <row r="681" spans="1:9" s="56" customFormat="1">
      <c r="A681" s="69" t="s">
        <v>1335</v>
      </c>
      <c r="B681" s="69" t="s">
        <v>1344</v>
      </c>
      <c r="C681" s="69" t="s">
        <v>1345</v>
      </c>
      <c r="D681" s="69">
        <v>6291100240029</v>
      </c>
      <c r="E681" s="69" t="s">
        <v>13</v>
      </c>
      <c r="F681" s="69" t="s">
        <v>14</v>
      </c>
      <c r="G681" s="83">
        <v>9988</v>
      </c>
      <c r="I681" s="38" t="str">
        <f>IF(H681&gt;0,COUNTIF($H$16:H681,"&gt;0"),"")</f>
        <v/>
      </c>
    </row>
    <row r="682" spans="1:9" s="56" customFormat="1">
      <c r="A682" s="69" t="s">
        <v>1335</v>
      </c>
      <c r="B682" s="69" t="s">
        <v>1346</v>
      </c>
      <c r="C682" s="69" t="s">
        <v>1347</v>
      </c>
      <c r="D682" s="69">
        <v>6291100240517</v>
      </c>
      <c r="E682" s="69" t="s">
        <v>42</v>
      </c>
      <c r="F682" s="69" t="s">
        <v>14</v>
      </c>
      <c r="G682" s="83">
        <v>9988</v>
      </c>
      <c r="I682" s="38" t="str">
        <f>IF(H682&gt;0,COUNTIF($H$16:H682,"&gt;0"),"")</f>
        <v/>
      </c>
    </row>
    <row r="683" spans="1:9" s="56" customFormat="1">
      <c r="A683" s="69" t="s">
        <v>1335</v>
      </c>
      <c r="B683" s="69" t="s">
        <v>1348</v>
      </c>
      <c r="C683" s="69" t="s">
        <v>1349</v>
      </c>
      <c r="D683" s="69">
        <v>6291100240173</v>
      </c>
      <c r="E683" s="69" t="s">
        <v>42</v>
      </c>
      <c r="F683" s="69" t="s">
        <v>14</v>
      </c>
      <c r="G683" s="83">
        <v>9988</v>
      </c>
      <c r="I683" s="38" t="str">
        <f>IF(H683&gt;0,COUNTIF($H$16:H683,"&gt;0"),"")</f>
        <v/>
      </c>
    </row>
    <row r="684" spans="1:9" s="56" customFormat="1">
      <c r="A684" s="69" t="s">
        <v>1350</v>
      </c>
      <c r="B684" s="69" t="s">
        <v>1351</v>
      </c>
      <c r="C684" s="69" t="s">
        <v>1352</v>
      </c>
      <c r="D684" s="69">
        <v>8431754007250</v>
      </c>
      <c r="E684" s="69" t="s">
        <v>13</v>
      </c>
      <c r="F684" s="69" t="s">
        <v>14</v>
      </c>
      <c r="G684" s="83">
        <v>25312</v>
      </c>
      <c r="I684" s="38" t="str">
        <f>IF(H684&gt;0,COUNTIF($H$16:H684,"&gt;0"),"")</f>
        <v/>
      </c>
    </row>
    <row r="685" spans="1:9" s="56" customFormat="1">
      <c r="A685" s="69" t="s">
        <v>1353</v>
      </c>
      <c r="B685" s="69" t="s">
        <v>1354</v>
      </c>
      <c r="C685" s="69" t="s">
        <v>1355</v>
      </c>
      <c r="D685" s="69">
        <v>3386460064118</v>
      </c>
      <c r="E685" s="69" t="s">
        <v>13</v>
      </c>
      <c r="F685" s="69" t="s">
        <v>14</v>
      </c>
      <c r="G685" s="83">
        <v>27563</v>
      </c>
      <c r="I685" s="38" t="str">
        <f>IF(H685&gt;0,COUNTIF($H$16:H685,"&gt;0"),"")</f>
        <v/>
      </c>
    </row>
    <row r="686" spans="1:9" s="56" customFormat="1">
      <c r="A686" s="69" t="s">
        <v>1353</v>
      </c>
      <c r="B686" s="69" t="s">
        <v>1356</v>
      </c>
      <c r="C686" s="69" t="s">
        <v>1357</v>
      </c>
      <c r="D686" s="69">
        <v>3386460109369</v>
      </c>
      <c r="E686" s="69" t="s">
        <v>13</v>
      </c>
      <c r="F686" s="69" t="s">
        <v>14</v>
      </c>
      <c r="G686" s="83">
        <v>24360</v>
      </c>
      <c r="I686" s="38" t="str">
        <f>IF(H686&gt;0,COUNTIF($H$16:H686,"&gt;0"),"")</f>
        <v/>
      </c>
    </row>
    <row r="687" spans="1:9" s="56" customFormat="1">
      <c r="A687" s="69" t="s">
        <v>1353</v>
      </c>
      <c r="B687" s="69" t="s">
        <v>1358</v>
      </c>
      <c r="C687" s="69" t="s">
        <v>1359</v>
      </c>
      <c r="D687" s="69">
        <v>3386460025478</v>
      </c>
      <c r="E687" s="69" t="s">
        <v>42</v>
      </c>
      <c r="F687" s="69" t="s">
        <v>14</v>
      </c>
      <c r="G687" s="83">
        <v>37908</v>
      </c>
      <c r="I687" s="38" t="str">
        <f>IF(H687&gt;0,COUNTIF($H$16:H687,"&gt;0"),"")</f>
        <v/>
      </c>
    </row>
    <row r="688" spans="1:9" s="56" customFormat="1">
      <c r="A688" s="69" t="s">
        <v>1360</v>
      </c>
      <c r="B688" s="69" t="s">
        <v>1361</v>
      </c>
      <c r="C688" s="69" t="s">
        <v>1362</v>
      </c>
      <c r="D688" s="69">
        <v>6291109037101</v>
      </c>
      <c r="E688" s="69" t="s">
        <v>42</v>
      </c>
      <c r="F688" s="69" t="s">
        <v>14</v>
      </c>
      <c r="G688" s="83">
        <v>14229</v>
      </c>
      <c r="I688" s="38" t="str">
        <f>IF(H688&gt;0,COUNTIF($H$16:H688,"&gt;0"),"")</f>
        <v/>
      </c>
    </row>
    <row r="689" spans="1:9" s="56" customFormat="1">
      <c r="A689" s="69" t="s">
        <v>1360</v>
      </c>
      <c r="B689" s="69" t="s">
        <v>1363</v>
      </c>
      <c r="C689" s="69" t="s">
        <v>1364</v>
      </c>
      <c r="D689" s="69">
        <v>6291109037163</v>
      </c>
      <c r="E689" s="69" t="s">
        <v>42</v>
      </c>
      <c r="F689" s="69" t="s">
        <v>14</v>
      </c>
      <c r="G689" s="83">
        <v>14229</v>
      </c>
      <c r="I689" s="38" t="str">
        <f>IF(H689&gt;0,COUNTIF($H$16:H689,"&gt;0"),"")</f>
        <v/>
      </c>
    </row>
    <row r="690" spans="1:9" s="56" customFormat="1">
      <c r="A690" s="69" t="s">
        <v>1360</v>
      </c>
      <c r="B690" s="69" t="s">
        <v>1365</v>
      </c>
      <c r="C690" s="69" t="s">
        <v>1366</v>
      </c>
      <c r="D690" s="69">
        <v>6294019028313</v>
      </c>
      <c r="E690" s="69" t="s">
        <v>17</v>
      </c>
      <c r="F690" s="69" t="s">
        <v>14</v>
      </c>
      <c r="G690" s="83">
        <v>32975</v>
      </c>
      <c r="I690" s="38" t="str">
        <f>IF(H690&gt;0,COUNTIF($H$16:H690,"&gt;0"),"")</f>
        <v/>
      </c>
    </row>
    <row r="691" spans="1:9" s="56" customFormat="1">
      <c r="A691" s="69" t="s">
        <v>1360</v>
      </c>
      <c r="B691" s="69" t="s">
        <v>1367</v>
      </c>
      <c r="C691" s="69" t="s">
        <v>1368</v>
      </c>
      <c r="D691" s="69">
        <v>6294019028283</v>
      </c>
      <c r="E691" s="69" t="s">
        <v>17</v>
      </c>
      <c r="F691" s="69" t="s">
        <v>14</v>
      </c>
      <c r="G691" s="83">
        <v>27827</v>
      </c>
      <c r="I691" s="38" t="str">
        <f>IF(H691&gt;0,COUNTIF($H$16:H691,"&gt;0"),"")</f>
        <v/>
      </c>
    </row>
    <row r="692" spans="1:9" s="56" customFormat="1">
      <c r="A692" s="69" t="s">
        <v>1360</v>
      </c>
      <c r="B692" s="69" t="s">
        <v>1369</v>
      </c>
      <c r="C692" s="69" t="s">
        <v>1370</v>
      </c>
      <c r="D692" s="69">
        <v>6291109036296</v>
      </c>
      <c r="E692" s="69" t="s">
        <v>17</v>
      </c>
      <c r="F692" s="69" t="s">
        <v>14</v>
      </c>
      <c r="G692" s="83">
        <v>27756</v>
      </c>
      <c r="I692" s="38" t="str">
        <f>IF(H692&gt;0,COUNTIF($H$16:H692,"&gt;0"),"")</f>
        <v/>
      </c>
    </row>
    <row r="693" spans="1:9" s="56" customFormat="1">
      <c r="A693" s="69" t="s">
        <v>1360</v>
      </c>
      <c r="B693" s="69" t="s">
        <v>1371</v>
      </c>
      <c r="C693" s="69" t="s">
        <v>1372</v>
      </c>
      <c r="D693" s="69">
        <v>6291109036302</v>
      </c>
      <c r="E693" s="69" t="s">
        <v>17</v>
      </c>
      <c r="F693" s="69" t="s">
        <v>14</v>
      </c>
      <c r="G693" s="83">
        <v>27756</v>
      </c>
      <c r="I693" s="38" t="str">
        <f>IF(H693&gt;0,COUNTIF($H$16:H693,"&gt;0"),"")</f>
        <v/>
      </c>
    </row>
    <row r="694" spans="1:9" s="56" customFormat="1">
      <c r="A694" s="69" t="s">
        <v>1360</v>
      </c>
      <c r="B694" s="69" t="s">
        <v>1373</v>
      </c>
      <c r="C694" s="69" t="s">
        <v>1374</v>
      </c>
      <c r="D694" s="69">
        <v>6291109036326</v>
      </c>
      <c r="E694" s="69" t="s">
        <v>17</v>
      </c>
      <c r="F694" s="69" t="s">
        <v>14</v>
      </c>
      <c r="G694" s="83">
        <v>27756</v>
      </c>
      <c r="I694" s="38" t="str">
        <f>IF(H694&gt;0,COUNTIF($H$16:H694,"&gt;0"),"")</f>
        <v/>
      </c>
    </row>
    <row r="695" spans="1:9" s="56" customFormat="1">
      <c r="A695" s="69" t="s">
        <v>104</v>
      </c>
      <c r="B695" s="69" t="s">
        <v>1375</v>
      </c>
      <c r="C695" s="69" t="s">
        <v>1376</v>
      </c>
      <c r="D695" s="69">
        <v>850051043620</v>
      </c>
      <c r="E695" s="69" t="s">
        <v>17</v>
      </c>
      <c r="F695" s="69" t="s">
        <v>14</v>
      </c>
      <c r="G695" s="83">
        <v>42842</v>
      </c>
      <c r="I695" s="38" t="str">
        <f>IF(H695&gt;0,COUNTIF($H$16:H695,"&gt;0"),"")</f>
        <v/>
      </c>
    </row>
    <row r="696" spans="1:9" s="56" customFormat="1">
      <c r="A696" s="69" t="s">
        <v>104</v>
      </c>
      <c r="B696" s="69" t="s">
        <v>1377</v>
      </c>
      <c r="C696" s="69" t="s">
        <v>1378</v>
      </c>
      <c r="D696" s="69">
        <v>850051043613</v>
      </c>
      <c r="E696" s="69" t="s">
        <v>17</v>
      </c>
      <c r="F696" s="69" t="s">
        <v>14</v>
      </c>
      <c r="G696" s="83">
        <v>56883</v>
      </c>
      <c r="I696" s="38" t="str">
        <f>IF(H696&gt;0,COUNTIF($H$16:H696,"&gt;0"),"")</f>
        <v/>
      </c>
    </row>
    <row r="697" spans="1:9" s="56" customFormat="1">
      <c r="A697" s="69" t="s">
        <v>104</v>
      </c>
      <c r="B697" s="69" t="s">
        <v>105</v>
      </c>
      <c r="C697" s="69" t="s">
        <v>106</v>
      </c>
      <c r="D697" s="69">
        <v>850051043354</v>
      </c>
      <c r="E697" s="69" t="s">
        <v>17</v>
      </c>
      <c r="F697" s="69" t="s">
        <v>14</v>
      </c>
      <c r="G697" s="83">
        <v>51517</v>
      </c>
      <c r="I697" s="38" t="str">
        <f>IF(H697&gt;0,COUNTIF($H$16:H697,"&gt;0"),"")</f>
        <v/>
      </c>
    </row>
    <row r="698" spans="1:9" s="56" customFormat="1">
      <c r="A698" s="69" t="s">
        <v>104</v>
      </c>
      <c r="B698" s="69" t="s">
        <v>107</v>
      </c>
      <c r="C698" s="69" t="s">
        <v>108</v>
      </c>
      <c r="D698" s="69">
        <v>850051043583</v>
      </c>
      <c r="E698" s="69" t="s">
        <v>17</v>
      </c>
      <c r="F698" s="69" t="s">
        <v>14</v>
      </c>
      <c r="G698" s="83">
        <v>64586</v>
      </c>
      <c r="I698" s="38" t="str">
        <f>IF(H698&gt;0,COUNTIF($H$16:H698,"&gt;0"),"")</f>
        <v/>
      </c>
    </row>
    <row r="699" spans="1:9" s="56" customFormat="1">
      <c r="A699" s="69" t="s">
        <v>104</v>
      </c>
      <c r="B699" s="69" t="s">
        <v>1379</v>
      </c>
      <c r="C699" s="69" t="s">
        <v>1380</v>
      </c>
      <c r="D699" s="69">
        <v>850051043637</v>
      </c>
      <c r="E699" s="69" t="s">
        <v>17</v>
      </c>
      <c r="F699" s="69" t="s">
        <v>14</v>
      </c>
      <c r="G699" s="83">
        <v>56883</v>
      </c>
      <c r="I699" s="38" t="str">
        <f>IF(H699&gt;0,COUNTIF($H$16:H699,"&gt;0"),"")</f>
        <v/>
      </c>
    </row>
    <row r="700" spans="1:9" s="56" customFormat="1">
      <c r="A700" s="69" t="s">
        <v>104</v>
      </c>
      <c r="B700" s="69" t="s">
        <v>1381</v>
      </c>
      <c r="C700" s="69" t="s">
        <v>1382</v>
      </c>
      <c r="D700" s="69">
        <v>850051043361</v>
      </c>
      <c r="E700" s="69" t="s">
        <v>17</v>
      </c>
      <c r="F700" s="69" t="s">
        <v>14</v>
      </c>
      <c r="G700" s="83">
        <v>56883</v>
      </c>
      <c r="I700" s="38" t="str">
        <f>IF(H700&gt;0,COUNTIF($H$16:H700,"&gt;0"),"")</f>
        <v/>
      </c>
    </row>
    <row r="701" spans="1:9" s="56" customFormat="1">
      <c r="A701" s="69" t="s">
        <v>104</v>
      </c>
      <c r="B701" s="69" t="s">
        <v>1383</v>
      </c>
      <c r="C701" s="69" t="s">
        <v>1384</v>
      </c>
      <c r="D701" s="69">
        <v>850051043552</v>
      </c>
      <c r="E701" s="69" t="s">
        <v>17</v>
      </c>
      <c r="F701" s="69" t="s">
        <v>14</v>
      </c>
      <c r="G701" s="83">
        <v>64586</v>
      </c>
      <c r="I701" s="38" t="str">
        <f>IF(H701&gt;0,COUNTIF($H$16:H701,"&gt;0"),"")</f>
        <v/>
      </c>
    </row>
    <row r="702" spans="1:9" s="56" customFormat="1">
      <c r="A702" s="69" t="s">
        <v>104</v>
      </c>
      <c r="B702" s="69" t="s">
        <v>1385</v>
      </c>
      <c r="C702" s="69" t="s">
        <v>1386</v>
      </c>
      <c r="D702" s="69">
        <v>850051043422</v>
      </c>
      <c r="E702" s="69" t="s">
        <v>17</v>
      </c>
      <c r="F702" s="69" t="s">
        <v>14</v>
      </c>
      <c r="G702" s="83">
        <v>50219</v>
      </c>
      <c r="I702" s="38" t="str">
        <f>IF(H702&gt;0,COUNTIF($H$16:H702,"&gt;0"),"")</f>
        <v/>
      </c>
    </row>
    <row r="703" spans="1:9" s="56" customFormat="1">
      <c r="A703" s="69" t="s">
        <v>104</v>
      </c>
      <c r="B703" s="69" t="s">
        <v>1387</v>
      </c>
      <c r="C703" s="69" t="s">
        <v>1388</v>
      </c>
      <c r="D703" s="69">
        <v>850051043095</v>
      </c>
      <c r="E703" s="69" t="s">
        <v>17</v>
      </c>
      <c r="F703" s="69" t="s">
        <v>14</v>
      </c>
      <c r="G703" s="83">
        <v>61124</v>
      </c>
      <c r="I703" s="38" t="str">
        <f>IF(H703&gt;0,COUNTIF($H$16:H703,"&gt;0"),"")</f>
        <v/>
      </c>
    </row>
    <row r="704" spans="1:9" s="56" customFormat="1">
      <c r="A704" s="69" t="s">
        <v>104</v>
      </c>
      <c r="B704" s="69" t="s">
        <v>1389</v>
      </c>
      <c r="C704" s="69" t="s">
        <v>1390</v>
      </c>
      <c r="D704" s="69">
        <v>850051043576</v>
      </c>
      <c r="E704" s="69" t="s">
        <v>17</v>
      </c>
      <c r="F704" s="69" t="s">
        <v>14</v>
      </c>
      <c r="G704" s="83">
        <v>70385</v>
      </c>
      <c r="I704" s="38" t="str">
        <f>IF(H704&gt;0,COUNTIF($H$16:H704,"&gt;0"),"")</f>
        <v/>
      </c>
    </row>
    <row r="705" spans="1:9" s="56" customFormat="1">
      <c r="A705" s="69" t="s">
        <v>104</v>
      </c>
      <c r="B705" s="69" t="s">
        <v>1391</v>
      </c>
      <c r="C705" s="69" t="s">
        <v>1392</v>
      </c>
      <c r="D705" s="69">
        <v>850051043569</v>
      </c>
      <c r="E705" s="69" t="s">
        <v>17</v>
      </c>
      <c r="F705" s="69" t="s">
        <v>14</v>
      </c>
      <c r="G705" s="83">
        <v>47188</v>
      </c>
      <c r="I705" s="38" t="str">
        <f>IF(H705&gt;0,COUNTIF($H$16:H705,"&gt;0"),"")</f>
        <v/>
      </c>
    </row>
    <row r="706" spans="1:9" s="56" customFormat="1">
      <c r="A706" s="69" t="s">
        <v>104</v>
      </c>
      <c r="B706" s="69" t="s">
        <v>1393</v>
      </c>
      <c r="C706" s="69" t="s">
        <v>1394</v>
      </c>
      <c r="D706" s="69">
        <v>850051043316</v>
      </c>
      <c r="E706" s="69" t="s">
        <v>42</v>
      </c>
      <c r="F706" s="69" t="s">
        <v>14</v>
      </c>
      <c r="G706" s="83">
        <v>50651</v>
      </c>
      <c r="I706" s="38" t="str">
        <f>IF(H706&gt;0,COUNTIF($H$16:H706,"&gt;0"),"")</f>
        <v/>
      </c>
    </row>
    <row r="707" spans="1:9" s="56" customFormat="1">
      <c r="A707" s="69" t="s">
        <v>104</v>
      </c>
      <c r="B707" s="69" t="s">
        <v>1395</v>
      </c>
      <c r="C707" s="69" t="s">
        <v>1396</v>
      </c>
      <c r="D707" s="69">
        <v>860009248649</v>
      </c>
      <c r="E707" s="69" t="s">
        <v>17</v>
      </c>
      <c r="F707" s="69" t="s">
        <v>14</v>
      </c>
      <c r="G707" s="83">
        <v>56537</v>
      </c>
      <c r="I707" s="38" t="str">
        <f>IF(H707&gt;0,COUNTIF($H$16:H707,"&gt;0"),"")</f>
        <v/>
      </c>
    </row>
    <row r="708" spans="1:9" s="56" customFormat="1">
      <c r="A708" s="69" t="s">
        <v>104</v>
      </c>
      <c r="B708" s="69" t="s">
        <v>1397</v>
      </c>
      <c r="C708" s="69" t="s">
        <v>1398</v>
      </c>
      <c r="D708" s="69">
        <v>850051043606</v>
      </c>
      <c r="E708" s="69" t="s">
        <v>17</v>
      </c>
      <c r="F708" s="69" t="s">
        <v>14</v>
      </c>
      <c r="G708" s="83">
        <v>70385</v>
      </c>
      <c r="I708" s="38" t="str">
        <f>IF(H708&gt;0,COUNTIF($H$16:H708,"&gt;0"),"")</f>
        <v/>
      </c>
    </row>
    <row r="709" spans="1:9" s="56" customFormat="1">
      <c r="A709" s="69" t="s">
        <v>104</v>
      </c>
      <c r="B709" s="69" t="s">
        <v>1399</v>
      </c>
      <c r="C709" s="69" t="s">
        <v>1400</v>
      </c>
      <c r="D709" s="69">
        <v>850051043590</v>
      </c>
      <c r="E709" s="69" t="s">
        <v>17</v>
      </c>
      <c r="F709" s="69" t="s">
        <v>14</v>
      </c>
      <c r="G709" s="83">
        <v>47188</v>
      </c>
      <c r="I709" s="38" t="str">
        <f>IF(H709&gt;0,COUNTIF($H$16:H709,"&gt;0"),"")</f>
        <v/>
      </c>
    </row>
    <row r="710" spans="1:9" s="56" customFormat="1">
      <c r="A710" s="69" t="s">
        <v>104</v>
      </c>
      <c r="B710" s="69" t="s">
        <v>1401</v>
      </c>
      <c r="C710" s="69" t="s">
        <v>1402</v>
      </c>
      <c r="D710" s="69">
        <v>850051043415</v>
      </c>
      <c r="E710" s="69" t="s">
        <v>17</v>
      </c>
      <c r="F710" s="69" t="s">
        <v>14</v>
      </c>
      <c r="G710" s="83">
        <v>58701</v>
      </c>
      <c r="I710" s="38" t="str">
        <f>IF(H710&gt;0,COUNTIF($H$16:H710,"&gt;0"),"")</f>
        <v/>
      </c>
    </row>
    <row r="711" spans="1:9" s="56" customFormat="1">
      <c r="A711" s="69" t="s">
        <v>104</v>
      </c>
      <c r="B711" s="69" t="s">
        <v>1403</v>
      </c>
      <c r="C711" s="69" t="s">
        <v>1404</v>
      </c>
      <c r="D711" s="69">
        <v>850051043507</v>
      </c>
      <c r="E711" s="69" t="s">
        <v>17</v>
      </c>
      <c r="F711" s="69" t="s">
        <v>69</v>
      </c>
      <c r="G711" s="83">
        <v>91765</v>
      </c>
      <c r="I711" s="38" t="str">
        <f>IF(H711&gt;0,COUNTIF($H$16:H711,"&gt;0"),"")</f>
        <v/>
      </c>
    </row>
    <row r="712" spans="1:9" s="56" customFormat="1" ht="30">
      <c r="A712" s="69" t="s">
        <v>104</v>
      </c>
      <c r="B712" s="69" t="s">
        <v>1405</v>
      </c>
      <c r="C712" s="69" t="s">
        <v>1406</v>
      </c>
      <c r="D712" s="69">
        <v>850051043514</v>
      </c>
      <c r="E712" s="69" t="s">
        <v>13</v>
      </c>
      <c r="F712" s="69" t="s">
        <v>69</v>
      </c>
      <c r="G712" s="83">
        <v>91765</v>
      </c>
      <c r="I712" s="38" t="str">
        <f>IF(H712&gt;0,COUNTIF($H$16:H712,"&gt;0"),"")</f>
        <v/>
      </c>
    </row>
    <row r="713" spans="1:9" s="56" customFormat="1">
      <c r="A713" s="69" t="s">
        <v>1407</v>
      </c>
      <c r="B713" s="69" t="s">
        <v>1408</v>
      </c>
      <c r="C713" s="69" t="s">
        <v>1409</v>
      </c>
      <c r="D713" s="69">
        <v>3386460159241</v>
      </c>
      <c r="E713" s="69" t="s">
        <v>42</v>
      </c>
      <c r="F713" s="69" t="s">
        <v>14</v>
      </c>
      <c r="G713" s="83">
        <v>27130</v>
      </c>
      <c r="I713" s="38" t="str">
        <f>IF(H713&gt;0,COUNTIF($H$16:H713,"&gt;0"),"")</f>
        <v/>
      </c>
    </row>
    <row r="714" spans="1:9" s="56" customFormat="1">
      <c r="A714" s="69" t="s">
        <v>1407</v>
      </c>
      <c r="B714" s="69" t="s">
        <v>1410</v>
      </c>
      <c r="C714" s="69" t="s">
        <v>1411</v>
      </c>
      <c r="D714" s="69">
        <v>3386460159258</v>
      </c>
      <c r="E714" s="69" t="s">
        <v>13</v>
      </c>
      <c r="F714" s="69" t="s">
        <v>14</v>
      </c>
      <c r="G714" s="83">
        <v>27130</v>
      </c>
      <c r="I714" s="38" t="str">
        <f>IF(H714&gt;0,COUNTIF($H$16:H714,"&gt;0"),"")</f>
        <v/>
      </c>
    </row>
    <row r="715" spans="1:9" s="56" customFormat="1">
      <c r="A715" s="69" t="s">
        <v>1407</v>
      </c>
      <c r="B715" s="69" t="s">
        <v>1412</v>
      </c>
      <c r="C715" s="69" t="s">
        <v>1413</v>
      </c>
      <c r="D715" s="69">
        <v>3386460115629</v>
      </c>
      <c r="E715" s="69" t="s">
        <v>13</v>
      </c>
      <c r="F715" s="69" t="s">
        <v>63</v>
      </c>
      <c r="G715" s="83">
        <v>10075</v>
      </c>
      <c r="I715" s="38" t="str">
        <f>IF(H715&gt;0,COUNTIF($H$16:H715,"&gt;0"),"")</f>
        <v/>
      </c>
    </row>
    <row r="716" spans="1:9" s="56" customFormat="1">
      <c r="A716" s="69" t="s">
        <v>1407</v>
      </c>
      <c r="B716" s="69" t="s">
        <v>1414</v>
      </c>
      <c r="C716" s="69" t="s">
        <v>1415</v>
      </c>
      <c r="D716" s="69">
        <v>3386460115612</v>
      </c>
      <c r="E716" s="69" t="s">
        <v>42</v>
      </c>
      <c r="F716" s="69" t="s">
        <v>63</v>
      </c>
      <c r="G716" s="83">
        <v>10075</v>
      </c>
      <c r="I716" s="38" t="str">
        <f>IF(H716&gt;0,COUNTIF($H$16:H716,"&gt;0"),"")</f>
        <v/>
      </c>
    </row>
    <row r="717" spans="1:9" s="56" customFormat="1">
      <c r="A717" s="69" t="s">
        <v>118</v>
      </c>
      <c r="B717" s="69" t="s">
        <v>1416</v>
      </c>
      <c r="C717" s="69" t="s">
        <v>1417</v>
      </c>
      <c r="D717" s="69">
        <v>737052483238</v>
      </c>
      <c r="E717" s="69" t="s">
        <v>13</v>
      </c>
      <c r="F717" s="69" t="s">
        <v>14</v>
      </c>
      <c r="G717" s="83">
        <v>19855</v>
      </c>
      <c r="I717" s="38" t="str">
        <f>IF(H717&gt;0,COUNTIF($H$16:H717,"&gt;0"),"")</f>
        <v/>
      </c>
    </row>
    <row r="718" spans="1:9" s="56" customFormat="1">
      <c r="A718" s="69" t="s">
        <v>118</v>
      </c>
      <c r="B718" s="69" t="s">
        <v>121</v>
      </c>
      <c r="C718" s="69" t="s">
        <v>122</v>
      </c>
      <c r="D718" s="69">
        <v>737052895956</v>
      </c>
      <c r="E718" s="69" t="s">
        <v>13</v>
      </c>
      <c r="F718" s="69" t="s">
        <v>14</v>
      </c>
      <c r="G718" s="83">
        <v>24274</v>
      </c>
      <c r="I718" s="38" t="str">
        <f>IF(H718&gt;0,COUNTIF($H$16:H718,"&gt;0"),"")</f>
        <v/>
      </c>
    </row>
    <row r="719" spans="1:9" s="56" customFormat="1">
      <c r="A719" s="69" t="s">
        <v>118</v>
      </c>
      <c r="B719" s="69" t="s">
        <v>1418</v>
      </c>
      <c r="C719" s="69" t="s">
        <v>1419</v>
      </c>
      <c r="D719" s="69">
        <v>3386460149198</v>
      </c>
      <c r="E719" s="69" t="s">
        <v>42</v>
      </c>
      <c r="F719" s="69" t="s">
        <v>14</v>
      </c>
      <c r="G719" s="83">
        <v>32109</v>
      </c>
      <c r="I719" s="38" t="str">
        <f>IF(H719&gt;0,COUNTIF($H$16:H719,"&gt;0"),"")</f>
        <v/>
      </c>
    </row>
    <row r="720" spans="1:9" s="56" customFormat="1">
      <c r="A720" s="69" t="s">
        <v>118</v>
      </c>
      <c r="B720" s="69" t="s">
        <v>1420</v>
      </c>
      <c r="C720" s="69" t="s">
        <v>1421</v>
      </c>
      <c r="D720" s="69">
        <v>3386460149334</v>
      </c>
      <c r="E720" s="69" t="s">
        <v>13</v>
      </c>
      <c r="F720" s="69" t="s">
        <v>14</v>
      </c>
      <c r="G720" s="83">
        <v>23841</v>
      </c>
      <c r="I720" s="38" t="str">
        <f>IF(H720&gt;0,COUNTIF($H$16:H720,"&gt;0"),"")</f>
        <v/>
      </c>
    </row>
    <row r="721" spans="1:9" s="56" customFormat="1">
      <c r="A721" s="69" t="s">
        <v>118</v>
      </c>
      <c r="B721" s="69" t="s">
        <v>1422</v>
      </c>
      <c r="C721" s="69" t="s">
        <v>1423</v>
      </c>
      <c r="D721" s="69">
        <v>3386460172684</v>
      </c>
      <c r="E721" s="69" t="s">
        <v>13</v>
      </c>
      <c r="F721" s="69" t="s">
        <v>14</v>
      </c>
      <c r="G721" s="83">
        <v>35052</v>
      </c>
      <c r="I721" s="38" t="str">
        <f>IF(H721&gt;0,COUNTIF($H$16:H721,"&gt;0"),"")</f>
        <v/>
      </c>
    </row>
    <row r="722" spans="1:9" s="56" customFormat="1">
      <c r="A722" s="69" t="s">
        <v>118</v>
      </c>
      <c r="B722" s="69" t="s">
        <v>1424</v>
      </c>
      <c r="C722" s="69" t="s">
        <v>1425</v>
      </c>
      <c r="D722" s="69">
        <v>3386460149358</v>
      </c>
      <c r="E722" s="69" t="s">
        <v>42</v>
      </c>
      <c r="F722" s="69" t="s">
        <v>14</v>
      </c>
      <c r="G722" s="83">
        <v>25919</v>
      </c>
      <c r="I722" s="38" t="str">
        <f>IF(H722&gt;0,COUNTIF($H$16:H722,"&gt;0"),"")</f>
        <v/>
      </c>
    </row>
    <row r="723" spans="1:9" s="56" customFormat="1">
      <c r="A723" s="69" t="s">
        <v>118</v>
      </c>
      <c r="B723" s="69" t="s">
        <v>1426</v>
      </c>
      <c r="C723" s="69" t="s">
        <v>1427</v>
      </c>
      <c r="D723" s="69">
        <v>3386460149310</v>
      </c>
      <c r="E723" s="69" t="s">
        <v>13</v>
      </c>
      <c r="F723" s="69" t="s">
        <v>14</v>
      </c>
      <c r="G723" s="83">
        <v>27130</v>
      </c>
      <c r="I723" s="38" t="str">
        <f>IF(H723&gt;0,COUNTIF($H$16:H723,"&gt;0"),"")</f>
        <v/>
      </c>
    </row>
    <row r="724" spans="1:9" s="56" customFormat="1">
      <c r="A724" s="69" t="s">
        <v>118</v>
      </c>
      <c r="B724" s="69" t="s">
        <v>1428</v>
      </c>
      <c r="C724" s="69" t="s">
        <v>1429</v>
      </c>
      <c r="D724" s="69">
        <v>3386460149204</v>
      </c>
      <c r="E724" s="69" t="s">
        <v>42</v>
      </c>
      <c r="F724" s="69" t="s">
        <v>14</v>
      </c>
      <c r="G724" s="83">
        <v>21764</v>
      </c>
      <c r="I724" s="38" t="str">
        <f>IF(H724&gt;0,COUNTIF($H$16:H724,"&gt;0"),"")</f>
        <v/>
      </c>
    </row>
    <row r="725" spans="1:9" s="56" customFormat="1">
      <c r="A725" s="69" t="s">
        <v>118</v>
      </c>
      <c r="B725" s="69" t="s">
        <v>1430</v>
      </c>
      <c r="C725" s="69" t="s">
        <v>1431</v>
      </c>
      <c r="D725" s="69">
        <v>3386460165884</v>
      </c>
      <c r="E725" s="69" t="s">
        <v>13</v>
      </c>
      <c r="F725" s="69" t="s">
        <v>14</v>
      </c>
      <c r="G725" s="83">
        <v>28861</v>
      </c>
      <c r="I725" s="38" t="str">
        <f>IF(H725&gt;0,COUNTIF($H$16:H725,"&gt;0"),"")</f>
        <v/>
      </c>
    </row>
    <row r="726" spans="1:9" s="56" customFormat="1">
      <c r="A726" s="69" t="s">
        <v>118</v>
      </c>
      <c r="B726" s="69" t="s">
        <v>1432</v>
      </c>
      <c r="C726" s="69" t="s">
        <v>1433</v>
      </c>
      <c r="D726" s="69">
        <v>3386460165921</v>
      </c>
      <c r="E726" s="69" t="s">
        <v>42</v>
      </c>
      <c r="F726" s="69" t="s">
        <v>14</v>
      </c>
      <c r="G726" s="83">
        <v>28861</v>
      </c>
      <c r="I726" s="38" t="str">
        <f>IF(H726&gt;0,COUNTIF($H$16:H726,"&gt;0"),"")</f>
        <v/>
      </c>
    </row>
    <row r="727" spans="1:9" s="56" customFormat="1">
      <c r="A727" s="69" t="s">
        <v>118</v>
      </c>
      <c r="B727" s="69" t="s">
        <v>1434</v>
      </c>
      <c r="C727" s="69" t="s">
        <v>1435</v>
      </c>
      <c r="D727" s="69">
        <v>3386460165938</v>
      </c>
      <c r="E727" s="69" t="s">
        <v>42</v>
      </c>
      <c r="F727" s="69" t="s">
        <v>14</v>
      </c>
      <c r="G727" s="83">
        <v>22283</v>
      </c>
      <c r="I727" s="38" t="str">
        <f>IF(H727&gt;0,COUNTIF($H$16:H727,"&gt;0"),"")</f>
        <v/>
      </c>
    </row>
    <row r="728" spans="1:9" s="56" customFormat="1">
      <c r="A728" s="69" t="s">
        <v>118</v>
      </c>
      <c r="B728" s="69" t="s">
        <v>1436</v>
      </c>
      <c r="C728" s="69" t="s">
        <v>1437</v>
      </c>
      <c r="D728" s="69">
        <v>3386460149181</v>
      </c>
      <c r="E728" s="69" t="s">
        <v>13</v>
      </c>
      <c r="F728" s="69" t="s">
        <v>14</v>
      </c>
      <c r="G728" s="83">
        <v>19077</v>
      </c>
      <c r="I728" s="38" t="str">
        <f>IF(H728&gt;0,COUNTIF($H$16:H728,"&gt;0"),"")</f>
        <v/>
      </c>
    </row>
    <row r="729" spans="1:9" s="56" customFormat="1">
      <c r="A729" s="69" t="s">
        <v>118</v>
      </c>
      <c r="B729" s="69" t="s">
        <v>1438</v>
      </c>
      <c r="C729" s="69" t="s">
        <v>1439</v>
      </c>
      <c r="D729" s="69">
        <v>3386460149969</v>
      </c>
      <c r="E729" s="69" t="s">
        <v>13</v>
      </c>
      <c r="F729" s="69" t="s">
        <v>14</v>
      </c>
      <c r="G729" s="83">
        <v>36351</v>
      </c>
      <c r="I729" s="38" t="str">
        <f>IF(H729&gt;0,COUNTIF($H$16:H729,"&gt;0"),"")</f>
        <v/>
      </c>
    </row>
    <row r="730" spans="1:9" s="56" customFormat="1">
      <c r="A730" s="69" t="s">
        <v>118</v>
      </c>
      <c r="B730" s="69" t="s">
        <v>119</v>
      </c>
      <c r="C730" s="69" t="s">
        <v>120</v>
      </c>
      <c r="D730" s="69">
        <v>3386460149440</v>
      </c>
      <c r="E730" s="69" t="s">
        <v>42</v>
      </c>
      <c r="F730" s="69" t="s">
        <v>14</v>
      </c>
      <c r="G730" s="83">
        <v>26784</v>
      </c>
      <c r="I730" s="38" t="str">
        <f>IF(H730&gt;0,COUNTIF($H$16:H730,"&gt;0"),"")</f>
        <v/>
      </c>
    </row>
    <row r="731" spans="1:9" s="56" customFormat="1">
      <c r="A731" s="69" t="s">
        <v>1440</v>
      </c>
      <c r="B731" s="69" t="s">
        <v>1441</v>
      </c>
      <c r="C731" s="69" t="s">
        <v>1442</v>
      </c>
      <c r="D731" s="69">
        <v>3605533315347</v>
      </c>
      <c r="E731" s="69" t="s">
        <v>42</v>
      </c>
      <c r="F731" s="69" t="s">
        <v>14</v>
      </c>
      <c r="G731" s="83">
        <v>75578</v>
      </c>
      <c r="I731" s="38" t="str">
        <f>IF(H731&gt;0,COUNTIF($H$16:H731,"&gt;0"),"")</f>
        <v/>
      </c>
    </row>
    <row r="732" spans="1:9" s="56" customFormat="1">
      <c r="A732" s="69" t="s">
        <v>123</v>
      </c>
      <c r="B732" s="69" t="s">
        <v>1443</v>
      </c>
      <c r="C732" s="69" t="s">
        <v>1444</v>
      </c>
      <c r="D732" s="69">
        <v>3614272639638</v>
      </c>
      <c r="E732" s="69" t="s">
        <v>42</v>
      </c>
      <c r="F732" s="69" t="s">
        <v>14</v>
      </c>
      <c r="G732" s="83">
        <v>35138</v>
      </c>
      <c r="I732" s="38" t="str">
        <f>IF(H732&gt;0,COUNTIF($H$16:H732,"&gt;0"),"")</f>
        <v/>
      </c>
    </row>
    <row r="733" spans="1:9" s="56" customFormat="1">
      <c r="A733" s="69" t="s">
        <v>123</v>
      </c>
      <c r="B733" s="69" t="s">
        <v>1445</v>
      </c>
      <c r="C733" s="69" t="s">
        <v>1446</v>
      </c>
      <c r="D733" s="69">
        <v>3614274078541</v>
      </c>
      <c r="E733" s="69" t="s">
        <v>42</v>
      </c>
      <c r="F733" s="69" t="s">
        <v>14</v>
      </c>
      <c r="G733" s="83">
        <v>28602</v>
      </c>
      <c r="I733" s="38" t="str">
        <f>IF(H733&gt;0,COUNTIF($H$16:H733,"&gt;0"),"")</f>
        <v/>
      </c>
    </row>
    <row r="734" spans="1:9" s="56" customFormat="1">
      <c r="A734" s="69" t="s">
        <v>123</v>
      </c>
      <c r="B734" s="69" t="s">
        <v>124</v>
      </c>
      <c r="C734" s="69" t="s">
        <v>125</v>
      </c>
      <c r="D734" s="69">
        <v>3614274104370</v>
      </c>
      <c r="E734" s="69" t="s">
        <v>42</v>
      </c>
      <c r="F734" s="69" t="s">
        <v>14</v>
      </c>
      <c r="G734" s="83">
        <v>77742</v>
      </c>
      <c r="I734" s="38" t="str">
        <f>IF(H734&gt;0,COUNTIF($H$16:H734,"&gt;0"),"")</f>
        <v/>
      </c>
    </row>
    <row r="735" spans="1:9" s="56" customFormat="1">
      <c r="A735" s="69" t="s">
        <v>123</v>
      </c>
      <c r="B735" s="69" t="s">
        <v>126</v>
      </c>
      <c r="C735" s="69" t="s">
        <v>127</v>
      </c>
      <c r="D735" s="69">
        <v>3614273069175</v>
      </c>
      <c r="E735" s="69" t="s">
        <v>42</v>
      </c>
      <c r="F735" s="69" t="s">
        <v>14</v>
      </c>
      <c r="G735" s="83">
        <v>72982</v>
      </c>
      <c r="I735" s="38" t="str">
        <f>IF(H735&gt;0,COUNTIF($H$16:H735,"&gt;0"),"")</f>
        <v/>
      </c>
    </row>
    <row r="736" spans="1:9" s="56" customFormat="1">
      <c r="A736" s="69" t="s">
        <v>123</v>
      </c>
      <c r="B736" s="69" t="s">
        <v>1447</v>
      </c>
      <c r="C736" s="69" t="s">
        <v>1448</v>
      </c>
      <c r="D736" s="69">
        <v>3614274510133</v>
      </c>
      <c r="E736" s="69" t="s">
        <v>42</v>
      </c>
      <c r="F736" s="69" t="s">
        <v>14</v>
      </c>
      <c r="G736" s="83">
        <v>83541</v>
      </c>
      <c r="I736" s="38" t="str">
        <f>IF(H736&gt;0,COUNTIF($H$16:H736,"&gt;0"),"")</f>
        <v/>
      </c>
    </row>
    <row r="737" spans="1:9" s="56" customFormat="1">
      <c r="A737" s="69" t="s">
        <v>123</v>
      </c>
      <c r="B737" s="69" t="s">
        <v>1449</v>
      </c>
      <c r="C737" s="69" t="s">
        <v>1450</v>
      </c>
      <c r="D737" s="69">
        <v>3605532612690</v>
      </c>
      <c r="E737" s="69" t="s">
        <v>42</v>
      </c>
      <c r="F737" s="69" t="s">
        <v>14</v>
      </c>
      <c r="G737" s="83">
        <v>42496</v>
      </c>
      <c r="I737" s="38" t="str">
        <f>IF(H737&gt;0,COUNTIF($H$16:H737,"&gt;0"),"")</f>
        <v/>
      </c>
    </row>
    <row r="738" spans="1:9" s="56" customFormat="1">
      <c r="A738" s="69" t="s">
        <v>123</v>
      </c>
      <c r="B738" s="69" t="s">
        <v>1451</v>
      </c>
      <c r="C738" s="69" t="s">
        <v>1452</v>
      </c>
      <c r="D738" s="69">
        <v>3614274169713</v>
      </c>
      <c r="E738" s="69" t="s">
        <v>42</v>
      </c>
      <c r="F738" s="69" t="s">
        <v>14</v>
      </c>
      <c r="G738" s="83">
        <v>59306</v>
      </c>
      <c r="I738" s="38" t="str">
        <f>IF(H738&gt;0,COUNTIF($H$16:H738,"&gt;0"),"")</f>
        <v/>
      </c>
    </row>
    <row r="739" spans="1:9" s="56" customFormat="1">
      <c r="A739" s="69" t="s">
        <v>123</v>
      </c>
      <c r="B739" s="69" t="s">
        <v>1453</v>
      </c>
      <c r="C739" s="69" t="s">
        <v>1454</v>
      </c>
      <c r="D739" s="69">
        <v>7804960150132</v>
      </c>
      <c r="E739" s="69" t="s">
        <v>42</v>
      </c>
      <c r="F739" s="69" t="s">
        <v>69</v>
      </c>
      <c r="G739" s="83">
        <v>76272</v>
      </c>
      <c r="I739" s="38" t="str">
        <f>IF(H739&gt;0,COUNTIF($H$16:H739,"&gt;0"),"")</f>
        <v/>
      </c>
    </row>
    <row r="740" spans="1:9" s="56" customFormat="1">
      <c r="A740" s="69" t="s">
        <v>109</v>
      </c>
      <c r="B740" s="69" t="s">
        <v>1455</v>
      </c>
      <c r="C740" s="69" t="s">
        <v>1456</v>
      </c>
      <c r="D740" s="69">
        <v>6290360591568</v>
      </c>
      <c r="E740" s="69" t="s">
        <v>17</v>
      </c>
      <c r="F740" s="69" t="s">
        <v>14</v>
      </c>
      <c r="G740" s="83">
        <v>13191</v>
      </c>
      <c r="I740" s="38" t="str">
        <f>IF(H740&gt;0,COUNTIF($H$16:H740,"&gt;0"),"")</f>
        <v/>
      </c>
    </row>
    <row r="741" spans="1:9" s="56" customFormat="1">
      <c r="A741" s="69" t="s">
        <v>109</v>
      </c>
      <c r="B741" s="69" t="s">
        <v>1457</v>
      </c>
      <c r="C741" s="69" t="s">
        <v>1458</v>
      </c>
      <c r="D741" s="69">
        <v>6290360597133</v>
      </c>
      <c r="E741" s="69" t="s">
        <v>17</v>
      </c>
      <c r="F741" s="69" t="s">
        <v>14</v>
      </c>
      <c r="G741" s="83">
        <v>13018</v>
      </c>
      <c r="I741" s="38" t="str">
        <f>IF(H741&gt;0,COUNTIF($H$16:H741,"&gt;0"),"")</f>
        <v/>
      </c>
    </row>
    <row r="742" spans="1:9" s="56" customFormat="1">
      <c r="A742" s="69" t="s">
        <v>109</v>
      </c>
      <c r="B742" s="69" t="s">
        <v>1459</v>
      </c>
      <c r="C742" s="69" t="s">
        <v>1460</v>
      </c>
      <c r="D742" s="69">
        <v>6290360591513</v>
      </c>
      <c r="E742" s="69" t="s">
        <v>17</v>
      </c>
      <c r="F742" s="69" t="s">
        <v>14</v>
      </c>
      <c r="G742" s="83">
        <v>22888</v>
      </c>
      <c r="I742" s="38" t="str">
        <f>IF(H742&gt;0,COUNTIF($H$16:H742,"&gt;0"),"")</f>
        <v/>
      </c>
    </row>
    <row r="743" spans="1:9" s="56" customFormat="1">
      <c r="A743" s="69" t="s">
        <v>109</v>
      </c>
      <c r="B743" s="69" t="s">
        <v>1461</v>
      </c>
      <c r="C743" s="69" t="s">
        <v>1462</v>
      </c>
      <c r="D743" s="69">
        <v>6291107456744</v>
      </c>
      <c r="E743" s="69" t="s">
        <v>17</v>
      </c>
      <c r="F743" s="69" t="s">
        <v>14</v>
      </c>
      <c r="G743" s="83">
        <v>19423</v>
      </c>
      <c r="I743" s="38" t="str">
        <f>IF(H743&gt;0,COUNTIF($H$16:H743,"&gt;0"),"")</f>
        <v/>
      </c>
    </row>
    <row r="744" spans="1:9" s="56" customFormat="1">
      <c r="A744" s="69" t="s">
        <v>109</v>
      </c>
      <c r="B744" s="69" t="s">
        <v>1463</v>
      </c>
      <c r="C744" s="69" t="s">
        <v>1464</v>
      </c>
      <c r="D744" s="69">
        <v>6291107450605</v>
      </c>
      <c r="E744" s="69" t="s">
        <v>42</v>
      </c>
      <c r="F744" s="69" t="s">
        <v>14</v>
      </c>
      <c r="G744" s="83">
        <v>15528</v>
      </c>
      <c r="I744" s="38" t="str">
        <f>IF(H744&gt;0,COUNTIF($H$16:H744,"&gt;0"),"")</f>
        <v/>
      </c>
    </row>
    <row r="745" spans="1:9" s="56" customFormat="1">
      <c r="A745" s="69" t="s">
        <v>109</v>
      </c>
      <c r="B745" s="69" t="s">
        <v>1465</v>
      </c>
      <c r="C745" s="69" t="s">
        <v>1466</v>
      </c>
      <c r="D745" s="69">
        <v>6291106066715</v>
      </c>
      <c r="E745" s="69" t="s">
        <v>17</v>
      </c>
      <c r="F745" s="69" t="s">
        <v>14</v>
      </c>
      <c r="G745" s="83">
        <v>11979</v>
      </c>
      <c r="I745" s="38" t="str">
        <f>IF(H745&gt;0,COUNTIF($H$16:H745,"&gt;0"),"")</f>
        <v/>
      </c>
    </row>
    <row r="746" spans="1:9" s="56" customFormat="1">
      <c r="A746" s="69" t="s">
        <v>109</v>
      </c>
      <c r="B746" s="69" t="s">
        <v>1467</v>
      </c>
      <c r="C746" s="69" t="s">
        <v>1468</v>
      </c>
      <c r="D746" s="69">
        <v>6290360599090</v>
      </c>
      <c r="E746" s="69" t="s">
        <v>13</v>
      </c>
      <c r="F746" s="69" t="s">
        <v>14</v>
      </c>
      <c r="G746" s="83">
        <v>24274</v>
      </c>
      <c r="I746" s="38" t="str">
        <f>IF(H746&gt;0,COUNTIF($H$16:H746,"&gt;0"),"")</f>
        <v/>
      </c>
    </row>
    <row r="747" spans="1:9" s="56" customFormat="1">
      <c r="A747" s="69" t="s">
        <v>109</v>
      </c>
      <c r="B747" s="69" t="s">
        <v>1469</v>
      </c>
      <c r="C747" s="69" t="s">
        <v>1470</v>
      </c>
      <c r="D747" s="69">
        <v>6291108738016</v>
      </c>
      <c r="E747" s="69" t="s">
        <v>17</v>
      </c>
      <c r="F747" s="69" t="s">
        <v>14</v>
      </c>
      <c r="G747" s="83">
        <v>18558</v>
      </c>
      <c r="I747" s="38" t="str">
        <f>IF(H747&gt;0,COUNTIF($H$16:H747,"&gt;0"),"")</f>
        <v/>
      </c>
    </row>
    <row r="748" spans="1:9" s="56" customFormat="1">
      <c r="A748" s="69" t="s">
        <v>109</v>
      </c>
      <c r="B748" s="69" t="s">
        <v>1471</v>
      </c>
      <c r="C748" s="69" t="s">
        <v>1472</v>
      </c>
      <c r="D748" s="69">
        <v>6290360595764</v>
      </c>
      <c r="E748" s="69" t="s">
        <v>17</v>
      </c>
      <c r="F748" s="69" t="s">
        <v>14</v>
      </c>
      <c r="G748" s="83">
        <v>19769</v>
      </c>
      <c r="I748" s="38" t="str">
        <f>IF(H748&gt;0,COUNTIF($H$16:H748,"&gt;0"),"")</f>
        <v/>
      </c>
    </row>
    <row r="749" spans="1:9" s="56" customFormat="1">
      <c r="A749" s="69" t="s">
        <v>109</v>
      </c>
      <c r="B749" s="69" t="s">
        <v>1473</v>
      </c>
      <c r="C749" s="69" t="s">
        <v>1474</v>
      </c>
      <c r="D749" s="69">
        <v>6290360598345</v>
      </c>
      <c r="E749" s="69" t="s">
        <v>13</v>
      </c>
      <c r="F749" s="69" t="s">
        <v>14</v>
      </c>
      <c r="G749" s="83">
        <v>20722</v>
      </c>
      <c r="I749" s="38" t="str">
        <f>IF(H749&gt;0,COUNTIF($H$16:H749,"&gt;0"),"")</f>
        <v/>
      </c>
    </row>
    <row r="750" spans="1:9" s="56" customFormat="1">
      <c r="A750" s="69" t="s">
        <v>109</v>
      </c>
      <c r="B750" s="69" t="s">
        <v>110</v>
      </c>
      <c r="C750" s="69" t="s">
        <v>111</v>
      </c>
      <c r="D750" s="69">
        <v>6291108735411</v>
      </c>
      <c r="E750" s="69" t="s">
        <v>13</v>
      </c>
      <c r="F750" s="69" t="s">
        <v>14</v>
      </c>
      <c r="G750" s="83">
        <v>20549</v>
      </c>
      <c r="I750" s="38" t="str">
        <f>IF(H750&gt;0,COUNTIF($H$16:H750,"&gt;0"),"")</f>
        <v/>
      </c>
    </row>
    <row r="751" spans="1:9" s="56" customFormat="1">
      <c r="A751" s="69" t="s">
        <v>109</v>
      </c>
      <c r="B751" s="69" t="s">
        <v>112</v>
      </c>
      <c r="C751" s="69" t="s">
        <v>113</v>
      </c>
      <c r="D751" s="69">
        <v>6290362346548</v>
      </c>
      <c r="E751" s="69" t="s">
        <v>13</v>
      </c>
      <c r="F751" s="69" t="s">
        <v>14</v>
      </c>
      <c r="G751" s="83">
        <v>28948</v>
      </c>
      <c r="I751" s="38" t="str">
        <f>IF(H751&gt;0,COUNTIF($H$16:H751,"&gt;0"),"")</f>
        <v/>
      </c>
    </row>
    <row r="752" spans="1:9" s="56" customFormat="1">
      <c r="A752" s="69" t="s">
        <v>109</v>
      </c>
      <c r="B752" s="69" t="s">
        <v>114</v>
      </c>
      <c r="C752" s="69" t="s">
        <v>115</v>
      </c>
      <c r="D752" s="69">
        <v>6290360593722</v>
      </c>
      <c r="E752" s="69" t="s">
        <v>17</v>
      </c>
      <c r="F752" s="69" t="s">
        <v>14</v>
      </c>
      <c r="G752" s="83">
        <v>21504</v>
      </c>
      <c r="I752" s="38" t="str">
        <f>IF(H752&gt;0,COUNTIF($H$16:H752,"&gt;0"),"")</f>
        <v/>
      </c>
    </row>
    <row r="753" spans="1:9" s="56" customFormat="1">
      <c r="A753" s="69" t="s">
        <v>109</v>
      </c>
      <c r="B753" s="69" t="s">
        <v>116</v>
      </c>
      <c r="C753" s="69" t="s">
        <v>117</v>
      </c>
      <c r="D753" s="69">
        <v>6291107458328</v>
      </c>
      <c r="E753" s="69" t="s">
        <v>17</v>
      </c>
      <c r="F753" s="69" t="s">
        <v>14</v>
      </c>
      <c r="G753" s="83">
        <v>19250</v>
      </c>
      <c r="I753" s="38" t="str">
        <f>IF(H753&gt;0,COUNTIF($H$16:H753,"&gt;0"),"")</f>
        <v/>
      </c>
    </row>
    <row r="754" spans="1:9" s="56" customFormat="1">
      <c r="A754" s="69" t="s">
        <v>109</v>
      </c>
      <c r="B754" s="69" t="s">
        <v>1475</v>
      </c>
      <c r="C754" s="69" t="s">
        <v>1476</v>
      </c>
      <c r="D754" s="69">
        <v>6290360593135</v>
      </c>
      <c r="E754" s="69" t="s">
        <v>17</v>
      </c>
      <c r="F754" s="69" t="s">
        <v>14</v>
      </c>
      <c r="G754" s="83">
        <v>20288</v>
      </c>
      <c r="I754" s="38" t="str">
        <f>IF(H754&gt;0,COUNTIF($H$16:H754,"&gt;0"),"")</f>
        <v/>
      </c>
    </row>
    <row r="755" spans="1:9" s="56" customFormat="1">
      <c r="A755" s="69" t="s">
        <v>109</v>
      </c>
      <c r="B755" s="69" t="s">
        <v>1477</v>
      </c>
      <c r="C755" s="69" t="s">
        <v>1478</v>
      </c>
      <c r="D755" s="69">
        <v>6290362349662</v>
      </c>
      <c r="E755" s="69" t="s">
        <v>42</v>
      </c>
      <c r="F755" s="69" t="s">
        <v>14</v>
      </c>
      <c r="G755" s="83">
        <v>19942</v>
      </c>
      <c r="I755" s="38" t="str">
        <f>IF(H755&gt;0,COUNTIF($H$16:H755,"&gt;0"),"")</f>
        <v/>
      </c>
    </row>
    <row r="756" spans="1:9" s="56" customFormat="1">
      <c r="A756" s="69" t="s">
        <v>109</v>
      </c>
      <c r="B756" s="69" t="s">
        <v>1479</v>
      </c>
      <c r="C756" s="69" t="s">
        <v>1480</v>
      </c>
      <c r="D756" s="69">
        <v>6290362348238</v>
      </c>
      <c r="E756" s="69" t="s">
        <v>17</v>
      </c>
      <c r="F756" s="69" t="s">
        <v>14</v>
      </c>
      <c r="G756" s="83">
        <v>10595</v>
      </c>
      <c r="I756" s="38" t="str">
        <f>IF(H756&gt;0,COUNTIF($H$16:H756,"&gt;0"),"")</f>
        <v/>
      </c>
    </row>
    <row r="757" spans="1:9" s="56" customFormat="1">
      <c r="A757" s="69" t="s">
        <v>109</v>
      </c>
      <c r="B757" s="69" t="s">
        <v>1481</v>
      </c>
      <c r="C757" s="69" t="s">
        <v>1482</v>
      </c>
      <c r="D757" s="69">
        <v>6290362348207</v>
      </c>
      <c r="E757" s="69" t="s">
        <v>17</v>
      </c>
      <c r="F757" s="69" t="s">
        <v>14</v>
      </c>
      <c r="G757" s="83">
        <v>10595</v>
      </c>
      <c r="I757" s="38" t="str">
        <f>IF(H757&gt;0,COUNTIF($H$16:H757,"&gt;0"),"")</f>
        <v/>
      </c>
    </row>
    <row r="758" spans="1:9" s="56" customFormat="1">
      <c r="A758" s="69" t="s">
        <v>109</v>
      </c>
      <c r="B758" s="69" t="s">
        <v>1483</v>
      </c>
      <c r="C758" s="69" t="s">
        <v>1484</v>
      </c>
      <c r="D758" s="69">
        <v>6290362348221</v>
      </c>
      <c r="E758" s="69" t="s">
        <v>17</v>
      </c>
      <c r="F758" s="69" t="s">
        <v>14</v>
      </c>
      <c r="G758" s="83">
        <v>10595</v>
      </c>
      <c r="I758" s="38" t="str">
        <f>IF(H758&gt;0,COUNTIF($H$16:H758,"&gt;0"),"")</f>
        <v/>
      </c>
    </row>
    <row r="759" spans="1:9" s="56" customFormat="1">
      <c r="A759" s="69" t="s">
        <v>109</v>
      </c>
      <c r="B759" s="69" t="s">
        <v>1485</v>
      </c>
      <c r="C759" s="69" t="s">
        <v>1486</v>
      </c>
      <c r="D759" s="69">
        <v>6290362348191</v>
      </c>
      <c r="E759" s="69" t="s">
        <v>17</v>
      </c>
      <c r="F759" s="69" t="s">
        <v>14</v>
      </c>
      <c r="G759" s="83">
        <v>10595</v>
      </c>
      <c r="I759" s="38" t="str">
        <f>IF(H759&gt;0,COUNTIF($H$16:H759,"&gt;0"),"")</f>
        <v/>
      </c>
    </row>
    <row r="760" spans="1:9" s="56" customFormat="1">
      <c r="A760" s="69" t="s">
        <v>109</v>
      </c>
      <c r="B760" s="69" t="s">
        <v>1487</v>
      </c>
      <c r="C760" s="69" t="s">
        <v>1488</v>
      </c>
      <c r="D760" s="69">
        <v>6290362348214</v>
      </c>
      <c r="E760" s="69" t="s">
        <v>17</v>
      </c>
      <c r="F760" s="69" t="s">
        <v>14</v>
      </c>
      <c r="G760" s="83">
        <v>10595</v>
      </c>
      <c r="I760" s="38" t="str">
        <f>IF(H760&gt;0,COUNTIF($H$16:H760,"&gt;0"),"")</f>
        <v/>
      </c>
    </row>
    <row r="761" spans="1:9" s="56" customFormat="1">
      <c r="A761" s="69" t="s">
        <v>109</v>
      </c>
      <c r="B761" s="69" t="s">
        <v>1489</v>
      </c>
      <c r="C761" s="69" t="s">
        <v>1490</v>
      </c>
      <c r="D761" s="69">
        <v>6290360598857</v>
      </c>
      <c r="E761" s="69" t="s">
        <v>17</v>
      </c>
      <c r="F761" s="69" t="s">
        <v>14</v>
      </c>
      <c r="G761" s="83">
        <v>17779</v>
      </c>
      <c r="I761" s="38" t="str">
        <f>IF(H761&gt;0,COUNTIF($H$16:H761,"&gt;0"),"")</f>
        <v/>
      </c>
    </row>
    <row r="762" spans="1:9" s="56" customFormat="1">
      <c r="A762" s="69" t="s">
        <v>109</v>
      </c>
      <c r="B762" s="69" t="s">
        <v>1491</v>
      </c>
      <c r="C762" s="69" t="s">
        <v>1492</v>
      </c>
      <c r="D762" s="69">
        <v>6290362349112</v>
      </c>
      <c r="E762" s="69" t="s">
        <v>17</v>
      </c>
      <c r="F762" s="69" t="s">
        <v>14</v>
      </c>
      <c r="G762" s="83">
        <v>22110</v>
      </c>
      <c r="I762" s="38" t="str">
        <f>IF(H762&gt;0,COUNTIF($H$16:H762,"&gt;0"),"")</f>
        <v/>
      </c>
    </row>
    <row r="763" spans="1:9" s="56" customFormat="1">
      <c r="A763" s="69" t="s">
        <v>109</v>
      </c>
      <c r="B763" s="69" t="s">
        <v>1493</v>
      </c>
      <c r="C763" s="69" t="s">
        <v>1494</v>
      </c>
      <c r="D763" s="69">
        <v>6290362349129</v>
      </c>
      <c r="E763" s="69" t="s">
        <v>17</v>
      </c>
      <c r="F763" s="69" t="s">
        <v>14</v>
      </c>
      <c r="G763" s="83">
        <v>22110</v>
      </c>
      <c r="I763" s="38" t="str">
        <f>IF(H763&gt;0,COUNTIF($H$16:H763,"&gt;0"),"")</f>
        <v/>
      </c>
    </row>
    <row r="764" spans="1:9" s="56" customFormat="1">
      <c r="A764" s="69" t="s">
        <v>109</v>
      </c>
      <c r="B764" s="69" t="s">
        <v>1495</v>
      </c>
      <c r="C764" s="69" t="s">
        <v>1496</v>
      </c>
      <c r="D764" s="69">
        <v>6290362345817</v>
      </c>
      <c r="E764" s="69" t="s">
        <v>17</v>
      </c>
      <c r="F764" s="69" t="s">
        <v>14</v>
      </c>
      <c r="G764" s="83">
        <v>17518</v>
      </c>
      <c r="I764" s="38" t="str">
        <f>IF(H764&gt;0,COUNTIF($H$16:H764,"&gt;0"),"")</f>
        <v/>
      </c>
    </row>
    <row r="765" spans="1:9" s="56" customFormat="1">
      <c r="A765" s="69" t="s">
        <v>109</v>
      </c>
      <c r="B765" s="69" t="s">
        <v>1497</v>
      </c>
      <c r="C765" s="69" t="s">
        <v>1498</v>
      </c>
      <c r="D765" s="69">
        <v>6290360598864</v>
      </c>
      <c r="E765" s="69" t="s">
        <v>13</v>
      </c>
      <c r="F765" s="69" t="s">
        <v>14</v>
      </c>
      <c r="G765" s="83">
        <v>17259</v>
      </c>
      <c r="I765" s="38" t="str">
        <f>IF(H765&gt;0,COUNTIF($H$16:H765,"&gt;0"),"")</f>
        <v/>
      </c>
    </row>
    <row r="766" spans="1:9" s="56" customFormat="1">
      <c r="A766" s="69" t="s">
        <v>109</v>
      </c>
      <c r="B766" s="69" t="s">
        <v>1499</v>
      </c>
      <c r="C766" s="69" t="s">
        <v>1500</v>
      </c>
      <c r="D766" s="69">
        <v>6290362349938</v>
      </c>
      <c r="E766" s="69" t="s">
        <v>42</v>
      </c>
      <c r="F766" s="69" t="s">
        <v>14</v>
      </c>
      <c r="G766" s="83">
        <v>15269</v>
      </c>
      <c r="I766" s="38" t="str">
        <f>IF(H766&gt;0,COUNTIF($H$16:H766,"&gt;0"),"")</f>
        <v/>
      </c>
    </row>
    <row r="767" spans="1:9" s="56" customFormat="1">
      <c r="A767" s="69" t="s">
        <v>109</v>
      </c>
      <c r="B767" s="69" t="s">
        <v>1501</v>
      </c>
      <c r="C767" s="69" t="s">
        <v>1502</v>
      </c>
      <c r="D767" s="69">
        <v>6290360598338</v>
      </c>
      <c r="E767" s="69" t="s">
        <v>17</v>
      </c>
      <c r="F767" s="69" t="s">
        <v>14</v>
      </c>
      <c r="G767" s="83">
        <v>25226</v>
      </c>
      <c r="I767" s="38" t="str">
        <f>IF(H767&gt;0,COUNTIF($H$16:H767,"&gt;0"),"")</f>
        <v/>
      </c>
    </row>
    <row r="768" spans="1:9" s="56" customFormat="1">
      <c r="A768" s="69" t="s">
        <v>109</v>
      </c>
      <c r="B768" s="69" t="s">
        <v>1503</v>
      </c>
      <c r="C768" s="69" t="s">
        <v>1504</v>
      </c>
      <c r="D768" s="69">
        <v>6290362344940</v>
      </c>
      <c r="E768" s="69" t="s">
        <v>13</v>
      </c>
      <c r="F768" s="69" t="s">
        <v>14</v>
      </c>
      <c r="G768" s="83">
        <v>7652</v>
      </c>
      <c r="I768" s="38" t="str">
        <f>IF(H768&gt;0,COUNTIF($H$16:H768,"&gt;0"),"")</f>
        <v/>
      </c>
    </row>
    <row r="769" spans="1:9" s="56" customFormat="1">
      <c r="A769" s="69" t="s">
        <v>109</v>
      </c>
      <c r="B769" s="69" t="s">
        <v>1505</v>
      </c>
      <c r="C769" s="69" t="s">
        <v>1506</v>
      </c>
      <c r="D769" s="69">
        <v>6290360599441</v>
      </c>
      <c r="E769" s="69" t="s">
        <v>42</v>
      </c>
      <c r="F769" s="69" t="s">
        <v>14</v>
      </c>
      <c r="G769" s="83">
        <v>20115</v>
      </c>
      <c r="I769" s="38" t="str">
        <f>IF(H769&gt;0,COUNTIF($H$16:H769,"&gt;0"),"")</f>
        <v/>
      </c>
    </row>
    <row r="770" spans="1:9" s="56" customFormat="1">
      <c r="A770" s="69" t="s">
        <v>109</v>
      </c>
      <c r="B770" s="69" t="s">
        <v>1507</v>
      </c>
      <c r="C770" s="69" t="s">
        <v>1508</v>
      </c>
      <c r="D770" s="69">
        <v>6290360591490</v>
      </c>
      <c r="E770" s="69" t="s">
        <v>42</v>
      </c>
      <c r="F770" s="69" t="s">
        <v>14</v>
      </c>
      <c r="G770" s="83">
        <v>13105</v>
      </c>
      <c r="I770" s="38" t="str">
        <f>IF(H770&gt;0,COUNTIF($H$16:H770,"&gt;0"),"")</f>
        <v/>
      </c>
    </row>
    <row r="771" spans="1:9" s="56" customFormat="1">
      <c r="A771" s="69" t="s">
        <v>109</v>
      </c>
      <c r="B771" s="69" t="s">
        <v>1509</v>
      </c>
      <c r="C771" s="69" t="s">
        <v>1510</v>
      </c>
      <c r="D771" s="69">
        <v>6290360593173</v>
      </c>
      <c r="E771" s="69" t="s">
        <v>17</v>
      </c>
      <c r="F771" s="69" t="s">
        <v>14</v>
      </c>
      <c r="G771" s="83">
        <v>17518</v>
      </c>
      <c r="I771" s="38" t="str">
        <f>IF(H771&gt;0,COUNTIF($H$16:H771,"&gt;0"),"")</f>
        <v/>
      </c>
    </row>
    <row r="772" spans="1:9" s="56" customFormat="1">
      <c r="A772" s="69" t="s">
        <v>109</v>
      </c>
      <c r="B772" s="69" t="s">
        <v>1511</v>
      </c>
      <c r="C772" s="69" t="s">
        <v>1512</v>
      </c>
      <c r="D772" s="69">
        <v>6290362340638</v>
      </c>
      <c r="E772" s="69" t="s">
        <v>42</v>
      </c>
      <c r="F772" s="69" t="s">
        <v>14</v>
      </c>
      <c r="G772" s="83">
        <v>25226</v>
      </c>
      <c r="I772" s="38" t="str">
        <f>IF(H772&gt;0,COUNTIF($H$16:H772,"&gt;0"),"")</f>
        <v/>
      </c>
    </row>
    <row r="773" spans="1:9" s="56" customFormat="1">
      <c r="A773" s="69" t="s">
        <v>109</v>
      </c>
      <c r="B773" s="69" t="s">
        <v>1513</v>
      </c>
      <c r="C773" s="69" t="s">
        <v>1514</v>
      </c>
      <c r="D773" s="69">
        <v>6290360593166</v>
      </c>
      <c r="E773" s="69" t="s">
        <v>13</v>
      </c>
      <c r="F773" s="69" t="s">
        <v>14</v>
      </c>
      <c r="G773" s="83">
        <v>18558</v>
      </c>
      <c r="I773" s="38" t="str">
        <f>IF(H773&gt;0,COUNTIF($H$16:H773,"&gt;0"),"")</f>
        <v/>
      </c>
    </row>
    <row r="774" spans="1:9" s="56" customFormat="1">
      <c r="A774" s="69" t="s">
        <v>109</v>
      </c>
      <c r="B774" s="69" t="s">
        <v>1515</v>
      </c>
      <c r="C774" s="69" t="s">
        <v>1516</v>
      </c>
      <c r="D774" s="69" t="s">
        <v>1516</v>
      </c>
      <c r="E774" s="69" t="s">
        <v>17</v>
      </c>
      <c r="F774" s="69" t="s">
        <v>14</v>
      </c>
      <c r="G774" s="83">
        <v>15874</v>
      </c>
      <c r="I774" s="38" t="str">
        <f>IF(H774&gt;0,COUNTIF($H$16:H774,"&gt;0"),"")</f>
        <v/>
      </c>
    </row>
    <row r="775" spans="1:9" s="56" customFormat="1">
      <c r="A775" s="69" t="s">
        <v>109</v>
      </c>
      <c r="B775" s="69" t="s">
        <v>1517</v>
      </c>
      <c r="C775" s="69" t="s">
        <v>1518</v>
      </c>
      <c r="D775" s="69">
        <v>6291107457895</v>
      </c>
      <c r="E775" s="69" t="s">
        <v>17</v>
      </c>
      <c r="F775" s="69" t="s">
        <v>14</v>
      </c>
      <c r="G775" s="83">
        <v>12065</v>
      </c>
      <c r="I775" s="38" t="str">
        <f>IF(H775&gt;0,COUNTIF($H$16:H775,"&gt;0"),"")</f>
        <v/>
      </c>
    </row>
    <row r="776" spans="1:9" s="56" customFormat="1">
      <c r="A776" s="69" t="s">
        <v>109</v>
      </c>
      <c r="B776" s="69" t="s">
        <v>1519</v>
      </c>
      <c r="C776" s="69" t="s">
        <v>1520</v>
      </c>
      <c r="D776" s="69">
        <v>6290362342373</v>
      </c>
      <c r="E776" s="69" t="s">
        <v>17</v>
      </c>
      <c r="F776" s="69" t="s">
        <v>14</v>
      </c>
      <c r="G776" s="83">
        <v>18558</v>
      </c>
      <c r="I776" s="38" t="str">
        <f>IF(H776&gt;0,COUNTIF($H$16:H776,"&gt;0"),"")</f>
        <v/>
      </c>
    </row>
    <row r="777" spans="1:9" s="56" customFormat="1">
      <c r="A777" s="69" t="s">
        <v>109</v>
      </c>
      <c r="B777" s="69" t="s">
        <v>1521</v>
      </c>
      <c r="C777" s="69" t="s">
        <v>1522</v>
      </c>
      <c r="D777" s="69">
        <v>6291108737194</v>
      </c>
      <c r="E777" s="69" t="s">
        <v>17</v>
      </c>
      <c r="F777" s="69" t="s">
        <v>14</v>
      </c>
      <c r="G777" s="83">
        <v>25831</v>
      </c>
      <c r="I777" s="38" t="str">
        <f>IF(H777&gt;0,COUNTIF($H$16:H777,"&gt;0"),"")</f>
        <v/>
      </c>
    </row>
    <row r="778" spans="1:9" s="56" customFormat="1">
      <c r="A778" s="69" t="s">
        <v>109</v>
      </c>
      <c r="B778" s="69" t="s">
        <v>1523</v>
      </c>
      <c r="C778" s="69" t="s">
        <v>1524</v>
      </c>
      <c r="D778" s="69">
        <v>6290360593661</v>
      </c>
      <c r="E778" s="69" t="s">
        <v>17</v>
      </c>
      <c r="F778" s="69" t="s">
        <v>14</v>
      </c>
      <c r="G778" s="83">
        <v>25831</v>
      </c>
      <c r="I778" s="38" t="str">
        <f>IF(H778&gt;0,COUNTIF($H$16:H778,"&gt;0"),"")</f>
        <v/>
      </c>
    </row>
    <row r="779" spans="1:9" s="56" customFormat="1">
      <c r="A779" s="69" t="s">
        <v>109</v>
      </c>
      <c r="B779" s="69" t="s">
        <v>1525</v>
      </c>
      <c r="C779" s="69" t="s">
        <v>1526</v>
      </c>
      <c r="D779" s="69">
        <v>6291107451527</v>
      </c>
      <c r="E779" s="69" t="s">
        <v>17</v>
      </c>
      <c r="F779" s="69" t="s">
        <v>14</v>
      </c>
      <c r="G779" s="83">
        <v>11373</v>
      </c>
      <c r="I779" s="38" t="str">
        <f>IF(H779&gt;0,COUNTIF($H$16:H779,"&gt;0"),"")</f>
        <v/>
      </c>
    </row>
    <row r="780" spans="1:9" s="56" customFormat="1">
      <c r="A780" s="69" t="s">
        <v>109</v>
      </c>
      <c r="B780" s="69" t="s">
        <v>1527</v>
      </c>
      <c r="C780" s="69" t="s">
        <v>1528</v>
      </c>
      <c r="D780" s="69">
        <v>6290360598321</v>
      </c>
      <c r="E780" s="69" t="s">
        <v>17</v>
      </c>
      <c r="F780" s="69" t="s">
        <v>14</v>
      </c>
      <c r="G780" s="83">
        <v>16393</v>
      </c>
      <c r="I780" s="38" t="str">
        <f>IF(H780&gt;0,COUNTIF($H$16:H780,"&gt;0"),"")</f>
        <v/>
      </c>
    </row>
    <row r="781" spans="1:9" s="56" customFormat="1">
      <c r="A781" s="69" t="s">
        <v>109</v>
      </c>
      <c r="B781" s="69" t="s">
        <v>1529</v>
      </c>
      <c r="C781" s="69" t="s">
        <v>1530</v>
      </c>
      <c r="D781" s="69">
        <v>6291108737323</v>
      </c>
      <c r="E781" s="69" t="s">
        <v>17</v>
      </c>
      <c r="F781" s="69" t="s">
        <v>14</v>
      </c>
      <c r="G781" s="83">
        <v>19163</v>
      </c>
      <c r="I781" s="38" t="str">
        <f>IF(H781&gt;0,COUNTIF($H$16:H781,"&gt;0"),"")</f>
        <v/>
      </c>
    </row>
    <row r="782" spans="1:9" s="56" customFormat="1">
      <c r="A782" s="69" t="s">
        <v>109</v>
      </c>
      <c r="B782" s="69" t="s">
        <v>1531</v>
      </c>
      <c r="C782" s="69" t="s">
        <v>1532</v>
      </c>
      <c r="D782" s="69">
        <v>6290360593159</v>
      </c>
      <c r="E782" s="69" t="s">
        <v>17</v>
      </c>
      <c r="F782" s="69" t="s">
        <v>14</v>
      </c>
      <c r="G782" s="83">
        <v>27649</v>
      </c>
      <c r="I782" s="38" t="str">
        <f>IF(H782&gt;0,COUNTIF($H$16:H782,"&gt;0"),"")</f>
        <v/>
      </c>
    </row>
    <row r="783" spans="1:9" s="56" customFormat="1">
      <c r="A783" s="69" t="s">
        <v>109</v>
      </c>
      <c r="B783" s="69" t="s">
        <v>1533</v>
      </c>
      <c r="C783" s="69" t="s">
        <v>1534</v>
      </c>
      <c r="D783" s="69">
        <v>6291107455365</v>
      </c>
      <c r="E783" s="69" t="s">
        <v>17</v>
      </c>
      <c r="F783" s="69" t="s">
        <v>14</v>
      </c>
      <c r="G783" s="83">
        <v>14749</v>
      </c>
      <c r="I783" s="38" t="str">
        <f>IF(H783&gt;0,COUNTIF($H$16:H783,"&gt;0"),"")</f>
        <v/>
      </c>
    </row>
    <row r="784" spans="1:9" s="56" customFormat="1">
      <c r="A784" s="69" t="s">
        <v>109</v>
      </c>
      <c r="B784" s="69" t="s">
        <v>1535</v>
      </c>
      <c r="C784" s="69" t="s">
        <v>1536</v>
      </c>
      <c r="D784" s="69">
        <v>6291108739020</v>
      </c>
      <c r="E784" s="69" t="s">
        <v>17</v>
      </c>
      <c r="F784" s="69" t="s">
        <v>14</v>
      </c>
      <c r="G784" s="83">
        <v>12759</v>
      </c>
      <c r="I784" s="38" t="str">
        <f>IF(H784&gt;0,COUNTIF($H$16:H784,"&gt;0"),"")</f>
        <v/>
      </c>
    </row>
    <row r="785" spans="1:9" s="56" customFormat="1">
      <c r="A785" s="69" t="s">
        <v>109</v>
      </c>
      <c r="B785" s="69" t="s">
        <v>1537</v>
      </c>
      <c r="C785" s="69" t="s">
        <v>1538</v>
      </c>
      <c r="D785" s="69">
        <v>6290362344926</v>
      </c>
      <c r="E785" s="69" t="s">
        <v>42</v>
      </c>
      <c r="F785" s="69" t="s">
        <v>14</v>
      </c>
      <c r="G785" s="83">
        <v>6959</v>
      </c>
      <c r="I785" s="38" t="str">
        <f>IF(H785&gt;0,COUNTIF($H$16:H785,"&gt;0"),"")</f>
        <v/>
      </c>
    </row>
    <row r="786" spans="1:9" s="56" customFormat="1">
      <c r="A786" s="69" t="s">
        <v>109</v>
      </c>
      <c r="B786" s="69" t="s">
        <v>1539</v>
      </c>
      <c r="C786" s="69" t="s">
        <v>1540</v>
      </c>
      <c r="D786" s="69">
        <v>6290362341321</v>
      </c>
      <c r="E786" s="69" t="s">
        <v>17</v>
      </c>
      <c r="F786" s="69" t="s">
        <v>14</v>
      </c>
      <c r="G786" s="83">
        <v>19163</v>
      </c>
      <c r="I786" s="38" t="str">
        <f>IF(H786&gt;0,COUNTIF($H$16:H786,"&gt;0"),"")</f>
        <v/>
      </c>
    </row>
    <row r="787" spans="1:9" s="56" customFormat="1">
      <c r="A787" s="69" t="s">
        <v>109</v>
      </c>
      <c r="B787" s="69" t="s">
        <v>1541</v>
      </c>
      <c r="C787" s="69" t="s">
        <v>1542</v>
      </c>
      <c r="D787" s="69">
        <v>6290362340645</v>
      </c>
      <c r="E787" s="69" t="s">
        <v>17</v>
      </c>
      <c r="F787" s="69" t="s">
        <v>14</v>
      </c>
      <c r="G787" s="83">
        <v>14489</v>
      </c>
      <c r="I787" s="38" t="str">
        <f>IF(H787&gt;0,COUNTIF($H$16:H787,"&gt;0"),"")</f>
        <v/>
      </c>
    </row>
    <row r="788" spans="1:9" s="56" customFormat="1">
      <c r="A788" s="69" t="s">
        <v>109</v>
      </c>
      <c r="B788" s="69" t="s">
        <v>1543</v>
      </c>
      <c r="C788" s="69" t="s">
        <v>1544</v>
      </c>
      <c r="D788" s="69">
        <v>6291106066722</v>
      </c>
      <c r="E788" s="69" t="s">
        <v>17</v>
      </c>
      <c r="F788" s="69" t="s">
        <v>14</v>
      </c>
      <c r="G788" s="83">
        <v>12672</v>
      </c>
      <c r="I788" s="38" t="str">
        <f>IF(H788&gt;0,COUNTIF($H$16:H788,"&gt;0"),"")</f>
        <v/>
      </c>
    </row>
    <row r="789" spans="1:9" s="56" customFormat="1">
      <c r="A789" s="69" t="s">
        <v>109</v>
      </c>
      <c r="B789" s="69" t="s">
        <v>1545</v>
      </c>
      <c r="C789" s="69" t="s">
        <v>1546</v>
      </c>
      <c r="D789" s="69">
        <v>6290360599168</v>
      </c>
      <c r="E789" s="69" t="s">
        <v>42</v>
      </c>
      <c r="F789" s="69" t="s">
        <v>14</v>
      </c>
      <c r="G789" s="83">
        <v>19336</v>
      </c>
      <c r="I789" s="38" t="str">
        <f>IF(H789&gt;0,COUNTIF($H$16:H789,"&gt;0"),"")</f>
        <v/>
      </c>
    </row>
    <row r="790" spans="1:9" s="56" customFormat="1">
      <c r="A790" s="69" t="s">
        <v>109</v>
      </c>
      <c r="B790" s="69" t="s">
        <v>1547</v>
      </c>
      <c r="C790" s="69" t="s">
        <v>1548</v>
      </c>
      <c r="D790" s="69">
        <v>6290362346531</v>
      </c>
      <c r="E790" s="69" t="s">
        <v>42</v>
      </c>
      <c r="F790" s="69" t="s">
        <v>14</v>
      </c>
      <c r="G790" s="83">
        <v>25139</v>
      </c>
      <c r="I790" s="38" t="str">
        <f>IF(H790&gt;0,COUNTIF($H$16:H790,"&gt;0"),"")</f>
        <v/>
      </c>
    </row>
    <row r="791" spans="1:9" s="56" customFormat="1">
      <c r="A791" s="69" t="s">
        <v>109</v>
      </c>
      <c r="B791" s="69" t="s">
        <v>1549</v>
      </c>
      <c r="C791" s="69" t="s">
        <v>1550</v>
      </c>
      <c r="D791" s="69">
        <v>6290360591421</v>
      </c>
      <c r="E791" s="69" t="s">
        <v>42</v>
      </c>
      <c r="F791" s="69" t="s">
        <v>14</v>
      </c>
      <c r="G791" s="83">
        <v>18125</v>
      </c>
      <c r="I791" s="38" t="str">
        <f>IF(H791&gt;0,COUNTIF($H$16:H791,"&gt;0"),"")</f>
        <v/>
      </c>
    </row>
    <row r="792" spans="1:9" s="56" customFormat="1">
      <c r="A792" s="69" t="s">
        <v>109</v>
      </c>
      <c r="B792" s="69" t="s">
        <v>1551</v>
      </c>
      <c r="C792" s="69" t="s">
        <v>1552</v>
      </c>
      <c r="D792" s="69">
        <v>6290360594552</v>
      </c>
      <c r="E792" s="69" t="s">
        <v>42</v>
      </c>
      <c r="F792" s="69" t="s">
        <v>14</v>
      </c>
      <c r="G792" s="83">
        <v>18038</v>
      </c>
      <c r="I792" s="38" t="str">
        <f>IF(H792&gt;0,COUNTIF($H$16:H792,"&gt;0"),"")</f>
        <v/>
      </c>
    </row>
    <row r="793" spans="1:9" s="56" customFormat="1">
      <c r="A793" s="69" t="s">
        <v>109</v>
      </c>
      <c r="B793" s="69" t="s">
        <v>1553</v>
      </c>
      <c r="C793" s="69" t="s">
        <v>1554</v>
      </c>
      <c r="D793" s="69">
        <v>6290362340133</v>
      </c>
      <c r="E793" s="69" t="s">
        <v>17</v>
      </c>
      <c r="F793" s="69" t="s">
        <v>14</v>
      </c>
      <c r="G793" s="83">
        <v>7132</v>
      </c>
      <c r="I793" s="38" t="str">
        <f>IF(H793&gt;0,COUNTIF($H$16:H793,"&gt;0"),"")</f>
        <v/>
      </c>
    </row>
    <row r="794" spans="1:9" s="56" customFormat="1">
      <c r="A794" s="69" t="s">
        <v>109</v>
      </c>
      <c r="B794" s="69" t="s">
        <v>1555</v>
      </c>
      <c r="C794" s="69" t="s">
        <v>1556</v>
      </c>
      <c r="D794" s="69">
        <v>6290362342472</v>
      </c>
      <c r="E794" s="69" t="s">
        <v>13</v>
      </c>
      <c r="F794" s="69" t="s">
        <v>14</v>
      </c>
      <c r="G794" s="83">
        <v>20981</v>
      </c>
      <c r="I794" s="38" t="str">
        <f>IF(H794&gt;0,COUNTIF($H$16:H794,"&gt;0"),"")</f>
        <v/>
      </c>
    </row>
    <row r="795" spans="1:9" s="56" customFormat="1">
      <c r="A795" s="69" t="s">
        <v>109</v>
      </c>
      <c r="B795" s="69" t="s">
        <v>1557</v>
      </c>
      <c r="C795" s="69" t="s">
        <v>1558</v>
      </c>
      <c r="D795" s="69">
        <v>6290362349099</v>
      </c>
      <c r="E795" s="69" t="s">
        <v>42</v>
      </c>
      <c r="F795" s="69" t="s">
        <v>69</v>
      </c>
      <c r="G795" s="83">
        <v>20895</v>
      </c>
      <c r="I795" s="38" t="str">
        <f>IF(H795&gt;0,COUNTIF($H$16:H795,"&gt;0"),"")</f>
        <v/>
      </c>
    </row>
    <row r="796" spans="1:9" s="56" customFormat="1">
      <c r="A796" s="69" t="s">
        <v>109</v>
      </c>
      <c r="B796" s="69" t="s">
        <v>1559</v>
      </c>
      <c r="C796" s="69" t="s">
        <v>1560</v>
      </c>
      <c r="D796" s="69">
        <v>6290362349075</v>
      </c>
      <c r="E796" s="69" t="s">
        <v>42</v>
      </c>
      <c r="F796" s="69" t="s">
        <v>69</v>
      </c>
      <c r="G796" s="83">
        <v>24966</v>
      </c>
      <c r="I796" s="38" t="str">
        <f>IF(H796&gt;0,COUNTIF($H$16:H796,"&gt;0"),"")</f>
        <v/>
      </c>
    </row>
    <row r="797" spans="1:9" s="56" customFormat="1">
      <c r="A797" s="69" t="s">
        <v>109</v>
      </c>
      <c r="B797" s="69" t="s">
        <v>1561</v>
      </c>
      <c r="C797" s="69" t="s">
        <v>1562</v>
      </c>
      <c r="D797" s="69">
        <v>6290362349105</v>
      </c>
      <c r="E797" s="69" t="s">
        <v>13</v>
      </c>
      <c r="F797" s="69" t="s">
        <v>69</v>
      </c>
      <c r="G797" s="83">
        <v>20722</v>
      </c>
      <c r="I797" s="38" t="str">
        <f>IF(H797&gt;0,COUNTIF($H$16:H797,"&gt;0"),"")</f>
        <v/>
      </c>
    </row>
    <row r="798" spans="1:9" s="56" customFormat="1">
      <c r="A798" s="69" t="s">
        <v>109</v>
      </c>
      <c r="B798" s="69" t="s">
        <v>1563</v>
      </c>
      <c r="C798" s="69" t="s">
        <v>1564</v>
      </c>
      <c r="D798" s="69">
        <v>6290362349549</v>
      </c>
      <c r="E798" s="69" t="s">
        <v>13</v>
      </c>
      <c r="F798" s="69" t="s">
        <v>69</v>
      </c>
      <c r="G798" s="83">
        <v>20028</v>
      </c>
      <c r="I798" s="38" t="str">
        <f>IF(H798&gt;0,COUNTIF($H$16:H798,"&gt;0"),"")</f>
        <v/>
      </c>
    </row>
    <row r="799" spans="1:9" s="56" customFormat="1">
      <c r="A799" s="69" t="s">
        <v>109</v>
      </c>
      <c r="B799" s="69" t="s">
        <v>1565</v>
      </c>
      <c r="C799" s="69" t="s">
        <v>1566</v>
      </c>
      <c r="D799" s="69">
        <v>6290362341239</v>
      </c>
      <c r="E799" s="69" t="s">
        <v>17</v>
      </c>
      <c r="F799" s="69" t="s">
        <v>69</v>
      </c>
      <c r="G799" s="83">
        <v>25226</v>
      </c>
      <c r="I799" s="38" t="str">
        <f>IF(H799&gt;0,COUNTIF($H$16:H799,"&gt;0"),"")</f>
        <v/>
      </c>
    </row>
    <row r="800" spans="1:9" s="56" customFormat="1">
      <c r="A800" s="69" t="s">
        <v>109</v>
      </c>
      <c r="B800" s="69" t="s">
        <v>1567</v>
      </c>
      <c r="C800" s="69" t="s">
        <v>1568</v>
      </c>
      <c r="D800" s="69">
        <v>6290362345732</v>
      </c>
      <c r="E800" s="69" t="s">
        <v>42</v>
      </c>
      <c r="F800" s="69" t="s">
        <v>69</v>
      </c>
      <c r="G800" s="83">
        <v>22715</v>
      </c>
      <c r="I800" s="38" t="str">
        <f>IF(H800&gt;0,COUNTIF($H$16:H800,"&gt;0"),"")</f>
        <v/>
      </c>
    </row>
    <row r="801" spans="1:9" s="56" customFormat="1">
      <c r="A801" s="69" t="s">
        <v>1569</v>
      </c>
      <c r="B801" s="69" t="s">
        <v>1570</v>
      </c>
      <c r="C801" s="69" t="s">
        <v>1571</v>
      </c>
      <c r="D801" s="69">
        <v>6294021906937</v>
      </c>
      <c r="E801" s="69" t="s">
        <v>17</v>
      </c>
      <c r="F801" s="69" t="s">
        <v>14</v>
      </c>
      <c r="G801" s="83">
        <v>19163</v>
      </c>
      <c r="I801" s="38" t="str">
        <f>IF(H801&gt;0,COUNTIF($H$16:H801,"&gt;0"),"")</f>
        <v/>
      </c>
    </row>
    <row r="802" spans="1:9" s="56" customFormat="1">
      <c r="A802" s="69" t="s">
        <v>1569</v>
      </c>
      <c r="B802" s="69" t="s">
        <v>1572</v>
      </c>
      <c r="C802" s="69" t="s">
        <v>1573</v>
      </c>
      <c r="D802" s="69">
        <v>6294021906944</v>
      </c>
      <c r="E802" s="69" t="s">
        <v>42</v>
      </c>
      <c r="F802" s="69" t="s">
        <v>14</v>
      </c>
      <c r="G802" s="83">
        <v>19163</v>
      </c>
      <c r="I802" s="38" t="str">
        <f>IF(H802&gt;0,COUNTIF($H$16:H802,"&gt;0"),"")</f>
        <v/>
      </c>
    </row>
    <row r="803" spans="1:9" s="56" customFormat="1">
      <c r="A803" s="69" t="s">
        <v>1569</v>
      </c>
      <c r="B803" s="69" t="s">
        <v>1574</v>
      </c>
      <c r="C803" s="69" t="s">
        <v>1575</v>
      </c>
      <c r="D803" s="69">
        <v>6294021906951</v>
      </c>
      <c r="E803" s="69" t="s">
        <v>42</v>
      </c>
      <c r="F803" s="69" t="s">
        <v>14</v>
      </c>
      <c r="G803" s="83">
        <v>19163</v>
      </c>
      <c r="I803" s="38" t="str">
        <f>IF(H803&gt;0,COUNTIF($H$16:H803,"&gt;0"),"")</f>
        <v/>
      </c>
    </row>
    <row r="804" spans="1:9" s="56" customFormat="1">
      <c r="A804" s="69" t="s">
        <v>1569</v>
      </c>
      <c r="B804" s="69" t="s">
        <v>1576</v>
      </c>
      <c r="C804" s="69" t="s">
        <v>1577</v>
      </c>
      <c r="D804" s="69">
        <v>6294021907712</v>
      </c>
      <c r="E804" s="69" t="s">
        <v>17</v>
      </c>
      <c r="F804" s="69" t="s">
        <v>14</v>
      </c>
      <c r="G804" s="83">
        <v>27043</v>
      </c>
      <c r="I804" s="38" t="str">
        <f>IF(H804&gt;0,COUNTIF($H$16:H804,"&gt;0"),"")</f>
        <v/>
      </c>
    </row>
    <row r="805" spans="1:9" s="56" customFormat="1">
      <c r="A805" s="69" t="s">
        <v>1569</v>
      </c>
      <c r="B805" s="69" t="s">
        <v>1578</v>
      </c>
      <c r="C805" s="69" t="s">
        <v>1579</v>
      </c>
      <c r="D805" s="69">
        <v>6294021907699</v>
      </c>
      <c r="E805" s="69" t="s">
        <v>13</v>
      </c>
      <c r="F805" s="69" t="s">
        <v>14</v>
      </c>
      <c r="G805" s="83">
        <v>27043</v>
      </c>
      <c r="I805" s="38" t="str">
        <f>IF(H805&gt;0,COUNTIF($H$16:H805,"&gt;0"),"")</f>
        <v/>
      </c>
    </row>
    <row r="806" spans="1:9" s="56" customFormat="1">
      <c r="A806" s="69" t="s">
        <v>1569</v>
      </c>
      <c r="B806" s="69" t="s">
        <v>1580</v>
      </c>
      <c r="C806" s="69" t="s">
        <v>1581</v>
      </c>
      <c r="D806" s="69">
        <v>6294021907705</v>
      </c>
      <c r="E806" s="69" t="s">
        <v>42</v>
      </c>
      <c r="F806" s="69" t="s">
        <v>14</v>
      </c>
      <c r="G806" s="83">
        <v>27043</v>
      </c>
      <c r="I806" s="38" t="str">
        <f>IF(H806&gt;0,COUNTIF($H$16:H806,"&gt;0"),"")</f>
        <v/>
      </c>
    </row>
    <row r="807" spans="1:9" s="56" customFormat="1">
      <c r="A807" s="69" t="s">
        <v>1569</v>
      </c>
      <c r="B807" s="69" t="s">
        <v>1582</v>
      </c>
      <c r="C807" s="69" t="s">
        <v>1583</v>
      </c>
      <c r="D807" s="69">
        <v>6294021907996</v>
      </c>
      <c r="E807" s="69" t="s">
        <v>17</v>
      </c>
      <c r="F807" s="69" t="s">
        <v>14</v>
      </c>
      <c r="G807" s="83">
        <v>21937</v>
      </c>
      <c r="I807" s="38" t="str">
        <f>IF(H807&gt;0,COUNTIF($H$16:H807,"&gt;0"),"")</f>
        <v/>
      </c>
    </row>
    <row r="808" spans="1:9" s="56" customFormat="1">
      <c r="A808" s="69" t="s">
        <v>1569</v>
      </c>
      <c r="B808" s="69" t="s">
        <v>1584</v>
      </c>
      <c r="C808" s="69" t="s">
        <v>1585</v>
      </c>
      <c r="D808" s="69">
        <v>6294021908009</v>
      </c>
      <c r="E808" s="69" t="s">
        <v>17</v>
      </c>
      <c r="F808" s="69" t="s">
        <v>14</v>
      </c>
      <c r="G808" s="83">
        <v>21937</v>
      </c>
      <c r="I808" s="38" t="str">
        <f>IF(H808&gt;0,COUNTIF($H$16:H808,"&gt;0"),"")</f>
        <v/>
      </c>
    </row>
    <row r="809" spans="1:9" s="56" customFormat="1">
      <c r="A809" s="69" t="s">
        <v>1569</v>
      </c>
      <c r="B809" s="69" t="s">
        <v>1586</v>
      </c>
      <c r="C809" s="69" t="s">
        <v>1587</v>
      </c>
      <c r="D809" s="69">
        <v>6294021908016</v>
      </c>
      <c r="E809" s="69" t="s">
        <v>17</v>
      </c>
      <c r="F809" s="69" t="s">
        <v>14</v>
      </c>
      <c r="G809" s="83">
        <v>21937</v>
      </c>
      <c r="I809" s="38" t="str">
        <f>IF(H809&gt;0,COUNTIF($H$16:H809,"&gt;0"),"")</f>
        <v/>
      </c>
    </row>
    <row r="810" spans="1:9" s="56" customFormat="1">
      <c r="A810" s="69" t="s">
        <v>1569</v>
      </c>
      <c r="B810" s="69" t="s">
        <v>1588</v>
      </c>
      <c r="C810" s="69" t="s">
        <v>1589</v>
      </c>
      <c r="D810" s="69">
        <v>6294021907392</v>
      </c>
      <c r="E810" s="69" t="s">
        <v>42</v>
      </c>
      <c r="F810" s="69" t="s">
        <v>14</v>
      </c>
      <c r="G810" s="83">
        <v>22196</v>
      </c>
      <c r="I810" s="38" t="str">
        <f>IF(H810&gt;0,COUNTIF($H$16:H810,"&gt;0"),"")</f>
        <v/>
      </c>
    </row>
    <row r="811" spans="1:9" s="56" customFormat="1">
      <c r="A811" s="69" t="s">
        <v>1569</v>
      </c>
      <c r="B811" s="69" t="s">
        <v>1590</v>
      </c>
      <c r="C811" s="69" t="s">
        <v>1591</v>
      </c>
      <c r="D811" s="69">
        <v>6294021907378</v>
      </c>
      <c r="E811" s="69" t="s">
        <v>42</v>
      </c>
      <c r="F811" s="69" t="s">
        <v>14</v>
      </c>
      <c r="G811" s="83">
        <v>22196</v>
      </c>
      <c r="I811" s="38" t="str">
        <f>IF(H811&gt;0,COUNTIF($H$16:H811,"&gt;0"),"")</f>
        <v/>
      </c>
    </row>
    <row r="812" spans="1:9" s="56" customFormat="1">
      <c r="A812" s="69" t="s">
        <v>1569</v>
      </c>
      <c r="B812" s="69" t="s">
        <v>1592</v>
      </c>
      <c r="C812" s="69" t="s">
        <v>1593</v>
      </c>
      <c r="D812" s="69">
        <v>6294021907385</v>
      </c>
      <c r="E812" s="69" t="s">
        <v>42</v>
      </c>
      <c r="F812" s="69" t="s">
        <v>14</v>
      </c>
      <c r="G812" s="83">
        <v>22196</v>
      </c>
      <c r="I812" s="38" t="str">
        <f>IF(H812&gt;0,COUNTIF($H$16:H812,"&gt;0"),"")</f>
        <v/>
      </c>
    </row>
    <row r="813" spans="1:9" s="56" customFormat="1">
      <c r="A813" s="69" t="s">
        <v>1569</v>
      </c>
      <c r="B813" s="69" t="s">
        <v>1594</v>
      </c>
      <c r="C813" s="69" t="s">
        <v>1595</v>
      </c>
      <c r="D813" s="69">
        <v>6294021907958</v>
      </c>
      <c r="E813" s="69" t="s">
        <v>17</v>
      </c>
      <c r="F813" s="69" t="s">
        <v>14</v>
      </c>
      <c r="G813" s="83">
        <v>27043</v>
      </c>
      <c r="I813" s="38" t="str">
        <f>IF(H813&gt;0,COUNTIF($H$16:H813,"&gt;0"),"")</f>
        <v/>
      </c>
    </row>
    <row r="814" spans="1:9" s="56" customFormat="1">
      <c r="A814" s="69" t="s">
        <v>1569</v>
      </c>
      <c r="B814" s="69" t="s">
        <v>1596</v>
      </c>
      <c r="C814" s="69" t="s">
        <v>1597</v>
      </c>
      <c r="D814" s="69">
        <v>6294021907965</v>
      </c>
      <c r="E814" s="69" t="s">
        <v>17</v>
      </c>
      <c r="F814" s="69" t="s">
        <v>14</v>
      </c>
      <c r="G814" s="83">
        <v>27043</v>
      </c>
      <c r="I814" s="38" t="str">
        <f>IF(H814&gt;0,COUNTIF($H$16:H814,"&gt;0"),"")</f>
        <v/>
      </c>
    </row>
    <row r="815" spans="1:9" s="56" customFormat="1">
      <c r="A815" s="69" t="s">
        <v>1569</v>
      </c>
      <c r="B815" s="69" t="s">
        <v>1598</v>
      </c>
      <c r="C815" s="69" t="s">
        <v>1599</v>
      </c>
      <c r="D815" s="69">
        <v>6294021907941</v>
      </c>
      <c r="E815" s="69" t="s">
        <v>17</v>
      </c>
      <c r="F815" s="69" t="s">
        <v>14</v>
      </c>
      <c r="G815" s="83">
        <v>27043</v>
      </c>
      <c r="I815" s="38" t="str">
        <f>IF(H815&gt;0,COUNTIF($H$16:H815,"&gt;0"),"")</f>
        <v/>
      </c>
    </row>
    <row r="816" spans="1:9" s="56" customFormat="1">
      <c r="A816" s="69" t="s">
        <v>1569</v>
      </c>
      <c r="B816" s="69" t="s">
        <v>1600</v>
      </c>
      <c r="C816" s="69" t="s">
        <v>1601</v>
      </c>
      <c r="D816" s="69">
        <v>6294021905619</v>
      </c>
      <c r="E816" s="69" t="s">
        <v>13</v>
      </c>
      <c r="F816" s="69" t="s">
        <v>14</v>
      </c>
      <c r="G816" s="83">
        <v>18990</v>
      </c>
      <c r="I816" s="38" t="str">
        <f>IF(H816&gt;0,COUNTIF($H$16:H816,"&gt;0"),"")</f>
        <v/>
      </c>
    </row>
    <row r="817" spans="1:9" s="56" customFormat="1">
      <c r="A817" s="69" t="s">
        <v>1569</v>
      </c>
      <c r="B817" s="69" t="s">
        <v>1602</v>
      </c>
      <c r="C817" s="69" t="s">
        <v>1603</v>
      </c>
      <c r="D817" s="69">
        <v>6294021905787</v>
      </c>
      <c r="E817" s="69" t="s">
        <v>17</v>
      </c>
      <c r="F817" s="69" t="s">
        <v>14</v>
      </c>
      <c r="G817" s="83">
        <v>18990</v>
      </c>
      <c r="I817" s="38" t="str">
        <f>IF(H817&gt;0,COUNTIF($H$16:H817,"&gt;0"),"")</f>
        <v/>
      </c>
    </row>
    <row r="818" spans="1:9" s="56" customFormat="1">
      <c r="A818" s="69" t="s">
        <v>1569</v>
      </c>
      <c r="B818" s="69" t="s">
        <v>1604</v>
      </c>
      <c r="C818" s="69" t="s">
        <v>1605</v>
      </c>
      <c r="D818" s="69">
        <v>6294021905626</v>
      </c>
      <c r="E818" s="69" t="s">
        <v>42</v>
      </c>
      <c r="F818" s="69" t="s">
        <v>14</v>
      </c>
      <c r="G818" s="83">
        <v>18990</v>
      </c>
      <c r="I818" s="38" t="str">
        <f>IF(H818&gt;0,COUNTIF($H$16:H818,"&gt;0"),"")</f>
        <v/>
      </c>
    </row>
    <row r="819" spans="1:9" s="56" customFormat="1">
      <c r="A819" s="69" t="s">
        <v>1569</v>
      </c>
      <c r="B819" s="69" t="s">
        <v>1606</v>
      </c>
      <c r="C819" s="69" t="s">
        <v>1607</v>
      </c>
      <c r="D819" s="69">
        <v>6294021905633</v>
      </c>
      <c r="E819" s="69" t="s">
        <v>13</v>
      </c>
      <c r="F819" s="69" t="s">
        <v>14</v>
      </c>
      <c r="G819" s="83">
        <v>18990</v>
      </c>
      <c r="I819" s="38" t="str">
        <f>IF(H819&gt;0,COUNTIF($H$16:H819,"&gt;0"),"")</f>
        <v/>
      </c>
    </row>
    <row r="820" spans="1:9" s="56" customFormat="1">
      <c r="A820" s="69" t="s">
        <v>1569</v>
      </c>
      <c r="B820" s="69" t="s">
        <v>1608</v>
      </c>
      <c r="C820" s="69" t="s">
        <v>1609</v>
      </c>
      <c r="D820" s="69">
        <v>6294021905602</v>
      </c>
      <c r="E820" s="69" t="s">
        <v>42</v>
      </c>
      <c r="F820" s="69" t="s">
        <v>14</v>
      </c>
      <c r="G820" s="83">
        <v>18990</v>
      </c>
      <c r="I820" s="38" t="str">
        <f>IF(H820&gt;0,COUNTIF($H$16:H820,"&gt;0"),"")</f>
        <v/>
      </c>
    </row>
    <row r="821" spans="1:9" s="56" customFormat="1">
      <c r="A821" s="69" t="s">
        <v>1569</v>
      </c>
      <c r="B821" s="69" t="s">
        <v>1610</v>
      </c>
      <c r="C821" s="69" t="s">
        <v>1611</v>
      </c>
      <c r="D821" s="69">
        <v>6294021905794</v>
      </c>
      <c r="E821" s="69" t="s">
        <v>42</v>
      </c>
      <c r="F821" s="69" t="s">
        <v>14</v>
      </c>
      <c r="G821" s="83">
        <v>18990</v>
      </c>
      <c r="I821" s="38" t="str">
        <f>IF(H821&gt;0,COUNTIF($H$16:H821,"&gt;0"),"")</f>
        <v/>
      </c>
    </row>
    <row r="822" spans="1:9" s="56" customFormat="1">
      <c r="A822" s="69" t="s">
        <v>1569</v>
      </c>
      <c r="B822" s="69" t="s">
        <v>1612</v>
      </c>
      <c r="C822" s="69" t="s">
        <v>1613</v>
      </c>
      <c r="D822" s="69">
        <v>6294021908191</v>
      </c>
      <c r="E822" s="69" t="s">
        <v>17</v>
      </c>
      <c r="F822" s="69" t="s">
        <v>14</v>
      </c>
      <c r="G822" s="83">
        <v>22196</v>
      </c>
      <c r="I822" s="38" t="str">
        <f>IF(H822&gt;0,COUNTIF($H$16:H822,"&gt;0"),"")</f>
        <v/>
      </c>
    </row>
    <row r="823" spans="1:9" s="56" customFormat="1">
      <c r="A823" s="69" t="s">
        <v>1569</v>
      </c>
      <c r="B823" s="69" t="s">
        <v>1614</v>
      </c>
      <c r="C823" s="69" t="s">
        <v>1615</v>
      </c>
      <c r="D823" s="69">
        <v>6294021908184</v>
      </c>
      <c r="E823" s="69" t="s">
        <v>17</v>
      </c>
      <c r="F823" s="69" t="s">
        <v>14</v>
      </c>
      <c r="G823" s="83">
        <v>22196</v>
      </c>
      <c r="I823" s="38" t="str">
        <f>IF(H823&gt;0,COUNTIF($H$16:H823,"&gt;0"),"")</f>
        <v/>
      </c>
    </row>
    <row r="824" spans="1:9" s="56" customFormat="1" ht="30">
      <c r="A824" s="69" t="s">
        <v>1569</v>
      </c>
      <c r="B824" s="69" t="s">
        <v>1616</v>
      </c>
      <c r="C824" s="69" t="s">
        <v>1617</v>
      </c>
      <c r="D824" s="69">
        <v>6294021906913</v>
      </c>
      <c r="E824" s="69" t="s">
        <v>42</v>
      </c>
      <c r="F824" s="69" t="s">
        <v>69</v>
      </c>
      <c r="G824" s="83">
        <v>20375</v>
      </c>
      <c r="I824" s="38" t="str">
        <f>IF(H824&gt;0,COUNTIF($H$16:H824,"&gt;0"),"")</f>
        <v/>
      </c>
    </row>
    <row r="825" spans="1:9" s="56" customFormat="1" ht="30">
      <c r="A825" s="69" t="s">
        <v>1569</v>
      </c>
      <c r="B825" s="69" t="s">
        <v>1618</v>
      </c>
      <c r="C825" s="69" t="s">
        <v>1619</v>
      </c>
      <c r="D825" s="69">
        <v>6294021906890</v>
      </c>
      <c r="E825" s="69" t="s">
        <v>42</v>
      </c>
      <c r="F825" s="69" t="s">
        <v>69</v>
      </c>
      <c r="G825" s="83">
        <v>20375</v>
      </c>
      <c r="I825" s="38" t="str">
        <f>IF(H825&gt;0,COUNTIF($H$16:H825,"&gt;0"),"")</f>
        <v/>
      </c>
    </row>
    <row r="826" spans="1:9" s="56" customFormat="1" ht="30">
      <c r="A826" s="69" t="s">
        <v>1569</v>
      </c>
      <c r="B826" s="69" t="s">
        <v>1620</v>
      </c>
      <c r="C826" s="69" t="s">
        <v>1621</v>
      </c>
      <c r="D826" s="69">
        <v>6294021906906</v>
      </c>
      <c r="E826" s="69" t="s">
        <v>42</v>
      </c>
      <c r="F826" s="69" t="s">
        <v>69</v>
      </c>
      <c r="G826" s="83">
        <v>20375</v>
      </c>
      <c r="I826" s="38" t="str">
        <f>IF(H826&gt;0,COUNTIF($H$16:H826,"&gt;0"),"")</f>
        <v/>
      </c>
    </row>
    <row r="827" spans="1:9" s="56" customFormat="1">
      <c r="A827" s="69" t="s">
        <v>1569</v>
      </c>
      <c r="B827" s="69" t="s">
        <v>1622</v>
      </c>
      <c r="C827" s="69" t="s">
        <v>1623</v>
      </c>
      <c r="D827" s="69">
        <v>6294021906920</v>
      </c>
      <c r="E827" s="69" t="s">
        <v>42</v>
      </c>
      <c r="F827" s="69" t="s">
        <v>69</v>
      </c>
      <c r="G827" s="83">
        <v>20375</v>
      </c>
      <c r="I827" s="38" t="str">
        <f>IF(H827&gt;0,COUNTIF($H$16:H827,"&gt;0"),"")</f>
        <v/>
      </c>
    </row>
    <row r="828" spans="1:9" s="56" customFormat="1">
      <c r="A828" s="69" t="s">
        <v>1624</v>
      </c>
      <c r="B828" s="69" t="s">
        <v>1625</v>
      </c>
      <c r="C828" s="69" t="s">
        <v>1626</v>
      </c>
      <c r="D828" s="69">
        <v>98691037900</v>
      </c>
      <c r="E828" s="69" t="s">
        <v>42</v>
      </c>
      <c r="F828" s="69" t="s">
        <v>14</v>
      </c>
      <c r="G828" s="83">
        <v>6699</v>
      </c>
      <c r="I828" s="38" t="str">
        <f>IF(H828&gt;0,COUNTIF($H$16:H828,"&gt;0"),"")</f>
        <v/>
      </c>
    </row>
    <row r="829" spans="1:9" s="56" customFormat="1">
      <c r="A829" s="69" t="s">
        <v>1627</v>
      </c>
      <c r="B829" s="69" t="s">
        <v>1628</v>
      </c>
      <c r="C829" s="69" t="s">
        <v>1629</v>
      </c>
      <c r="D829" s="69">
        <v>8426017080651</v>
      </c>
      <c r="E829" s="69" t="s">
        <v>17</v>
      </c>
      <c r="F829" s="69" t="s">
        <v>14</v>
      </c>
      <c r="G829" s="83">
        <v>160662</v>
      </c>
      <c r="I829" s="38" t="str">
        <f>IF(H829&gt;0,COUNTIF($H$16:H829,"&gt;0"),"")</f>
        <v/>
      </c>
    </row>
    <row r="830" spans="1:9" s="56" customFormat="1">
      <c r="A830" s="69" t="s">
        <v>1627</v>
      </c>
      <c r="B830" s="69" t="s">
        <v>1630</v>
      </c>
      <c r="C830" s="69" t="s">
        <v>1631</v>
      </c>
      <c r="D830" s="69">
        <v>8426017066846</v>
      </c>
      <c r="E830" s="69" t="s">
        <v>13</v>
      </c>
      <c r="F830" s="69" t="s">
        <v>14</v>
      </c>
      <c r="G830" s="83">
        <v>58355</v>
      </c>
      <c r="I830" s="38" t="str">
        <f>IF(H830&gt;0,COUNTIF($H$16:H830,"&gt;0"),"")</f>
        <v/>
      </c>
    </row>
    <row r="831" spans="1:9" s="56" customFormat="1">
      <c r="A831" s="69" t="s">
        <v>1627</v>
      </c>
      <c r="B831" s="69" t="s">
        <v>1632</v>
      </c>
      <c r="C831" s="69" t="s">
        <v>1633</v>
      </c>
      <c r="D831" s="69">
        <v>8426017070478</v>
      </c>
      <c r="E831" s="69" t="s">
        <v>13</v>
      </c>
      <c r="F831" s="69" t="s">
        <v>14</v>
      </c>
      <c r="G831" s="83">
        <v>91245</v>
      </c>
      <c r="I831" s="38" t="str">
        <f>IF(H831&gt;0,COUNTIF($H$16:H831,"&gt;0"),"")</f>
        <v/>
      </c>
    </row>
    <row r="832" spans="1:9" s="56" customFormat="1">
      <c r="A832" s="69" t="s">
        <v>1627</v>
      </c>
      <c r="B832" s="69" t="s">
        <v>1634</v>
      </c>
      <c r="C832" s="69" t="s">
        <v>1635</v>
      </c>
      <c r="D832" s="69">
        <v>8426017068482</v>
      </c>
      <c r="E832" s="69" t="s">
        <v>42</v>
      </c>
      <c r="F832" s="69" t="s">
        <v>14</v>
      </c>
      <c r="G832" s="83">
        <v>101458</v>
      </c>
      <c r="I832" s="38" t="str">
        <f>IF(H832&gt;0,COUNTIF($H$16:H832,"&gt;0"),"")</f>
        <v/>
      </c>
    </row>
    <row r="833" spans="1:9" s="56" customFormat="1">
      <c r="A833" s="69" t="s">
        <v>1636</v>
      </c>
      <c r="B833" s="69" t="s">
        <v>1637</v>
      </c>
      <c r="C833" s="69" t="s">
        <v>1638</v>
      </c>
      <c r="D833" s="69">
        <v>8050628980156</v>
      </c>
      <c r="E833" s="69" t="s">
        <v>17</v>
      </c>
      <c r="F833" s="69" t="s">
        <v>14</v>
      </c>
      <c r="G833" s="83">
        <v>173645</v>
      </c>
      <c r="I833" s="38" t="str">
        <f>IF(H833&gt;0,COUNTIF($H$16:H833,"&gt;0"),"")</f>
        <v/>
      </c>
    </row>
    <row r="834" spans="1:9" s="56" customFormat="1">
      <c r="A834" s="69" t="s">
        <v>1636</v>
      </c>
      <c r="B834" s="69" t="s">
        <v>1639</v>
      </c>
      <c r="C834" s="69" t="s">
        <v>1640</v>
      </c>
      <c r="D834" s="69">
        <v>8050628980101</v>
      </c>
      <c r="E834" s="69" t="s">
        <v>17</v>
      </c>
      <c r="F834" s="69" t="s">
        <v>14</v>
      </c>
      <c r="G834" s="83">
        <v>173645</v>
      </c>
      <c r="I834" s="38" t="str">
        <f>IF(H834&gt;0,COUNTIF($H$16:H834,"&gt;0"),"")</f>
        <v/>
      </c>
    </row>
    <row r="835" spans="1:9" s="56" customFormat="1">
      <c r="A835" s="69" t="s">
        <v>1636</v>
      </c>
      <c r="B835" s="69" t="s">
        <v>1641</v>
      </c>
      <c r="C835" s="69" t="s">
        <v>1642</v>
      </c>
      <c r="D835" s="69">
        <v>8050628980590</v>
      </c>
      <c r="E835" s="69" t="s">
        <v>17</v>
      </c>
      <c r="F835" s="69" t="s">
        <v>14</v>
      </c>
      <c r="G835" s="83">
        <v>173645</v>
      </c>
      <c r="I835" s="38" t="str">
        <f>IF(H835&gt;0,COUNTIF($H$16:H835,"&gt;0"),"")</f>
        <v/>
      </c>
    </row>
    <row r="836" spans="1:9" s="56" customFormat="1">
      <c r="A836" s="69" t="s">
        <v>1636</v>
      </c>
      <c r="B836" s="69" t="s">
        <v>1643</v>
      </c>
      <c r="C836" s="69" t="s">
        <v>1644</v>
      </c>
      <c r="D836" s="69">
        <v>8050628980583</v>
      </c>
      <c r="E836" s="69" t="s">
        <v>17</v>
      </c>
      <c r="F836" s="69" t="s">
        <v>14</v>
      </c>
      <c r="G836" s="83">
        <v>173645</v>
      </c>
      <c r="I836" s="38" t="str">
        <f>IF(H836&gt;0,COUNTIF($H$16:H836,"&gt;0"),"")</f>
        <v/>
      </c>
    </row>
    <row r="837" spans="1:9" s="56" customFormat="1">
      <c r="A837" s="69" t="s">
        <v>1636</v>
      </c>
      <c r="B837" s="69" t="s">
        <v>1645</v>
      </c>
      <c r="C837" s="69" t="s">
        <v>1646</v>
      </c>
      <c r="D837" s="69">
        <v>8050628980248</v>
      </c>
      <c r="E837" s="69" t="s">
        <v>17</v>
      </c>
      <c r="F837" s="69" t="s">
        <v>14</v>
      </c>
      <c r="G837" s="83">
        <v>173645</v>
      </c>
      <c r="I837" s="38" t="str">
        <f>IF(H837&gt;0,COUNTIF($H$16:H837,"&gt;0"),"")</f>
        <v/>
      </c>
    </row>
    <row r="838" spans="1:9" s="56" customFormat="1">
      <c r="A838" s="69" t="s">
        <v>1636</v>
      </c>
      <c r="B838" s="69" t="s">
        <v>1647</v>
      </c>
      <c r="C838" s="69" t="s">
        <v>1648</v>
      </c>
      <c r="D838" s="69">
        <v>8050628980514</v>
      </c>
      <c r="E838" s="69" t="s">
        <v>17</v>
      </c>
      <c r="F838" s="69" t="s">
        <v>14</v>
      </c>
      <c r="G838" s="83">
        <v>173645</v>
      </c>
      <c r="I838" s="38" t="str">
        <f>IF(H838&gt;0,COUNTIF($H$16:H838,"&gt;0"),"")</f>
        <v/>
      </c>
    </row>
    <row r="839" spans="1:9" s="56" customFormat="1">
      <c r="A839" s="69" t="s">
        <v>1636</v>
      </c>
      <c r="B839" s="69" t="s">
        <v>1649</v>
      </c>
      <c r="C839" s="69" t="s">
        <v>1650</v>
      </c>
      <c r="D839" s="69">
        <v>8050628980224</v>
      </c>
      <c r="E839" s="69" t="s">
        <v>17</v>
      </c>
      <c r="F839" s="69" t="s">
        <v>14</v>
      </c>
      <c r="G839" s="83">
        <v>173645</v>
      </c>
      <c r="I839" s="38" t="str">
        <f>IF(H839&gt;0,COUNTIF($H$16:H839,"&gt;0"),"")</f>
        <v/>
      </c>
    </row>
    <row r="840" spans="1:9" s="56" customFormat="1">
      <c r="A840" s="69" t="s">
        <v>1651</v>
      </c>
      <c r="B840" s="69" t="s">
        <v>1652</v>
      </c>
      <c r="C840" s="69" t="s">
        <v>1653</v>
      </c>
      <c r="D840" s="69">
        <v>6290360596990</v>
      </c>
      <c r="E840" s="69" t="s">
        <v>42</v>
      </c>
      <c r="F840" s="69" t="s">
        <v>14</v>
      </c>
      <c r="G840" s="83">
        <v>8777</v>
      </c>
      <c r="I840" s="38" t="str">
        <f>IF(H840&gt;0,COUNTIF($H$16:H840,"&gt;0"),"")</f>
        <v/>
      </c>
    </row>
    <row r="841" spans="1:9" s="56" customFormat="1">
      <c r="A841" s="69" t="s">
        <v>1651</v>
      </c>
      <c r="B841" s="69" t="s">
        <v>1654</v>
      </c>
      <c r="C841" s="69" t="s">
        <v>1655</v>
      </c>
      <c r="D841" s="69">
        <v>6290360597003</v>
      </c>
      <c r="E841" s="69" t="s">
        <v>42</v>
      </c>
      <c r="F841" s="69" t="s">
        <v>14</v>
      </c>
      <c r="G841" s="83">
        <v>8777</v>
      </c>
      <c r="I841" s="38" t="str">
        <f>IF(H841&gt;0,COUNTIF($H$16:H841,"&gt;0"),"")</f>
        <v/>
      </c>
    </row>
    <row r="842" spans="1:9" s="56" customFormat="1">
      <c r="A842" s="69" t="s">
        <v>1651</v>
      </c>
      <c r="B842" s="69" t="s">
        <v>1656</v>
      </c>
      <c r="C842" s="69" t="s">
        <v>1657</v>
      </c>
      <c r="D842" s="69">
        <v>6290360590677</v>
      </c>
      <c r="E842" s="69" t="s">
        <v>13</v>
      </c>
      <c r="F842" s="69" t="s">
        <v>14</v>
      </c>
      <c r="G842" s="83">
        <v>13537</v>
      </c>
      <c r="I842" s="38" t="str">
        <f>IF(H842&gt;0,COUNTIF($H$16:H842,"&gt;0"),"")</f>
        <v/>
      </c>
    </row>
    <row r="843" spans="1:9" s="56" customFormat="1">
      <c r="A843" s="69" t="s">
        <v>1651</v>
      </c>
      <c r="B843" s="69" t="s">
        <v>1658</v>
      </c>
      <c r="C843" s="69" t="s">
        <v>1659</v>
      </c>
      <c r="D843" s="69">
        <v>6290360597010</v>
      </c>
      <c r="E843" s="69" t="s">
        <v>42</v>
      </c>
      <c r="F843" s="69" t="s">
        <v>14</v>
      </c>
      <c r="G843" s="83">
        <v>8777</v>
      </c>
      <c r="I843" s="38" t="str">
        <f>IF(H843&gt;0,COUNTIF($H$16:H843,"&gt;0"),"")</f>
        <v/>
      </c>
    </row>
    <row r="844" spans="1:9" s="56" customFormat="1">
      <c r="A844" s="69" t="s">
        <v>1651</v>
      </c>
      <c r="B844" s="69" t="s">
        <v>1660</v>
      </c>
      <c r="C844" s="69" t="s">
        <v>1661</v>
      </c>
      <c r="D844" s="69">
        <v>6290362344964</v>
      </c>
      <c r="E844" s="69" t="s">
        <v>17</v>
      </c>
      <c r="F844" s="69" t="s">
        <v>14</v>
      </c>
      <c r="G844" s="83">
        <v>11287</v>
      </c>
      <c r="I844" s="38" t="str">
        <f>IF(H844&gt;0,COUNTIF($H$16:H844,"&gt;0"),"")</f>
        <v/>
      </c>
    </row>
    <row r="845" spans="1:9" s="56" customFormat="1">
      <c r="A845" s="69" t="s">
        <v>1651</v>
      </c>
      <c r="B845" s="69" t="s">
        <v>1662</v>
      </c>
      <c r="C845" s="69" t="s">
        <v>1663</v>
      </c>
      <c r="D845" s="69">
        <v>6290362348283</v>
      </c>
      <c r="E845" s="69" t="s">
        <v>13</v>
      </c>
      <c r="F845" s="69" t="s">
        <v>14</v>
      </c>
      <c r="G845" s="83">
        <v>9988</v>
      </c>
      <c r="I845" s="38" t="str">
        <f>IF(H845&gt;0,COUNTIF($H$16:H845,"&gt;0"),"")</f>
        <v/>
      </c>
    </row>
    <row r="846" spans="1:9" s="56" customFormat="1">
      <c r="A846" s="69" t="s">
        <v>1651</v>
      </c>
      <c r="B846" s="69" t="s">
        <v>1664</v>
      </c>
      <c r="C846" s="69" t="s">
        <v>1665</v>
      </c>
      <c r="D846" s="69">
        <v>6290362344285</v>
      </c>
      <c r="E846" s="69" t="s">
        <v>17</v>
      </c>
      <c r="F846" s="69" t="s">
        <v>14</v>
      </c>
      <c r="G846" s="83">
        <v>8863</v>
      </c>
      <c r="I846" s="38" t="str">
        <f>IF(H846&gt;0,COUNTIF($H$16:H846,"&gt;0"),"")</f>
        <v/>
      </c>
    </row>
    <row r="847" spans="1:9" s="56" customFormat="1">
      <c r="A847" s="69" t="s">
        <v>1651</v>
      </c>
      <c r="B847" s="69" t="s">
        <v>1666</v>
      </c>
      <c r="C847" s="69" t="s">
        <v>1667</v>
      </c>
      <c r="D847" s="69">
        <v>6290362344278</v>
      </c>
      <c r="E847" s="69" t="s">
        <v>42</v>
      </c>
      <c r="F847" s="69" t="s">
        <v>14</v>
      </c>
      <c r="G847" s="83">
        <v>8777</v>
      </c>
      <c r="I847" s="38" t="str">
        <f>IF(H847&gt;0,COUNTIF($H$16:H847,"&gt;0"),"")</f>
        <v/>
      </c>
    </row>
    <row r="848" spans="1:9" s="56" customFormat="1">
      <c r="A848" s="69" t="s">
        <v>1651</v>
      </c>
      <c r="B848" s="69" t="s">
        <v>1668</v>
      </c>
      <c r="C848" s="69" t="s">
        <v>1669</v>
      </c>
      <c r="D848" s="69">
        <v>6290362344292</v>
      </c>
      <c r="E848" s="69" t="s">
        <v>42</v>
      </c>
      <c r="F848" s="69" t="s">
        <v>14</v>
      </c>
      <c r="G848" s="83">
        <v>8777</v>
      </c>
      <c r="I848" s="38" t="str">
        <f>IF(H848&gt;0,COUNTIF($H$16:H848,"&gt;0"),"")</f>
        <v/>
      </c>
    </row>
    <row r="849" spans="1:9" s="56" customFormat="1">
      <c r="A849" s="69" t="s">
        <v>1651</v>
      </c>
      <c r="B849" s="69" t="s">
        <v>1670</v>
      </c>
      <c r="C849" s="69" t="s">
        <v>1671</v>
      </c>
      <c r="D849" s="69">
        <v>6291108735886</v>
      </c>
      <c r="E849" s="69" t="s">
        <v>13</v>
      </c>
      <c r="F849" s="69" t="s">
        <v>14</v>
      </c>
      <c r="G849" s="83">
        <v>12932</v>
      </c>
      <c r="I849" s="38" t="str">
        <f>IF(H849&gt;0,COUNTIF($H$16:H849,"&gt;0"),"")</f>
        <v/>
      </c>
    </row>
    <row r="850" spans="1:9" s="56" customFormat="1">
      <c r="A850" s="69" t="s">
        <v>1651</v>
      </c>
      <c r="B850" s="69" t="s">
        <v>1672</v>
      </c>
      <c r="C850" s="69" t="s">
        <v>1673</v>
      </c>
      <c r="D850" s="69">
        <v>6291108735787</v>
      </c>
      <c r="E850" s="69" t="s">
        <v>17</v>
      </c>
      <c r="F850" s="69" t="s">
        <v>14</v>
      </c>
      <c r="G850" s="83">
        <v>13278</v>
      </c>
      <c r="I850" s="38" t="str">
        <f>IF(H850&gt;0,COUNTIF($H$16:H850,"&gt;0"),"")</f>
        <v/>
      </c>
    </row>
    <row r="851" spans="1:9" s="56" customFormat="1">
      <c r="A851" s="69" t="s">
        <v>1651</v>
      </c>
      <c r="B851" s="69" t="s">
        <v>1674</v>
      </c>
      <c r="C851" s="69" t="s">
        <v>1675</v>
      </c>
      <c r="D851" s="69">
        <v>6290360599236</v>
      </c>
      <c r="E851" s="69" t="s">
        <v>42</v>
      </c>
      <c r="F851" s="69" t="s">
        <v>14</v>
      </c>
      <c r="G851" s="83">
        <v>12845</v>
      </c>
      <c r="I851" s="38" t="str">
        <f>IF(H851&gt;0,COUNTIF($H$16:H851,"&gt;0"),"")</f>
        <v/>
      </c>
    </row>
    <row r="852" spans="1:9" s="56" customFormat="1">
      <c r="A852" s="69" t="s">
        <v>1651</v>
      </c>
      <c r="B852" s="69" t="s">
        <v>1676</v>
      </c>
      <c r="C852" s="69" t="s">
        <v>1677</v>
      </c>
      <c r="D852" s="69">
        <v>6291108737057</v>
      </c>
      <c r="E852" s="69" t="s">
        <v>17</v>
      </c>
      <c r="F852" s="69" t="s">
        <v>14</v>
      </c>
      <c r="G852" s="83">
        <v>12498</v>
      </c>
      <c r="I852" s="38" t="str">
        <f>IF(H852&gt;0,COUNTIF($H$16:H852,"&gt;0"),"")</f>
        <v/>
      </c>
    </row>
    <row r="853" spans="1:9" s="56" customFormat="1">
      <c r="A853" s="69" t="s">
        <v>1651</v>
      </c>
      <c r="B853" s="69" t="s">
        <v>1678</v>
      </c>
      <c r="C853" s="69" t="s">
        <v>1679</v>
      </c>
      <c r="D853" s="69">
        <v>6290360590820</v>
      </c>
      <c r="E853" s="69" t="s">
        <v>13</v>
      </c>
      <c r="F853" s="69" t="s">
        <v>14</v>
      </c>
      <c r="G853" s="83">
        <v>11114</v>
      </c>
      <c r="I853" s="38" t="str">
        <f>IF(H853&gt;0,COUNTIF($H$16:H853,"&gt;0"),"")</f>
        <v/>
      </c>
    </row>
    <row r="854" spans="1:9" s="56" customFormat="1">
      <c r="A854" s="69" t="s">
        <v>1651</v>
      </c>
      <c r="B854" s="69" t="s">
        <v>1680</v>
      </c>
      <c r="C854" s="69" t="s">
        <v>1681</v>
      </c>
      <c r="D854" s="69">
        <v>6290360590684</v>
      </c>
      <c r="E854" s="69" t="s">
        <v>17</v>
      </c>
      <c r="F854" s="69" t="s">
        <v>14</v>
      </c>
      <c r="G854" s="83">
        <v>14229</v>
      </c>
      <c r="I854" s="38" t="str">
        <f>IF(H854&gt;0,COUNTIF($H$16:H854,"&gt;0"),"")</f>
        <v/>
      </c>
    </row>
    <row r="855" spans="1:9" s="56" customFormat="1">
      <c r="A855" s="69" t="s">
        <v>1651</v>
      </c>
      <c r="B855" s="69" t="s">
        <v>1682</v>
      </c>
      <c r="C855" s="69" t="s">
        <v>1683</v>
      </c>
      <c r="D855" s="69">
        <v>6291108735497</v>
      </c>
      <c r="E855" s="69" t="s">
        <v>17</v>
      </c>
      <c r="F855" s="69" t="s">
        <v>14</v>
      </c>
      <c r="G855" s="83">
        <v>16480</v>
      </c>
      <c r="I855" s="38" t="str">
        <f>IF(H855&gt;0,COUNTIF($H$16:H855,"&gt;0"),"")</f>
        <v/>
      </c>
    </row>
    <row r="856" spans="1:9" s="56" customFormat="1">
      <c r="A856" s="69" t="s">
        <v>1651</v>
      </c>
      <c r="B856" s="69" t="s">
        <v>1684</v>
      </c>
      <c r="C856" s="69" t="s">
        <v>1685</v>
      </c>
      <c r="D856" s="69">
        <v>6290362340546</v>
      </c>
      <c r="E856" s="69" t="s">
        <v>17</v>
      </c>
      <c r="F856" s="69" t="s">
        <v>14</v>
      </c>
      <c r="G856" s="83">
        <v>15615</v>
      </c>
      <c r="I856" s="38" t="str">
        <f>IF(H856&gt;0,COUNTIF($H$16:H856,"&gt;0"),"")</f>
        <v/>
      </c>
    </row>
    <row r="857" spans="1:9" s="56" customFormat="1">
      <c r="A857" s="69" t="s">
        <v>1651</v>
      </c>
      <c r="B857" s="69" t="s">
        <v>1686</v>
      </c>
      <c r="C857" s="69" t="s">
        <v>1687</v>
      </c>
      <c r="D857" s="69">
        <v>6291108735558</v>
      </c>
      <c r="E857" s="69" t="s">
        <v>17</v>
      </c>
      <c r="F857" s="69" t="s">
        <v>14</v>
      </c>
      <c r="G857" s="83">
        <v>13970</v>
      </c>
      <c r="I857" s="38" t="str">
        <f>IF(H857&gt;0,COUNTIF($H$16:H857,"&gt;0"),"")</f>
        <v/>
      </c>
    </row>
    <row r="858" spans="1:9" s="56" customFormat="1">
      <c r="A858" s="69" t="s">
        <v>1651</v>
      </c>
      <c r="B858" s="69" t="s">
        <v>1688</v>
      </c>
      <c r="C858" s="69" t="s">
        <v>1689</v>
      </c>
      <c r="D858" s="69">
        <v>6291107459141</v>
      </c>
      <c r="E858" s="69" t="s">
        <v>17</v>
      </c>
      <c r="F858" s="69" t="s">
        <v>14</v>
      </c>
      <c r="G858" s="83">
        <v>11287</v>
      </c>
      <c r="I858" s="38" t="str">
        <f>IF(H858&gt;0,COUNTIF($H$16:H858,"&gt;0"),"")</f>
        <v/>
      </c>
    </row>
    <row r="859" spans="1:9" s="56" customFormat="1">
      <c r="A859" s="69" t="s">
        <v>1651</v>
      </c>
      <c r="B859" s="69" t="s">
        <v>1690</v>
      </c>
      <c r="C859" s="69" t="s">
        <v>1691</v>
      </c>
      <c r="D859" s="69">
        <v>6291108736067</v>
      </c>
      <c r="E859" s="69" t="s">
        <v>17</v>
      </c>
      <c r="F859" s="69" t="s">
        <v>14</v>
      </c>
      <c r="G859" s="83">
        <v>11287</v>
      </c>
      <c r="I859" s="38" t="str">
        <f>IF(H859&gt;0,COUNTIF($H$16:H859,"&gt;0"),"")</f>
        <v/>
      </c>
    </row>
    <row r="860" spans="1:9" s="56" customFormat="1">
      <c r="A860" s="69" t="s">
        <v>1651</v>
      </c>
      <c r="B860" s="69" t="s">
        <v>1692</v>
      </c>
      <c r="C860" s="69" t="s">
        <v>1693</v>
      </c>
      <c r="D860" s="69">
        <v>6291108735480</v>
      </c>
      <c r="E860" s="69" t="s">
        <v>17</v>
      </c>
      <c r="F860" s="69" t="s">
        <v>14</v>
      </c>
      <c r="G860" s="83">
        <v>18558</v>
      </c>
      <c r="I860" s="38" t="str">
        <f>IF(H860&gt;0,COUNTIF($H$16:H860,"&gt;0"),"")</f>
        <v/>
      </c>
    </row>
    <row r="861" spans="1:9" s="56" customFormat="1">
      <c r="A861" s="69" t="s">
        <v>1651</v>
      </c>
      <c r="B861" s="69" t="s">
        <v>1694</v>
      </c>
      <c r="C861" s="69" t="s">
        <v>1695</v>
      </c>
      <c r="D861" s="69">
        <v>6290360590790</v>
      </c>
      <c r="E861" s="69" t="s">
        <v>17</v>
      </c>
      <c r="F861" s="69" t="s">
        <v>14</v>
      </c>
      <c r="G861" s="83">
        <v>12585</v>
      </c>
      <c r="I861" s="38" t="str">
        <f>IF(H861&gt;0,COUNTIF($H$16:H861,"&gt;0"),"")</f>
        <v/>
      </c>
    </row>
    <row r="862" spans="1:9" s="56" customFormat="1">
      <c r="A862" s="69" t="s">
        <v>1651</v>
      </c>
      <c r="B862" s="69" t="s">
        <v>1696</v>
      </c>
      <c r="C862" s="69" t="s">
        <v>1697</v>
      </c>
      <c r="D862" s="69">
        <v>6290360599182</v>
      </c>
      <c r="E862" s="69" t="s">
        <v>17</v>
      </c>
      <c r="F862" s="69" t="s">
        <v>14</v>
      </c>
      <c r="G862" s="83">
        <v>13970</v>
      </c>
      <c r="I862" s="38" t="str">
        <f>IF(H862&gt;0,COUNTIF($H$16:H862,"&gt;0"),"")</f>
        <v/>
      </c>
    </row>
    <row r="863" spans="1:9" s="56" customFormat="1">
      <c r="A863" s="69" t="s">
        <v>1651</v>
      </c>
      <c r="B863" s="69" t="s">
        <v>1698</v>
      </c>
      <c r="C863" s="69" t="s">
        <v>1699</v>
      </c>
      <c r="D863" s="69">
        <v>6291108736999</v>
      </c>
      <c r="E863" s="69" t="s">
        <v>42</v>
      </c>
      <c r="F863" s="69" t="s">
        <v>14</v>
      </c>
      <c r="G863" s="83">
        <v>11373</v>
      </c>
      <c r="I863" s="38" t="str">
        <f>IF(H863&gt;0,COUNTIF($H$16:H863,"&gt;0"),"")</f>
        <v/>
      </c>
    </row>
    <row r="864" spans="1:9" s="56" customFormat="1">
      <c r="A864" s="69" t="s">
        <v>1651</v>
      </c>
      <c r="B864" s="69" t="s">
        <v>1700</v>
      </c>
      <c r="C864" s="69" t="s">
        <v>1701</v>
      </c>
      <c r="D864" s="69">
        <v>6290360596440</v>
      </c>
      <c r="E864" s="69" t="s">
        <v>17</v>
      </c>
      <c r="F864" s="69" t="s">
        <v>14</v>
      </c>
      <c r="G864" s="83">
        <v>7738</v>
      </c>
      <c r="I864" s="38" t="str">
        <f>IF(H864&gt;0,COUNTIF($H$16:H864,"&gt;0"),"")</f>
        <v/>
      </c>
    </row>
    <row r="865" spans="1:9" s="56" customFormat="1">
      <c r="A865" s="69" t="s">
        <v>1651</v>
      </c>
      <c r="B865" s="69" t="s">
        <v>1702</v>
      </c>
      <c r="C865" s="69" t="s">
        <v>1703</v>
      </c>
      <c r="D865" s="69">
        <v>6291108735763</v>
      </c>
      <c r="E865" s="69" t="s">
        <v>17</v>
      </c>
      <c r="F865" s="69" t="s">
        <v>14</v>
      </c>
      <c r="G865" s="83">
        <v>14402</v>
      </c>
      <c r="I865" s="38" t="str">
        <f>IF(H865&gt;0,COUNTIF($H$16:H865,"&gt;0"),"")</f>
        <v/>
      </c>
    </row>
    <row r="866" spans="1:9" s="56" customFormat="1">
      <c r="A866" s="69" t="s">
        <v>1651</v>
      </c>
      <c r="B866" s="69" t="s">
        <v>1704</v>
      </c>
      <c r="C866" s="69" t="s">
        <v>1705</v>
      </c>
      <c r="D866" s="69">
        <v>6291107459325</v>
      </c>
      <c r="E866" s="69" t="s">
        <v>42</v>
      </c>
      <c r="F866" s="69" t="s">
        <v>14</v>
      </c>
      <c r="G866" s="83">
        <v>12585</v>
      </c>
      <c r="I866" s="38" t="str">
        <f>IF(H866&gt;0,COUNTIF($H$16:H866,"&gt;0"),"")</f>
        <v/>
      </c>
    </row>
    <row r="867" spans="1:9" s="56" customFormat="1">
      <c r="A867" s="69" t="s">
        <v>1651</v>
      </c>
      <c r="B867" s="69" t="s">
        <v>1706</v>
      </c>
      <c r="C867" s="69" t="s">
        <v>1707</v>
      </c>
      <c r="D867" s="69">
        <v>6290360591612</v>
      </c>
      <c r="E867" s="69" t="s">
        <v>17</v>
      </c>
      <c r="F867" s="69" t="s">
        <v>14</v>
      </c>
      <c r="G867" s="83">
        <v>14662</v>
      </c>
      <c r="I867" s="38" t="str">
        <f>IF(H867&gt;0,COUNTIF($H$16:H867,"&gt;0"),"")</f>
        <v/>
      </c>
    </row>
    <row r="868" spans="1:9" s="56" customFormat="1">
      <c r="A868" s="69" t="s">
        <v>1651</v>
      </c>
      <c r="B868" s="69" t="s">
        <v>1708</v>
      </c>
      <c r="C868" s="69" t="s">
        <v>1709</v>
      </c>
      <c r="D868" s="69">
        <v>6290360591629</v>
      </c>
      <c r="E868" s="69" t="s">
        <v>17</v>
      </c>
      <c r="F868" s="69" t="s">
        <v>14</v>
      </c>
      <c r="G868" s="83">
        <v>14662</v>
      </c>
      <c r="I868" s="38" t="str">
        <f>IF(H868&gt;0,COUNTIF($H$16:H868,"&gt;0"),"")</f>
        <v/>
      </c>
    </row>
    <row r="869" spans="1:9" s="56" customFormat="1">
      <c r="A869" s="69" t="s">
        <v>1651</v>
      </c>
      <c r="B869" s="69" t="s">
        <v>1710</v>
      </c>
      <c r="C869" s="69" t="s">
        <v>1711</v>
      </c>
      <c r="D869" s="69">
        <v>6290360591605</v>
      </c>
      <c r="E869" s="69" t="s">
        <v>17</v>
      </c>
      <c r="F869" s="69" t="s">
        <v>14</v>
      </c>
      <c r="G869" s="83">
        <v>14662</v>
      </c>
      <c r="I869" s="38" t="str">
        <f>IF(H869&gt;0,COUNTIF($H$16:H869,"&gt;0"),"")</f>
        <v/>
      </c>
    </row>
    <row r="870" spans="1:9" s="56" customFormat="1">
      <c r="A870" s="69" t="s">
        <v>1651</v>
      </c>
      <c r="B870" s="69" t="s">
        <v>1712</v>
      </c>
      <c r="C870" s="69" t="s">
        <v>1713</v>
      </c>
      <c r="D870" s="69">
        <v>6290360599960</v>
      </c>
      <c r="E870" s="69" t="s">
        <v>17</v>
      </c>
      <c r="F870" s="69" t="s">
        <v>14</v>
      </c>
      <c r="G870" s="83">
        <v>12845</v>
      </c>
      <c r="I870" s="38" t="str">
        <f>IF(H870&gt;0,COUNTIF($H$16:H870,"&gt;0"),"")</f>
        <v/>
      </c>
    </row>
    <row r="871" spans="1:9" s="56" customFormat="1">
      <c r="A871" s="69" t="s">
        <v>1651</v>
      </c>
      <c r="B871" s="69" t="s">
        <v>1714</v>
      </c>
      <c r="C871" s="69" t="s">
        <v>1715</v>
      </c>
      <c r="D871" s="69">
        <v>6290360590714</v>
      </c>
      <c r="E871" s="69" t="s">
        <v>42</v>
      </c>
      <c r="F871" s="69" t="s">
        <v>14</v>
      </c>
      <c r="G871" s="83">
        <v>11546</v>
      </c>
      <c r="I871" s="38" t="str">
        <f>IF(H871&gt;0,COUNTIF($H$16:H871,"&gt;0"),"")</f>
        <v/>
      </c>
    </row>
    <row r="872" spans="1:9" s="56" customFormat="1">
      <c r="A872" s="69" t="s">
        <v>1651</v>
      </c>
      <c r="B872" s="69" t="s">
        <v>1716</v>
      </c>
      <c r="C872" s="69" t="s">
        <v>1717</v>
      </c>
      <c r="D872" s="69">
        <v>6291108735770</v>
      </c>
      <c r="E872" s="69" t="s">
        <v>17</v>
      </c>
      <c r="F872" s="69" t="s">
        <v>14</v>
      </c>
      <c r="G872" s="83">
        <v>13278</v>
      </c>
      <c r="I872" s="38" t="str">
        <f>IF(H872&gt;0,COUNTIF($H$16:H872,"&gt;0"),"")</f>
        <v/>
      </c>
    </row>
    <row r="873" spans="1:9" s="56" customFormat="1">
      <c r="A873" s="69" t="s">
        <v>1651</v>
      </c>
      <c r="B873" s="69" t="s">
        <v>1718</v>
      </c>
      <c r="C873" s="69" t="s">
        <v>1719</v>
      </c>
      <c r="D873" s="69">
        <v>6290360596464</v>
      </c>
      <c r="E873" s="69" t="s">
        <v>13</v>
      </c>
      <c r="F873" s="69" t="s">
        <v>14</v>
      </c>
      <c r="G873" s="83">
        <v>7911</v>
      </c>
      <c r="I873" s="38" t="str">
        <f>IF(H873&gt;0,COUNTIF($H$16:H873,"&gt;0"),"")</f>
        <v/>
      </c>
    </row>
    <row r="874" spans="1:9" s="56" customFormat="1">
      <c r="A874" s="69" t="s">
        <v>1651</v>
      </c>
      <c r="B874" s="69" t="s">
        <v>1720</v>
      </c>
      <c r="C874" s="69" t="s">
        <v>1721</v>
      </c>
      <c r="D874" s="69">
        <v>6290362344261</v>
      </c>
      <c r="E874" s="69" t="s">
        <v>13</v>
      </c>
      <c r="F874" s="69" t="s">
        <v>14</v>
      </c>
      <c r="G874" s="83">
        <v>8777</v>
      </c>
      <c r="I874" s="38" t="str">
        <f>IF(H874&gt;0,COUNTIF($H$16:H874,"&gt;0"),"")</f>
        <v/>
      </c>
    </row>
    <row r="875" spans="1:9" s="56" customFormat="1">
      <c r="A875" s="69" t="s">
        <v>1651</v>
      </c>
      <c r="B875" s="69" t="s">
        <v>1722</v>
      </c>
      <c r="C875" s="69" t="s">
        <v>1723</v>
      </c>
      <c r="D875" s="69">
        <v>6290362348313</v>
      </c>
      <c r="E875" s="69" t="s">
        <v>13</v>
      </c>
      <c r="F875" s="69" t="s">
        <v>14</v>
      </c>
      <c r="G875" s="83">
        <v>9988</v>
      </c>
      <c r="I875" s="38" t="str">
        <f>IF(H875&gt;0,COUNTIF($H$16:H875,"&gt;0"),"")</f>
        <v/>
      </c>
    </row>
    <row r="876" spans="1:9" s="56" customFormat="1">
      <c r="A876" s="69" t="s">
        <v>1651</v>
      </c>
      <c r="B876" s="69" t="s">
        <v>1724</v>
      </c>
      <c r="C876" s="69" t="s">
        <v>1725</v>
      </c>
      <c r="D876" s="69">
        <v>6290362343134</v>
      </c>
      <c r="E876" s="69" t="s">
        <v>42</v>
      </c>
      <c r="F876" s="69" t="s">
        <v>14</v>
      </c>
      <c r="G876" s="83">
        <v>15442</v>
      </c>
      <c r="I876" s="38" t="str">
        <f>IF(H876&gt;0,COUNTIF($H$16:H876,"&gt;0"),"")</f>
        <v/>
      </c>
    </row>
    <row r="877" spans="1:9" s="56" customFormat="1">
      <c r="A877" s="69" t="s">
        <v>1651</v>
      </c>
      <c r="B877" s="69" t="s">
        <v>1726</v>
      </c>
      <c r="C877" s="69" t="s">
        <v>1727</v>
      </c>
      <c r="D877" s="69">
        <v>6298043160322</v>
      </c>
      <c r="E877" s="69" t="s">
        <v>17</v>
      </c>
      <c r="F877" s="69" t="s">
        <v>14</v>
      </c>
      <c r="G877" s="83">
        <v>13624</v>
      </c>
      <c r="I877" s="38" t="str">
        <f>IF(H877&gt;0,COUNTIF($H$16:H877,"&gt;0"),"")</f>
        <v/>
      </c>
    </row>
    <row r="878" spans="1:9" s="56" customFormat="1">
      <c r="A878" s="69" t="s">
        <v>1651</v>
      </c>
      <c r="B878" s="69" t="s">
        <v>1728</v>
      </c>
      <c r="C878" s="69" t="s">
        <v>1729</v>
      </c>
      <c r="D878" s="69">
        <v>6290362340805</v>
      </c>
      <c r="E878" s="69" t="s">
        <v>17</v>
      </c>
      <c r="F878" s="69" t="s">
        <v>14</v>
      </c>
      <c r="G878" s="83">
        <v>11979</v>
      </c>
      <c r="I878" s="38" t="str">
        <f>IF(H878&gt;0,COUNTIF($H$16:H878,"&gt;0"),"")</f>
        <v/>
      </c>
    </row>
    <row r="879" spans="1:9" s="56" customFormat="1">
      <c r="A879" s="69" t="s">
        <v>1651</v>
      </c>
      <c r="B879" s="69" t="s">
        <v>1730</v>
      </c>
      <c r="C879" s="69" t="s">
        <v>1731</v>
      </c>
      <c r="D879" s="69">
        <v>6290362340614</v>
      </c>
      <c r="E879" s="69" t="s">
        <v>17</v>
      </c>
      <c r="F879" s="69" t="s">
        <v>14</v>
      </c>
      <c r="G879" s="83">
        <v>14402</v>
      </c>
      <c r="I879" s="38" t="str">
        <f>IF(H879&gt;0,COUNTIF($H$16:H879,"&gt;0"),"")</f>
        <v/>
      </c>
    </row>
    <row r="880" spans="1:9" s="56" customFormat="1">
      <c r="A880" s="69" t="s">
        <v>1651</v>
      </c>
      <c r="B880" s="69" t="s">
        <v>1732</v>
      </c>
      <c r="C880" s="69" t="s">
        <v>1733</v>
      </c>
      <c r="D880" s="69">
        <v>6290362340539</v>
      </c>
      <c r="E880" s="69" t="s">
        <v>17</v>
      </c>
      <c r="F880" s="69" t="s">
        <v>14</v>
      </c>
      <c r="G880" s="83">
        <v>10854</v>
      </c>
      <c r="I880" s="38" t="str">
        <f>IF(H880&gt;0,COUNTIF($H$16:H880,"&gt;0"),"")</f>
        <v/>
      </c>
    </row>
    <row r="881" spans="1:9" s="56" customFormat="1">
      <c r="A881" s="69" t="s">
        <v>1651</v>
      </c>
      <c r="B881" s="69" t="s">
        <v>1734</v>
      </c>
      <c r="C881" s="69" t="s">
        <v>1735</v>
      </c>
      <c r="D881" s="69">
        <v>6290362345893</v>
      </c>
      <c r="E881" s="69" t="s">
        <v>13</v>
      </c>
      <c r="F881" s="69" t="s">
        <v>14</v>
      </c>
      <c r="G881" s="83">
        <v>7911</v>
      </c>
      <c r="I881" s="38" t="str">
        <f>IF(H881&gt;0,COUNTIF($H$16:H881,"&gt;0"),"")</f>
        <v/>
      </c>
    </row>
    <row r="882" spans="1:9" s="56" customFormat="1">
      <c r="A882" s="69" t="s">
        <v>1651</v>
      </c>
      <c r="B882" s="69" t="s">
        <v>1736</v>
      </c>
      <c r="C882" s="69" t="s">
        <v>1737</v>
      </c>
      <c r="D882" s="69">
        <v>6290360599274</v>
      </c>
      <c r="E882" s="69" t="s">
        <v>17</v>
      </c>
      <c r="F882" s="69" t="s">
        <v>14</v>
      </c>
      <c r="G882" s="83">
        <v>13537</v>
      </c>
      <c r="I882" s="38" t="str">
        <f>IF(H882&gt;0,COUNTIF($H$16:H882,"&gt;0"),"")</f>
        <v/>
      </c>
    </row>
    <row r="883" spans="1:9" s="56" customFormat="1">
      <c r="A883" s="69" t="s">
        <v>1651</v>
      </c>
      <c r="B883" s="69" t="s">
        <v>1738</v>
      </c>
      <c r="C883" s="69" t="s">
        <v>1739</v>
      </c>
      <c r="D883" s="69">
        <v>6290362340676</v>
      </c>
      <c r="E883" s="69" t="s">
        <v>17</v>
      </c>
      <c r="F883" s="69" t="s">
        <v>14</v>
      </c>
      <c r="G883" s="83">
        <v>14056</v>
      </c>
      <c r="I883" s="38" t="str">
        <f>IF(H883&gt;0,COUNTIF($H$16:H883,"&gt;0"),"")</f>
        <v/>
      </c>
    </row>
    <row r="884" spans="1:9" s="56" customFormat="1">
      <c r="A884" s="69" t="s">
        <v>1651</v>
      </c>
      <c r="B884" s="69" t="s">
        <v>1740</v>
      </c>
      <c r="C884" s="69" t="s">
        <v>1741</v>
      </c>
      <c r="D884" s="69">
        <v>6290362340553</v>
      </c>
      <c r="E884" s="69" t="s">
        <v>17</v>
      </c>
      <c r="F884" s="69" t="s">
        <v>14</v>
      </c>
      <c r="G884" s="83">
        <v>15615</v>
      </c>
      <c r="I884" s="38" t="str">
        <f>IF(H884&gt;0,COUNTIF($H$16:H884,"&gt;0"),"")</f>
        <v/>
      </c>
    </row>
    <row r="885" spans="1:9" s="56" customFormat="1">
      <c r="A885" s="69" t="s">
        <v>1651</v>
      </c>
      <c r="B885" s="69" t="s">
        <v>1742</v>
      </c>
      <c r="C885" s="69" t="s">
        <v>1743</v>
      </c>
      <c r="D885" s="69">
        <v>6290362343530</v>
      </c>
      <c r="E885" s="69" t="s">
        <v>13</v>
      </c>
      <c r="F885" s="69" t="s">
        <v>14</v>
      </c>
      <c r="G885" s="83">
        <v>10681</v>
      </c>
      <c r="I885" s="38" t="str">
        <f>IF(H885&gt;0,COUNTIF($H$16:H885,"&gt;0"),"")</f>
        <v/>
      </c>
    </row>
    <row r="886" spans="1:9" s="56" customFormat="1">
      <c r="A886" s="69" t="s">
        <v>1651</v>
      </c>
      <c r="B886" s="69" t="s">
        <v>1744</v>
      </c>
      <c r="C886" s="69" t="s">
        <v>1745</v>
      </c>
      <c r="D886" s="69">
        <v>6290360599175</v>
      </c>
      <c r="E886" s="69" t="s">
        <v>17</v>
      </c>
      <c r="F886" s="69" t="s">
        <v>14</v>
      </c>
      <c r="G886" s="83">
        <v>13537</v>
      </c>
      <c r="I886" s="38" t="str">
        <f>IF(H886&gt;0,COUNTIF($H$16:H886,"&gt;0"),"")</f>
        <v/>
      </c>
    </row>
    <row r="887" spans="1:9" s="56" customFormat="1">
      <c r="A887" s="69" t="s">
        <v>1651</v>
      </c>
      <c r="B887" s="69" t="s">
        <v>1746</v>
      </c>
      <c r="C887" s="69" t="s">
        <v>1747</v>
      </c>
      <c r="D887" s="69">
        <v>6290362340775</v>
      </c>
      <c r="E887" s="69" t="s">
        <v>42</v>
      </c>
      <c r="F887" s="69" t="s">
        <v>14</v>
      </c>
      <c r="G887" s="83">
        <v>14922</v>
      </c>
      <c r="I887" s="38" t="str">
        <f>IF(H887&gt;0,COUNTIF($H$16:H887,"&gt;0"),"")</f>
        <v/>
      </c>
    </row>
    <row r="888" spans="1:9" s="56" customFormat="1">
      <c r="A888" s="69" t="s">
        <v>1651</v>
      </c>
      <c r="B888" s="69" t="s">
        <v>1748</v>
      </c>
      <c r="C888" s="69" t="s">
        <v>1749</v>
      </c>
      <c r="D888" s="69">
        <v>6290362340782</v>
      </c>
      <c r="E888" s="69" t="s">
        <v>42</v>
      </c>
      <c r="F888" s="69" t="s">
        <v>14</v>
      </c>
      <c r="G888" s="83">
        <v>14922</v>
      </c>
      <c r="I888" s="38" t="str">
        <f>IF(H888&gt;0,COUNTIF($H$16:H888,"&gt;0"),"")</f>
        <v/>
      </c>
    </row>
    <row r="889" spans="1:9" s="56" customFormat="1">
      <c r="A889" s="69" t="s">
        <v>1651</v>
      </c>
      <c r="B889" s="69" t="s">
        <v>1750</v>
      </c>
      <c r="C889" s="69" t="s">
        <v>1751</v>
      </c>
      <c r="D889" s="69">
        <v>6290362345879</v>
      </c>
      <c r="E889" s="69" t="s">
        <v>42</v>
      </c>
      <c r="F889" s="69" t="s">
        <v>14</v>
      </c>
      <c r="G889" s="83">
        <v>8344</v>
      </c>
      <c r="I889" s="38" t="str">
        <f>IF(H889&gt;0,COUNTIF($H$16:H889,"&gt;0"),"")</f>
        <v/>
      </c>
    </row>
    <row r="890" spans="1:9" s="56" customFormat="1">
      <c r="A890" s="69" t="s">
        <v>1651</v>
      </c>
      <c r="B890" s="69" t="s">
        <v>1752</v>
      </c>
      <c r="C890" s="69" t="s">
        <v>1753</v>
      </c>
      <c r="D890" s="69">
        <v>6290362345886</v>
      </c>
      <c r="E890" s="69" t="s">
        <v>13</v>
      </c>
      <c r="F890" s="69" t="s">
        <v>14</v>
      </c>
      <c r="G890" s="83">
        <v>7652</v>
      </c>
      <c r="I890" s="38" t="str">
        <f>IF(H890&gt;0,COUNTIF($H$16:H890,"&gt;0"),"")</f>
        <v/>
      </c>
    </row>
    <row r="891" spans="1:9" s="56" customFormat="1">
      <c r="A891" s="69" t="s">
        <v>1651</v>
      </c>
      <c r="B891" s="69" t="s">
        <v>1754</v>
      </c>
      <c r="C891" s="69" t="s">
        <v>1755</v>
      </c>
      <c r="D891" s="69">
        <v>6290360590561</v>
      </c>
      <c r="E891" s="69" t="s">
        <v>17</v>
      </c>
      <c r="F891" s="69" t="s">
        <v>14</v>
      </c>
      <c r="G891" s="83">
        <v>19682</v>
      </c>
      <c r="I891" s="38" t="str">
        <f>IF(H891&gt;0,COUNTIF($H$16:H891,"&gt;0"),"")</f>
        <v/>
      </c>
    </row>
    <row r="892" spans="1:9" s="56" customFormat="1">
      <c r="A892" s="69" t="s">
        <v>1651</v>
      </c>
      <c r="B892" s="69" t="s">
        <v>1756</v>
      </c>
      <c r="C892" s="69" t="s">
        <v>1757</v>
      </c>
      <c r="D892" s="69">
        <v>6290360596549</v>
      </c>
      <c r="E892" s="69" t="s">
        <v>13</v>
      </c>
      <c r="F892" s="69" t="s">
        <v>14</v>
      </c>
      <c r="G892" s="83">
        <v>7652</v>
      </c>
      <c r="I892" s="38" t="str">
        <f>IF(H892&gt;0,COUNTIF($H$16:H892,"&gt;0"),"")</f>
        <v/>
      </c>
    </row>
    <row r="893" spans="1:9" s="56" customFormat="1">
      <c r="A893" s="69" t="s">
        <v>1651</v>
      </c>
      <c r="B893" s="69" t="s">
        <v>1758</v>
      </c>
      <c r="C893" s="69" t="s">
        <v>1759</v>
      </c>
      <c r="D893" s="69">
        <v>6290360599267</v>
      </c>
      <c r="E893" s="69" t="s">
        <v>42</v>
      </c>
      <c r="F893" s="69" t="s">
        <v>14</v>
      </c>
      <c r="G893" s="83">
        <v>12932</v>
      </c>
      <c r="I893" s="38" t="str">
        <f>IF(H893&gt;0,COUNTIF($H$16:H893,"&gt;0"),"")</f>
        <v/>
      </c>
    </row>
    <row r="894" spans="1:9" s="56" customFormat="1">
      <c r="A894" s="69" t="s">
        <v>1651</v>
      </c>
      <c r="B894" s="69" t="s">
        <v>1760</v>
      </c>
      <c r="C894" s="69" t="s">
        <v>1761</v>
      </c>
      <c r="D894" s="69">
        <v>6290362340850</v>
      </c>
      <c r="E894" s="69" t="s">
        <v>17</v>
      </c>
      <c r="F894" s="69" t="s">
        <v>14</v>
      </c>
      <c r="G894" s="83">
        <v>15442</v>
      </c>
      <c r="I894" s="38" t="str">
        <f>IF(H894&gt;0,COUNTIF($H$16:H894,"&gt;0"),"")</f>
        <v/>
      </c>
    </row>
    <row r="895" spans="1:9" s="56" customFormat="1">
      <c r="A895" s="69" t="s">
        <v>1651</v>
      </c>
      <c r="B895" s="69" t="s">
        <v>1762</v>
      </c>
      <c r="C895" s="69" t="s">
        <v>1763</v>
      </c>
      <c r="D895" s="69">
        <v>6290362341130</v>
      </c>
      <c r="E895" s="69" t="s">
        <v>17</v>
      </c>
      <c r="F895" s="69" t="s">
        <v>14</v>
      </c>
      <c r="G895" s="83">
        <v>15615</v>
      </c>
      <c r="I895" s="38" t="str">
        <f>IF(H895&gt;0,COUNTIF($H$16:H895,"&gt;0"),"")</f>
        <v/>
      </c>
    </row>
    <row r="896" spans="1:9" s="56" customFormat="1">
      <c r="A896" s="69" t="s">
        <v>1651</v>
      </c>
      <c r="B896" s="69" t="s">
        <v>1764</v>
      </c>
      <c r="C896" s="69" t="s">
        <v>1765</v>
      </c>
      <c r="D896" s="69">
        <v>6290362341109</v>
      </c>
      <c r="E896" s="69" t="s">
        <v>17</v>
      </c>
      <c r="F896" s="69" t="s">
        <v>14</v>
      </c>
      <c r="G896" s="83">
        <v>15874</v>
      </c>
      <c r="I896" s="38" t="str">
        <f>IF(H896&gt;0,COUNTIF($H$16:H896,"&gt;0"),"")</f>
        <v/>
      </c>
    </row>
    <row r="897" spans="1:9" s="56" customFormat="1">
      <c r="A897" s="69" t="s">
        <v>1651</v>
      </c>
      <c r="B897" s="69" t="s">
        <v>1766</v>
      </c>
      <c r="C897" s="69" t="s">
        <v>1767</v>
      </c>
      <c r="D897" s="69">
        <v>6290362341161</v>
      </c>
      <c r="E897" s="69" t="s">
        <v>17</v>
      </c>
      <c r="F897" s="69" t="s">
        <v>14</v>
      </c>
      <c r="G897" s="83">
        <v>16480</v>
      </c>
      <c r="I897" s="38" t="str">
        <f>IF(H897&gt;0,COUNTIF($H$16:H897,"&gt;0"),"")</f>
        <v/>
      </c>
    </row>
    <row r="898" spans="1:9" s="56" customFormat="1">
      <c r="A898" s="69" t="s">
        <v>1651</v>
      </c>
      <c r="B898" s="69" t="s">
        <v>1768</v>
      </c>
      <c r="C898" s="69" t="s">
        <v>1769</v>
      </c>
      <c r="D898" s="69">
        <v>6290362342533</v>
      </c>
      <c r="E898" s="69" t="s">
        <v>17</v>
      </c>
      <c r="F898" s="69" t="s">
        <v>14</v>
      </c>
      <c r="G898" s="83">
        <v>12759</v>
      </c>
      <c r="I898" s="38" t="str">
        <f>IF(H898&gt;0,COUNTIF($H$16:H898,"&gt;0"),"")</f>
        <v/>
      </c>
    </row>
    <row r="899" spans="1:9" s="56" customFormat="1">
      <c r="A899" s="69" t="s">
        <v>1651</v>
      </c>
      <c r="B899" s="69" t="s">
        <v>1770</v>
      </c>
      <c r="C899" s="69" t="s">
        <v>1771</v>
      </c>
      <c r="D899" s="69">
        <v>6291108735749</v>
      </c>
      <c r="E899" s="69" t="s">
        <v>17</v>
      </c>
      <c r="F899" s="69" t="s">
        <v>14</v>
      </c>
      <c r="G899" s="83">
        <v>13624</v>
      </c>
      <c r="I899" s="38" t="str">
        <f>IF(H899&gt;0,COUNTIF($H$16:H899,"&gt;0"),"")</f>
        <v/>
      </c>
    </row>
    <row r="900" spans="1:9" s="56" customFormat="1">
      <c r="A900" s="69" t="s">
        <v>1651</v>
      </c>
      <c r="B900" s="69" t="s">
        <v>1772</v>
      </c>
      <c r="C900" s="69" t="s">
        <v>1773</v>
      </c>
      <c r="D900" s="69">
        <v>6290360591599</v>
      </c>
      <c r="E900" s="69" t="s">
        <v>17</v>
      </c>
      <c r="F900" s="69" t="s">
        <v>14</v>
      </c>
      <c r="G900" s="83">
        <v>18644</v>
      </c>
      <c r="I900" s="38" t="str">
        <f>IF(H900&gt;0,COUNTIF($H$16:H900,"&gt;0"),"")</f>
        <v/>
      </c>
    </row>
    <row r="901" spans="1:9" s="56" customFormat="1">
      <c r="A901" s="69" t="s">
        <v>1651</v>
      </c>
      <c r="B901" s="69" t="s">
        <v>1774</v>
      </c>
      <c r="C901" s="69" t="s">
        <v>1775</v>
      </c>
      <c r="D901" s="69">
        <v>6290362340690</v>
      </c>
      <c r="E901" s="69" t="s">
        <v>17</v>
      </c>
      <c r="F901" s="69" t="s">
        <v>14</v>
      </c>
      <c r="G901" s="83">
        <v>15528</v>
      </c>
      <c r="I901" s="38" t="str">
        <f>IF(H901&gt;0,COUNTIF($H$16:H901,"&gt;0"),"")</f>
        <v/>
      </c>
    </row>
    <row r="902" spans="1:9" s="56" customFormat="1">
      <c r="A902" s="69" t="s">
        <v>1651</v>
      </c>
      <c r="B902" s="69" t="s">
        <v>1776</v>
      </c>
      <c r="C902" s="69" t="s">
        <v>1777</v>
      </c>
      <c r="D902" s="69">
        <v>6290362340584</v>
      </c>
      <c r="E902" s="69" t="s">
        <v>13</v>
      </c>
      <c r="F902" s="69" t="s">
        <v>14</v>
      </c>
      <c r="G902" s="83">
        <v>11979</v>
      </c>
      <c r="I902" s="38" t="str">
        <f>IF(H902&gt;0,COUNTIF($H$16:H902,"&gt;0"),"")</f>
        <v/>
      </c>
    </row>
    <row r="903" spans="1:9" s="56" customFormat="1">
      <c r="A903" s="69" t="s">
        <v>1651</v>
      </c>
      <c r="B903" s="69" t="s">
        <v>1778</v>
      </c>
      <c r="C903" s="69" t="s">
        <v>1779</v>
      </c>
      <c r="D903" s="69">
        <v>6291108736562</v>
      </c>
      <c r="E903" s="69" t="s">
        <v>17</v>
      </c>
      <c r="F903" s="69" t="s">
        <v>14</v>
      </c>
      <c r="G903" s="83">
        <v>14316</v>
      </c>
      <c r="I903" s="38" t="str">
        <f>IF(H903&gt;0,COUNTIF($H$16:H903,"&gt;0"),"")</f>
        <v/>
      </c>
    </row>
    <row r="904" spans="1:9" s="56" customFormat="1">
      <c r="A904" s="69" t="s">
        <v>1651</v>
      </c>
      <c r="B904" s="69" t="s">
        <v>1780</v>
      </c>
      <c r="C904" s="69" t="s">
        <v>1781</v>
      </c>
      <c r="D904" s="69">
        <v>6291108735817</v>
      </c>
      <c r="E904" s="69" t="s">
        <v>17</v>
      </c>
      <c r="F904" s="69" t="s">
        <v>14</v>
      </c>
      <c r="G904" s="83">
        <v>13797</v>
      </c>
      <c r="I904" s="38" t="str">
        <f>IF(H904&gt;0,COUNTIF($H$16:H904,"&gt;0"),"")</f>
        <v/>
      </c>
    </row>
    <row r="905" spans="1:9" s="56" customFormat="1">
      <c r="A905" s="69" t="s">
        <v>1651</v>
      </c>
      <c r="B905" s="69" t="s">
        <v>1782</v>
      </c>
      <c r="C905" s="69" t="s">
        <v>1783</v>
      </c>
      <c r="D905" s="69">
        <v>6290362341000</v>
      </c>
      <c r="E905" s="69" t="s">
        <v>13</v>
      </c>
      <c r="F905" s="69" t="s">
        <v>14</v>
      </c>
      <c r="G905" s="83">
        <v>11287</v>
      </c>
      <c r="I905" s="38" t="str">
        <f>IF(H905&gt;0,COUNTIF($H$16:H905,"&gt;0"),"")</f>
        <v/>
      </c>
    </row>
    <row r="906" spans="1:9" s="56" customFormat="1">
      <c r="A906" s="69" t="s">
        <v>1651</v>
      </c>
      <c r="B906" s="69" t="s">
        <v>1784</v>
      </c>
      <c r="C906" s="69" t="s">
        <v>1785</v>
      </c>
      <c r="D906" s="69">
        <v>6290362341017</v>
      </c>
      <c r="E906" s="69" t="s">
        <v>13</v>
      </c>
      <c r="F906" s="69" t="s">
        <v>14</v>
      </c>
      <c r="G906" s="83">
        <v>11027</v>
      </c>
      <c r="I906" s="38" t="str">
        <f>IF(H906&gt;0,COUNTIF($H$16:H906,"&gt;0"),"")</f>
        <v/>
      </c>
    </row>
    <row r="907" spans="1:9" s="56" customFormat="1">
      <c r="A907" s="69" t="s">
        <v>1651</v>
      </c>
      <c r="B907" s="69" t="s">
        <v>1786</v>
      </c>
      <c r="C907" s="69" t="s">
        <v>1787</v>
      </c>
      <c r="D907" s="69">
        <v>6290362340713</v>
      </c>
      <c r="E907" s="69" t="s">
        <v>13</v>
      </c>
      <c r="F907" s="69" t="s">
        <v>14</v>
      </c>
      <c r="G907" s="83">
        <v>14143</v>
      </c>
      <c r="I907" s="38" t="str">
        <f>IF(H907&gt;0,COUNTIF($H$16:H907,"&gt;0"),"")</f>
        <v/>
      </c>
    </row>
    <row r="908" spans="1:9" s="56" customFormat="1">
      <c r="A908" s="69" t="s">
        <v>1651</v>
      </c>
      <c r="B908" s="69" t="s">
        <v>1788</v>
      </c>
      <c r="C908" s="69" t="s">
        <v>1789</v>
      </c>
      <c r="D908" s="69">
        <v>6290362349020</v>
      </c>
      <c r="E908" s="69" t="s">
        <v>42</v>
      </c>
      <c r="F908" s="69" t="s">
        <v>14</v>
      </c>
      <c r="G908" s="83">
        <v>7911</v>
      </c>
      <c r="I908" s="38" t="str">
        <f>IF(H908&gt;0,COUNTIF($H$16:H908,"&gt;0"),"")</f>
        <v/>
      </c>
    </row>
    <row r="909" spans="1:9" s="56" customFormat="1">
      <c r="A909" s="69" t="s">
        <v>1651</v>
      </c>
      <c r="B909" s="69" t="s">
        <v>1790</v>
      </c>
      <c r="C909" s="69" t="s">
        <v>1791</v>
      </c>
      <c r="D909" s="69">
        <v>6290362348931</v>
      </c>
      <c r="E909" s="69" t="s">
        <v>42</v>
      </c>
      <c r="F909" s="69" t="s">
        <v>14</v>
      </c>
      <c r="G909" s="83">
        <v>7911</v>
      </c>
      <c r="I909" s="38" t="str">
        <f>IF(H909&gt;0,COUNTIF($H$16:H909,"&gt;0"),"")</f>
        <v/>
      </c>
    </row>
    <row r="910" spans="1:9" s="56" customFormat="1">
      <c r="A910" s="69" t="s">
        <v>1651</v>
      </c>
      <c r="B910" s="69" t="s">
        <v>1792</v>
      </c>
      <c r="C910" s="69" t="s">
        <v>1793</v>
      </c>
      <c r="D910" s="69">
        <v>6290362348924</v>
      </c>
      <c r="E910" s="69" t="s">
        <v>42</v>
      </c>
      <c r="F910" s="69" t="s">
        <v>14</v>
      </c>
      <c r="G910" s="83">
        <v>7911</v>
      </c>
      <c r="I910" s="38" t="str">
        <f>IF(H910&gt;0,COUNTIF($H$16:H910,"&gt;0"),"")</f>
        <v/>
      </c>
    </row>
    <row r="911" spans="1:9" s="56" customFormat="1">
      <c r="A911" s="69" t="s">
        <v>1651</v>
      </c>
      <c r="B911" s="69" t="s">
        <v>1794</v>
      </c>
      <c r="C911" s="69" t="s">
        <v>1795</v>
      </c>
      <c r="D911" s="69">
        <v>6290362349006</v>
      </c>
      <c r="E911" s="69" t="s">
        <v>42</v>
      </c>
      <c r="F911" s="69" t="s">
        <v>14</v>
      </c>
      <c r="G911" s="83">
        <v>7911</v>
      </c>
      <c r="I911" s="38" t="str">
        <f>IF(H911&gt;0,COUNTIF($H$16:H911,"&gt;0"),"")</f>
        <v/>
      </c>
    </row>
    <row r="912" spans="1:9" s="56" customFormat="1">
      <c r="A912" s="69" t="s">
        <v>1651</v>
      </c>
      <c r="B912" s="69" t="s">
        <v>1796</v>
      </c>
      <c r="C912" s="69" t="s">
        <v>1797</v>
      </c>
      <c r="D912" s="69">
        <v>6290362348917</v>
      </c>
      <c r="E912" s="69" t="s">
        <v>42</v>
      </c>
      <c r="F912" s="69" t="s">
        <v>14</v>
      </c>
      <c r="G912" s="83">
        <v>7911</v>
      </c>
      <c r="I912" s="38" t="str">
        <f>IF(H912&gt;0,COUNTIF($H$16:H912,"&gt;0"),"")</f>
        <v/>
      </c>
    </row>
    <row r="913" spans="1:9" s="56" customFormat="1">
      <c r="A913" s="69" t="s">
        <v>1651</v>
      </c>
      <c r="B913" s="69" t="s">
        <v>1798</v>
      </c>
      <c r="C913" s="69" t="s">
        <v>1799</v>
      </c>
      <c r="D913" s="69">
        <v>6290362348955</v>
      </c>
      <c r="E913" s="69" t="s">
        <v>42</v>
      </c>
      <c r="F913" s="69" t="s">
        <v>14</v>
      </c>
      <c r="G913" s="83">
        <v>7911</v>
      </c>
      <c r="I913" s="38" t="str">
        <f>IF(H913&gt;0,COUNTIF($H$16:H913,"&gt;0"),"")</f>
        <v/>
      </c>
    </row>
    <row r="914" spans="1:9" s="56" customFormat="1">
      <c r="A914" s="69" t="s">
        <v>1651</v>
      </c>
      <c r="B914" s="69" t="s">
        <v>1800</v>
      </c>
      <c r="C914" s="69" t="s">
        <v>1801</v>
      </c>
      <c r="D914" s="69">
        <v>6290362348979</v>
      </c>
      <c r="E914" s="69" t="s">
        <v>42</v>
      </c>
      <c r="F914" s="69" t="s">
        <v>14</v>
      </c>
      <c r="G914" s="83">
        <v>7911</v>
      </c>
      <c r="I914" s="38" t="str">
        <f>IF(H914&gt;0,COUNTIF($H$16:H914,"&gt;0"),"")</f>
        <v/>
      </c>
    </row>
    <row r="915" spans="1:9" s="56" customFormat="1">
      <c r="A915" s="69" t="s">
        <v>1651</v>
      </c>
      <c r="B915" s="69" t="s">
        <v>1802</v>
      </c>
      <c r="C915" s="69" t="s">
        <v>1803</v>
      </c>
      <c r="D915" s="69">
        <v>6290362348948</v>
      </c>
      <c r="E915" s="69" t="s">
        <v>42</v>
      </c>
      <c r="F915" s="69" t="s">
        <v>14</v>
      </c>
      <c r="G915" s="83">
        <v>7911</v>
      </c>
      <c r="I915" s="38" t="str">
        <f>IF(H915&gt;0,COUNTIF($H$16:H915,"&gt;0"),"")</f>
        <v/>
      </c>
    </row>
    <row r="916" spans="1:9" s="56" customFormat="1">
      <c r="A916" s="69" t="s">
        <v>1651</v>
      </c>
      <c r="B916" s="69" t="s">
        <v>1804</v>
      </c>
      <c r="C916" s="69" t="s">
        <v>1805</v>
      </c>
      <c r="D916" s="69">
        <v>6290362348894</v>
      </c>
      <c r="E916" s="69" t="s">
        <v>42</v>
      </c>
      <c r="F916" s="69" t="s">
        <v>14</v>
      </c>
      <c r="G916" s="83">
        <v>7911</v>
      </c>
      <c r="I916" s="38" t="str">
        <f>IF(H916&gt;0,COUNTIF($H$16:H916,"&gt;0"),"")</f>
        <v/>
      </c>
    </row>
    <row r="917" spans="1:9" s="56" customFormat="1">
      <c r="A917" s="69" t="s">
        <v>1651</v>
      </c>
      <c r="B917" s="69" t="s">
        <v>1806</v>
      </c>
      <c r="C917" s="69" t="s">
        <v>1807</v>
      </c>
      <c r="D917" s="69">
        <v>6290362348887</v>
      </c>
      <c r="E917" s="69" t="s">
        <v>42</v>
      </c>
      <c r="F917" s="69" t="s">
        <v>14</v>
      </c>
      <c r="G917" s="83">
        <v>7911</v>
      </c>
      <c r="I917" s="38" t="str">
        <f>IF(H917&gt;0,COUNTIF($H$16:H917,"&gt;0"),"")</f>
        <v/>
      </c>
    </row>
    <row r="918" spans="1:9" s="56" customFormat="1">
      <c r="A918" s="69" t="s">
        <v>1651</v>
      </c>
      <c r="B918" s="69" t="s">
        <v>1808</v>
      </c>
      <c r="C918" s="69" t="s">
        <v>1809</v>
      </c>
      <c r="D918" s="69">
        <v>6290362348962</v>
      </c>
      <c r="E918" s="69" t="s">
        <v>42</v>
      </c>
      <c r="F918" s="69" t="s">
        <v>14</v>
      </c>
      <c r="G918" s="83">
        <v>7998</v>
      </c>
      <c r="I918" s="38" t="str">
        <f>IF(H918&gt;0,COUNTIF($H$16:H918,"&gt;0"),"")</f>
        <v/>
      </c>
    </row>
    <row r="919" spans="1:9" s="56" customFormat="1">
      <c r="A919" s="69" t="s">
        <v>1651</v>
      </c>
      <c r="B919" s="69" t="s">
        <v>1810</v>
      </c>
      <c r="C919" s="69" t="s">
        <v>1811</v>
      </c>
      <c r="D919" s="69">
        <v>6290362348900</v>
      </c>
      <c r="E919" s="69" t="s">
        <v>17</v>
      </c>
      <c r="F919" s="69" t="s">
        <v>14</v>
      </c>
      <c r="G919" s="83">
        <v>7998</v>
      </c>
      <c r="I919" s="38" t="str">
        <f>IF(H919&gt;0,COUNTIF($H$16:H919,"&gt;0"),"")</f>
        <v/>
      </c>
    </row>
    <row r="920" spans="1:9" s="56" customFormat="1">
      <c r="A920" s="69" t="s">
        <v>1651</v>
      </c>
      <c r="B920" s="69" t="s">
        <v>1812</v>
      </c>
      <c r="C920" s="69" t="s">
        <v>1813</v>
      </c>
      <c r="D920" s="69">
        <v>6290362348870</v>
      </c>
      <c r="E920" s="69" t="s">
        <v>42</v>
      </c>
      <c r="F920" s="69" t="s">
        <v>14</v>
      </c>
      <c r="G920" s="83">
        <v>7911</v>
      </c>
      <c r="I920" s="38" t="str">
        <f>IF(H920&gt;0,COUNTIF($H$16:H920,"&gt;0"),"")</f>
        <v/>
      </c>
    </row>
    <row r="921" spans="1:9" s="56" customFormat="1">
      <c r="A921" s="69" t="s">
        <v>1651</v>
      </c>
      <c r="B921" s="69" t="s">
        <v>1814</v>
      </c>
      <c r="C921" s="69" t="s">
        <v>1815</v>
      </c>
      <c r="D921" s="69">
        <v>6290362349013</v>
      </c>
      <c r="E921" s="69" t="s">
        <v>42</v>
      </c>
      <c r="F921" s="69" t="s">
        <v>14</v>
      </c>
      <c r="G921" s="83">
        <v>7911</v>
      </c>
      <c r="I921" s="38" t="str">
        <f>IF(H921&gt;0,COUNTIF($H$16:H921,"&gt;0"),"")</f>
        <v/>
      </c>
    </row>
    <row r="922" spans="1:9" s="56" customFormat="1">
      <c r="A922" s="69" t="s">
        <v>1651</v>
      </c>
      <c r="B922" s="69" t="s">
        <v>1816</v>
      </c>
      <c r="C922" s="69" t="s">
        <v>1817</v>
      </c>
      <c r="D922" s="69">
        <v>6290362348993</v>
      </c>
      <c r="E922" s="69" t="s">
        <v>42</v>
      </c>
      <c r="F922" s="69" t="s">
        <v>14</v>
      </c>
      <c r="G922" s="83">
        <v>7911</v>
      </c>
      <c r="I922" s="38" t="str">
        <f>IF(H922&gt;0,COUNTIF($H$16:H922,"&gt;0"),"")</f>
        <v/>
      </c>
    </row>
    <row r="923" spans="1:9" s="56" customFormat="1">
      <c r="A923" s="69" t="s">
        <v>1651</v>
      </c>
      <c r="B923" s="69" t="s">
        <v>1818</v>
      </c>
      <c r="C923" s="69" t="s">
        <v>1819</v>
      </c>
      <c r="D923" s="69">
        <v>6290362340904</v>
      </c>
      <c r="E923" s="69" t="s">
        <v>17</v>
      </c>
      <c r="F923" s="69" t="s">
        <v>14</v>
      </c>
      <c r="G923" s="83">
        <v>14749</v>
      </c>
      <c r="I923" s="38" t="str">
        <f>IF(H923&gt;0,COUNTIF($H$16:H923,"&gt;0"),"")</f>
        <v/>
      </c>
    </row>
    <row r="924" spans="1:9" s="56" customFormat="1">
      <c r="A924" s="69" t="s">
        <v>1651</v>
      </c>
      <c r="B924" s="69" t="s">
        <v>1820</v>
      </c>
      <c r="C924" s="69" t="s">
        <v>1821</v>
      </c>
      <c r="D924" s="69">
        <v>6290362346050</v>
      </c>
      <c r="E924" s="69" t="s">
        <v>42</v>
      </c>
      <c r="F924" s="69" t="s">
        <v>14</v>
      </c>
      <c r="G924" s="83">
        <v>8344</v>
      </c>
      <c r="I924" s="38" t="str">
        <f>IF(H924&gt;0,COUNTIF($H$16:H924,"&gt;0"),"")</f>
        <v/>
      </c>
    </row>
    <row r="925" spans="1:9" s="56" customFormat="1">
      <c r="A925" s="69" t="s">
        <v>1651</v>
      </c>
      <c r="B925" s="69" t="s">
        <v>1822</v>
      </c>
      <c r="C925" s="69" t="s">
        <v>1823</v>
      </c>
      <c r="D925" s="69">
        <v>6290362340621</v>
      </c>
      <c r="E925" s="69" t="s">
        <v>17</v>
      </c>
      <c r="F925" s="69" t="s">
        <v>14</v>
      </c>
      <c r="G925" s="83">
        <v>14143</v>
      </c>
      <c r="I925" s="38" t="str">
        <f>IF(H925&gt;0,COUNTIF($H$16:H925,"&gt;0"),"")</f>
        <v/>
      </c>
    </row>
    <row r="926" spans="1:9" s="56" customFormat="1">
      <c r="A926" s="69" t="s">
        <v>1651</v>
      </c>
      <c r="B926" s="69" t="s">
        <v>1824</v>
      </c>
      <c r="C926" s="69" t="s">
        <v>1825</v>
      </c>
      <c r="D926" s="69">
        <v>6290362349150</v>
      </c>
      <c r="E926" s="69" t="s">
        <v>42</v>
      </c>
      <c r="F926" s="69" t="s">
        <v>14</v>
      </c>
      <c r="G926" s="83">
        <v>13797</v>
      </c>
      <c r="I926" s="38" t="str">
        <f>IF(H926&gt;0,COUNTIF($H$16:H926,"&gt;0"),"")</f>
        <v/>
      </c>
    </row>
    <row r="927" spans="1:9" s="56" customFormat="1">
      <c r="A927" s="69" t="s">
        <v>1651</v>
      </c>
      <c r="B927" s="69" t="s">
        <v>1826</v>
      </c>
      <c r="C927" s="69" t="s">
        <v>1827</v>
      </c>
      <c r="D927" s="69">
        <v>6290362349136</v>
      </c>
      <c r="E927" s="69" t="s">
        <v>42</v>
      </c>
      <c r="F927" s="69" t="s">
        <v>14</v>
      </c>
      <c r="G927" s="83">
        <v>13797</v>
      </c>
      <c r="I927" s="38" t="str">
        <f>IF(H927&gt;0,COUNTIF($H$16:H927,"&gt;0"),"")</f>
        <v/>
      </c>
    </row>
    <row r="928" spans="1:9" s="56" customFormat="1">
      <c r="A928" s="69" t="s">
        <v>1651</v>
      </c>
      <c r="B928" s="69" t="s">
        <v>1828</v>
      </c>
      <c r="C928" s="69" t="s">
        <v>1829</v>
      </c>
      <c r="D928" s="69">
        <v>6290362349167</v>
      </c>
      <c r="E928" s="69" t="s">
        <v>42</v>
      </c>
      <c r="F928" s="69" t="s">
        <v>14</v>
      </c>
      <c r="G928" s="83">
        <v>13797</v>
      </c>
      <c r="I928" s="38" t="str">
        <f>IF(H928&gt;0,COUNTIF($H$16:H928,"&gt;0"),"")</f>
        <v/>
      </c>
    </row>
    <row r="929" spans="1:9" s="56" customFormat="1">
      <c r="A929" s="69" t="s">
        <v>1651</v>
      </c>
      <c r="B929" s="69" t="s">
        <v>1830</v>
      </c>
      <c r="C929" s="69" t="s">
        <v>1831</v>
      </c>
      <c r="D929" s="69">
        <v>6290362349181</v>
      </c>
      <c r="E929" s="69" t="s">
        <v>42</v>
      </c>
      <c r="F929" s="69" t="s">
        <v>14</v>
      </c>
      <c r="G929" s="83">
        <v>13797</v>
      </c>
      <c r="I929" s="38" t="str">
        <f>IF(H929&gt;0,COUNTIF($H$16:H929,"&gt;0"),"")</f>
        <v/>
      </c>
    </row>
    <row r="930" spans="1:9" s="56" customFormat="1">
      <c r="A930" s="69" t="s">
        <v>1651</v>
      </c>
      <c r="B930" s="69" t="s">
        <v>1832</v>
      </c>
      <c r="C930" s="69" t="s">
        <v>1833</v>
      </c>
      <c r="D930" s="69">
        <v>6290362349143</v>
      </c>
      <c r="E930" s="69" t="s">
        <v>42</v>
      </c>
      <c r="F930" s="69" t="s">
        <v>14</v>
      </c>
      <c r="G930" s="83">
        <v>13797</v>
      </c>
      <c r="I930" s="38" t="str">
        <f>IF(H930&gt;0,COUNTIF($H$16:H930,"&gt;0"),"")</f>
        <v/>
      </c>
    </row>
    <row r="931" spans="1:9" s="56" customFormat="1">
      <c r="A931" s="69" t="s">
        <v>1651</v>
      </c>
      <c r="B931" s="69" t="s">
        <v>1834</v>
      </c>
      <c r="C931" s="69" t="s">
        <v>1835</v>
      </c>
      <c r="D931" s="69">
        <v>6290362349174</v>
      </c>
      <c r="E931" s="69" t="s">
        <v>17</v>
      </c>
      <c r="F931" s="69" t="s">
        <v>14</v>
      </c>
      <c r="G931" s="83">
        <v>13797</v>
      </c>
      <c r="I931" s="38" t="str">
        <f>IF(H931&gt;0,COUNTIF($H$16:H931,"&gt;0"),"")</f>
        <v/>
      </c>
    </row>
    <row r="932" spans="1:9" s="56" customFormat="1">
      <c r="A932" s="69" t="s">
        <v>1651</v>
      </c>
      <c r="B932" s="69" t="s">
        <v>1836</v>
      </c>
      <c r="C932" s="69" t="s">
        <v>1837</v>
      </c>
      <c r="D932" s="69">
        <v>6298043160315</v>
      </c>
      <c r="E932" s="69" t="s">
        <v>17</v>
      </c>
      <c r="F932" s="69" t="s">
        <v>14</v>
      </c>
      <c r="G932" s="83">
        <v>11546</v>
      </c>
      <c r="I932" s="38" t="str">
        <f>IF(H932&gt;0,COUNTIF($H$16:H932,"&gt;0"),"")</f>
        <v/>
      </c>
    </row>
    <row r="933" spans="1:9" s="56" customFormat="1">
      <c r="A933" s="69" t="s">
        <v>1651</v>
      </c>
      <c r="B933" s="69" t="s">
        <v>1838</v>
      </c>
      <c r="C933" s="69" t="s">
        <v>1839</v>
      </c>
      <c r="D933" s="69">
        <v>6290362340683</v>
      </c>
      <c r="E933" s="69" t="s">
        <v>17</v>
      </c>
      <c r="F933" s="69" t="s">
        <v>14</v>
      </c>
      <c r="G933" s="83">
        <v>14229</v>
      </c>
      <c r="I933" s="38" t="str">
        <f>IF(H933&gt;0,COUNTIF($H$16:H933,"&gt;0"),"")</f>
        <v/>
      </c>
    </row>
    <row r="934" spans="1:9" s="56" customFormat="1">
      <c r="A934" s="69" t="s">
        <v>1651</v>
      </c>
      <c r="B934" s="69" t="s">
        <v>1840</v>
      </c>
      <c r="C934" s="69" t="s">
        <v>1841</v>
      </c>
      <c r="D934" s="69">
        <v>6290360599359</v>
      </c>
      <c r="E934" s="69" t="s">
        <v>17</v>
      </c>
      <c r="F934" s="69" t="s">
        <v>14</v>
      </c>
      <c r="G934" s="83">
        <v>12759</v>
      </c>
      <c r="I934" s="38" t="str">
        <f>IF(H934&gt;0,COUNTIF($H$16:H934,"&gt;0"),"")</f>
        <v/>
      </c>
    </row>
    <row r="935" spans="1:9" s="56" customFormat="1">
      <c r="A935" s="69" t="s">
        <v>1651</v>
      </c>
      <c r="B935" s="69" t="s">
        <v>1842</v>
      </c>
      <c r="C935" s="69" t="s">
        <v>1843</v>
      </c>
      <c r="D935" s="69">
        <v>6290360599366</v>
      </c>
      <c r="E935" s="69" t="s">
        <v>17</v>
      </c>
      <c r="F935" s="69" t="s">
        <v>14</v>
      </c>
      <c r="G935" s="83">
        <v>12759</v>
      </c>
      <c r="I935" s="38" t="str">
        <f>IF(H935&gt;0,COUNTIF($H$16:H935,"&gt;0"),"")</f>
        <v/>
      </c>
    </row>
    <row r="936" spans="1:9" s="56" customFormat="1">
      <c r="A936" s="69" t="s">
        <v>1651</v>
      </c>
      <c r="B936" s="69" t="s">
        <v>1844</v>
      </c>
      <c r="C936" s="69" t="s">
        <v>1845</v>
      </c>
      <c r="D936" s="69">
        <v>6298043160278</v>
      </c>
      <c r="E936" s="69" t="s">
        <v>13</v>
      </c>
      <c r="F936" s="69" t="s">
        <v>14</v>
      </c>
      <c r="G936" s="83">
        <v>12412</v>
      </c>
      <c r="I936" s="38" t="str">
        <f>IF(H936&gt;0,COUNTIF($H$16:H936,"&gt;0"),"")</f>
        <v/>
      </c>
    </row>
    <row r="937" spans="1:9" s="56" customFormat="1">
      <c r="A937" s="69" t="s">
        <v>1651</v>
      </c>
      <c r="B937" s="69" t="s">
        <v>1846</v>
      </c>
      <c r="C937" s="69" t="s">
        <v>1847</v>
      </c>
      <c r="D937" s="69">
        <v>6290360598673</v>
      </c>
      <c r="E937" s="69" t="s">
        <v>17</v>
      </c>
      <c r="F937" s="69" t="s">
        <v>14</v>
      </c>
      <c r="G937" s="83">
        <v>13018</v>
      </c>
      <c r="I937" s="38" t="str">
        <f>IF(H937&gt;0,COUNTIF($H$16:H937,"&gt;0"),"")</f>
        <v/>
      </c>
    </row>
    <row r="938" spans="1:9" s="56" customFormat="1">
      <c r="A938" s="69" t="s">
        <v>1651</v>
      </c>
      <c r="B938" s="69" t="s">
        <v>1848</v>
      </c>
      <c r="C938" s="69" t="s">
        <v>1849</v>
      </c>
      <c r="D938" s="69">
        <v>6290360598697</v>
      </c>
      <c r="E938" s="69" t="s">
        <v>42</v>
      </c>
      <c r="F938" s="69" t="s">
        <v>14</v>
      </c>
      <c r="G938" s="83">
        <v>13105</v>
      </c>
      <c r="I938" s="38" t="str">
        <f>IF(H938&gt;0,COUNTIF($H$16:H938,"&gt;0"),"")</f>
        <v/>
      </c>
    </row>
    <row r="939" spans="1:9" s="56" customFormat="1">
      <c r="A939" s="69" t="s">
        <v>1651</v>
      </c>
      <c r="B939" s="69" t="s">
        <v>1850</v>
      </c>
      <c r="C939" s="69" t="s">
        <v>1851</v>
      </c>
      <c r="D939" s="69">
        <v>6290362347989</v>
      </c>
      <c r="E939" s="69" t="s">
        <v>17</v>
      </c>
      <c r="F939" s="69" t="s">
        <v>14</v>
      </c>
      <c r="G939" s="83">
        <v>11460</v>
      </c>
      <c r="I939" s="38" t="str">
        <f>IF(H939&gt;0,COUNTIF($H$16:H939,"&gt;0"),"")</f>
        <v/>
      </c>
    </row>
    <row r="940" spans="1:9" s="56" customFormat="1">
      <c r="A940" s="69" t="s">
        <v>1651</v>
      </c>
      <c r="B940" s="69" t="s">
        <v>1852</v>
      </c>
      <c r="C940" s="69" t="s">
        <v>1853</v>
      </c>
      <c r="D940" s="69">
        <v>6290360597065</v>
      </c>
      <c r="E940" s="69" t="s">
        <v>17</v>
      </c>
      <c r="F940" s="69" t="s">
        <v>14</v>
      </c>
      <c r="G940" s="83">
        <v>8777</v>
      </c>
      <c r="I940" s="38" t="str">
        <f>IF(H940&gt;0,COUNTIF($H$16:H940,"&gt;0"),"")</f>
        <v/>
      </c>
    </row>
    <row r="941" spans="1:9" s="56" customFormat="1">
      <c r="A941" s="69" t="s">
        <v>1651</v>
      </c>
      <c r="B941" s="69" t="s">
        <v>1854</v>
      </c>
      <c r="C941" s="69" t="s">
        <v>1855</v>
      </c>
      <c r="D941" s="69">
        <v>6290360597072</v>
      </c>
      <c r="E941" s="69" t="s">
        <v>13</v>
      </c>
      <c r="F941" s="69" t="s">
        <v>14</v>
      </c>
      <c r="G941" s="83">
        <v>8777</v>
      </c>
      <c r="I941" s="38" t="str">
        <f>IF(H941&gt;0,COUNTIF($H$16:H941,"&gt;0"),"")</f>
        <v/>
      </c>
    </row>
    <row r="942" spans="1:9" s="56" customFormat="1">
      <c r="A942" s="69" t="s">
        <v>1651</v>
      </c>
      <c r="B942" s="69" t="s">
        <v>1856</v>
      </c>
      <c r="C942" s="69" t="s">
        <v>1857</v>
      </c>
      <c r="D942" s="69">
        <v>6290362348337</v>
      </c>
      <c r="E942" s="69" t="s">
        <v>17</v>
      </c>
      <c r="F942" s="69" t="s">
        <v>14</v>
      </c>
      <c r="G942" s="83">
        <v>9988</v>
      </c>
      <c r="I942" s="38" t="str">
        <f>IF(H942&gt;0,COUNTIF($H$16:H942,"&gt;0"),"")</f>
        <v/>
      </c>
    </row>
    <row r="943" spans="1:9" s="56" customFormat="1">
      <c r="A943" s="69" t="s">
        <v>1651</v>
      </c>
      <c r="B943" s="69" t="s">
        <v>1858</v>
      </c>
      <c r="C943" s="69" t="s">
        <v>1859</v>
      </c>
      <c r="D943" s="69">
        <v>6290362344308</v>
      </c>
      <c r="E943" s="69" t="s">
        <v>42</v>
      </c>
      <c r="F943" s="69" t="s">
        <v>14</v>
      </c>
      <c r="G943" s="83">
        <v>8777</v>
      </c>
      <c r="I943" s="38" t="str">
        <f>IF(H943&gt;0,COUNTIF($H$16:H943,"&gt;0"),"")</f>
        <v/>
      </c>
    </row>
    <row r="944" spans="1:9" s="56" customFormat="1">
      <c r="A944" s="69" t="s">
        <v>1651</v>
      </c>
      <c r="B944" s="69" t="s">
        <v>1860</v>
      </c>
      <c r="C944" s="69" t="s">
        <v>1861</v>
      </c>
      <c r="D944" s="69">
        <v>6290362348351</v>
      </c>
      <c r="E944" s="69" t="s">
        <v>13</v>
      </c>
      <c r="F944" s="69" t="s">
        <v>14</v>
      </c>
      <c r="G944" s="83">
        <v>9988</v>
      </c>
      <c r="I944" s="38" t="str">
        <f>IF(H944&gt;0,COUNTIF($H$16:H944,"&gt;0"),"")</f>
        <v/>
      </c>
    </row>
    <row r="945" spans="1:9" s="56" customFormat="1">
      <c r="A945" s="69" t="s">
        <v>1862</v>
      </c>
      <c r="B945" s="69" t="s">
        <v>1863</v>
      </c>
      <c r="C945" s="69" t="s">
        <v>1864</v>
      </c>
      <c r="D945" s="69">
        <v>6290362160823</v>
      </c>
      <c r="E945" s="69" t="s">
        <v>13</v>
      </c>
      <c r="F945" s="69" t="s">
        <v>14</v>
      </c>
      <c r="G945" s="83">
        <v>15701</v>
      </c>
      <c r="I945" s="38" t="str">
        <f>IF(H945&gt;0,COUNTIF($H$16:H945,"&gt;0"),"")</f>
        <v/>
      </c>
    </row>
    <row r="946" spans="1:9" s="56" customFormat="1">
      <c r="A946" s="69" t="s">
        <v>1862</v>
      </c>
      <c r="B946" s="69" t="s">
        <v>1865</v>
      </c>
      <c r="C946" s="69" t="s">
        <v>1866</v>
      </c>
      <c r="D946" s="69">
        <v>6290362163824</v>
      </c>
      <c r="E946" s="69" t="s">
        <v>17</v>
      </c>
      <c r="F946" s="69" t="s">
        <v>14</v>
      </c>
      <c r="G946" s="83">
        <v>22196</v>
      </c>
      <c r="I946" s="38" t="str">
        <f>IF(H946&gt;0,COUNTIF($H$16:H946,"&gt;0"),"")</f>
        <v/>
      </c>
    </row>
    <row r="947" spans="1:9" s="56" customFormat="1">
      <c r="A947" s="69" t="s">
        <v>1862</v>
      </c>
      <c r="B947" s="69" t="s">
        <v>1867</v>
      </c>
      <c r="C947" s="69" t="s">
        <v>1868</v>
      </c>
      <c r="D947" s="69">
        <v>6291107017006</v>
      </c>
      <c r="E947" s="69" t="s">
        <v>13</v>
      </c>
      <c r="F947" s="69" t="s">
        <v>14</v>
      </c>
      <c r="G947" s="83">
        <v>12672</v>
      </c>
      <c r="I947" s="38" t="str">
        <f>IF(H947&gt;0,COUNTIF($H$16:H947,"&gt;0"),"")</f>
        <v/>
      </c>
    </row>
    <row r="948" spans="1:9" s="56" customFormat="1">
      <c r="A948" s="69" t="s">
        <v>1862</v>
      </c>
      <c r="B948" s="69" t="s">
        <v>1869</v>
      </c>
      <c r="C948" s="69" t="s">
        <v>1870</v>
      </c>
      <c r="D948" s="69">
        <v>6290362161790</v>
      </c>
      <c r="E948" s="69" t="s">
        <v>42</v>
      </c>
      <c r="F948" s="69" t="s">
        <v>14</v>
      </c>
      <c r="G948" s="83">
        <v>12672</v>
      </c>
      <c r="I948" s="38" t="str">
        <f>IF(H948&gt;0,COUNTIF($H$16:H948,"&gt;0"),"")</f>
        <v/>
      </c>
    </row>
    <row r="949" spans="1:9" s="56" customFormat="1">
      <c r="A949" s="69" t="s">
        <v>1862</v>
      </c>
      <c r="B949" s="69" t="s">
        <v>1871</v>
      </c>
      <c r="C949" s="69" t="s">
        <v>1872</v>
      </c>
      <c r="D949" s="69">
        <v>6291107015842</v>
      </c>
      <c r="E949" s="69" t="s">
        <v>17</v>
      </c>
      <c r="F949" s="69" t="s">
        <v>14</v>
      </c>
      <c r="G949" s="83">
        <v>13451</v>
      </c>
      <c r="I949" s="38" t="str">
        <f>IF(H949&gt;0,COUNTIF($H$16:H949,"&gt;0"),"")</f>
        <v/>
      </c>
    </row>
    <row r="950" spans="1:9" s="56" customFormat="1">
      <c r="A950" s="69" t="s">
        <v>1862</v>
      </c>
      <c r="B950" s="69" t="s">
        <v>1873</v>
      </c>
      <c r="C950" s="69" t="s">
        <v>1874</v>
      </c>
      <c r="D950" s="69">
        <v>6290362164371</v>
      </c>
      <c r="E950" s="69" t="s">
        <v>17</v>
      </c>
      <c r="F950" s="69" t="s">
        <v>14</v>
      </c>
      <c r="G950" s="83">
        <v>22196</v>
      </c>
      <c r="I950" s="38" t="str">
        <f>IF(H950&gt;0,COUNTIF($H$16:H950,"&gt;0"),"")</f>
        <v/>
      </c>
    </row>
    <row r="951" spans="1:9" s="56" customFormat="1">
      <c r="A951" s="69" t="s">
        <v>1862</v>
      </c>
      <c r="B951" s="69" t="s">
        <v>1875</v>
      </c>
      <c r="C951" s="69" t="s">
        <v>1876</v>
      </c>
      <c r="D951" s="69">
        <v>6291107015439</v>
      </c>
      <c r="E951" s="69" t="s">
        <v>42</v>
      </c>
      <c r="F951" s="69" t="s">
        <v>14</v>
      </c>
      <c r="G951" s="83">
        <v>12672</v>
      </c>
      <c r="I951" s="38" t="str">
        <f>IF(H951&gt;0,COUNTIF($H$16:H951,"&gt;0"),"")</f>
        <v/>
      </c>
    </row>
    <row r="952" spans="1:9" s="56" customFormat="1">
      <c r="A952" s="69" t="s">
        <v>1862</v>
      </c>
      <c r="B952" s="69" t="s">
        <v>1877</v>
      </c>
      <c r="C952" s="69" t="s">
        <v>1878</v>
      </c>
      <c r="D952" s="69">
        <v>6290362164364</v>
      </c>
      <c r="E952" s="69" t="s">
        <v>17</v>
      </c>
      <c r="F952" s="69" t="s">
        <v>14</v>
      </c>
      <c r="G952" s="83">
        <v>22196</v>
      </c>
      <c r="I952" s="38" t="str">
        <f>IF(H952&gt;0,COUNTIF($H$16:H952,"&gt;0"),"")</f>
        <v/>
      </c>
    </row>
    <row r="953" spans="1:9" s="56" customFormat="1">
      <c r="A953" s="69" t="s">
        <v>1862</v>
      </c>
      <c r="B953" s="69" t="s">
        <v>1879</v>
      </c>
      <c r="C953" s="69" t="s">
        <v>1880</v>
      </c>
      <c r="D953" s="69">
        <v>6290362162858</v>
      </c>
      <c r="E953" s="69" t="s">
        <v>17</v>
      </c>
      <c r="F953" s="69" t="s">
        <v>14</v>
      </c>
      <c r="G953" s="83">
        <v>29381</v>
      </c>
      <c r="I953" s="38" t="str">
        <f>IF(H953&gt;0,COUNTIF($H$16:H953,"&gt;0"),"")</f>
        <v/>
      </c>
    </row>
    <row r="954" spans="1:9" s="56" customFormat="1">
      <c r="A954" s="69" t="s">
        <v>1862</v>
      </c>
      <c r="B954" s="69" t="s">
        <v>1881</v>
      </c>
      <c r="C954" s="69" t="s">
        <v>1882</v>
      </c>
      <c r="D954" s="69">
        <v>6290362160748</v>
      </c>
      <c r="E954" s="69" t="s">
        <v>13</v>
      </c>
      <c r="F954" s="69" t="s">
        <v>14</v>
      </c>
      <c r="G954" s="83">
        <v>15701</v>
      </c>
      <c r="I954" s="38" t="str">
        <f>IF(H954&gt;0,COUNTIF($H$16:H954,"&gt;0"),"")</f>
        <v/>
      </c>
    </row>
    <row r="955" spans="1:9" s="56" customFormat="1">
      <c r="A955" s="69" t="s">
        <v>1862</v>
      </c>
      <c r="B955" s="69" t="s">
        <v>1883</v>
      </c>
      <c r="C955" s="69" t="s">
        <v>1884</v>
      </c>
      <c r="D955" s="69">
        <v>6291107015590</v>
      </c>
      <c r="E955" s="69" t="s">
        <v>17</v>
      </c>
      <c r="F955" s="69" t="s">
        <v>14</v>
      </c>
      <c r="G955" s="83">
        <v>12672</v>
      </c>
      <c r="I955" s="38" t="str">
        <f>IF(H955&gt;0,COUNTIF($H$16:H955,"&gt;0"),"")</f>
        <v/>
      </c>
    </row>
    <row r="956" spans="1:9" s="56" customFormat="1">
      <c r="A956" s="69" t="s">
        <v>1862</v>
      </c>
      <c r="B956" s="69" t="s">
        <v>1885</v>
      </c>
      <c r="C956" s="69" t="s">
        <v>1886</v>
      </c>
      <c r="D956" s="69">
        <v>6290362163831</v>
      </c>
      <c r="E956" s="69" t="s">
        <v>17</v>
      </c>
      <c r="F956" s="69" t="s">
        <v>14</v>
      </c>
      <c r="G956" s="83">
        <v>22196</v>
      </c>
      <c r="I956" s="38" t="str">
        <f>IF(H956&gt;0,COUNTIF($H$16:H956,"&gt;0"),"")</f>
        <v/>
      </c>
    </row>
    <row r="957" spans="1:9" s="56" customFormat="1">
      <c r="A957" s="69" t="s">
        <v>1862</v>
      </c>
      <c r="B957" s="69" t="s">
        <v>1887</v>
      </c>
      <c r="C957" s="69" t="s">
        <v>1888</v>
      </c>
      <c r="D957" s="69">
        <v>6291107016948</v>
      </c>
      <c r="E957" s="69" t="s">
        <v>17</v>
      </c>
      <c r="F957" s="69" t="s">
        <v>14</v>
      </c>
      <c r="G957" s="83">
        <v>22196</v>
      </c>
      <c r="I957" s="38" t="str">
        <f>IF(H957&gt;0,COUNTIF($H$16:H957,"&gt;0"),"")</f>
        <v/>
      </c>
    </row>
    <row r="958" spans="1:9" s="56" customFormat="1">
      <c r="A958" s="69" t="s">
        <v>1862</v>
      </c>
      <c r="B958" s="69" t="s">
        <v>1889</v>
      </c>
      <c r="C958" s="69" t="s">
        <v>1890</v>
      </c>
      <c r="D958" s="69">
        <v>6290362163107</v>
      </c>
      <c r="E958" s="69" t="s">
        <v>17</v>
      </c>
      <c r="F958" s="69" t="s">
        <v>14</v>
      </c>
      <c r="G958" s="83">
        <v>20895</v>
      </c>
      <c r="I958" s="38" t="str">
        <f>IF(H958&gt;0,COUNTIF($H$16:H958,"&gt;0"),"")</f>
        <v/>
      </c>
    </row>
    <row r="959" spans="1:9" s="56" customFormat="1">
      <c r="A959" s="69" t="s">
        <v>1862</v>
      </c>
      <c r="B959" s="69" t="s">
        <v>1891</v>
      </c>
      <c r="C959" s="69" t="s">
        <v>1892</v>
      </c>
      <c r="D959" s="69">
        <v>6290362160762</v>
      </c>
      <c r="E959" s="69" t="s">
        <v>17</v>
      </c>
      <c r="F959" s="69" t="s">
        <v>14</v>
      </c>
      <c r="G959" s="83">
        <v>15788</v>
      </c>
      <c r="I959" s="38" t="str">
        <f>IF(H959&gt;0,COUNTIF($H$16:H959,"&gt;0"),"")</f>
        <v/>
      </c>
    </row>
    <row r="960" spans="1:9" s="56" customFormat="1">
      <c r="A960" s="69" t="s">
        <v>1862</v>
      </c>
      <c r="B960" s="69" t="s">
        <v>1893</v>
      </c>
      <c r="C960" s="69" t="s">
        <v>1894</v>
      </c>
      <c r="D960" s="69">
        <v>6290362163848</v>
      </c>
      <c r="E960" s="69" t="s">
        <v>42</v>
      </c>
      <c r="F960" s="69" t="s">
        <v>14</v>
      </c>
      <c r="G960" s="83">
        <v>18817</v>
      </c>
      <c r="I960" s="38" t="str">
        <f>IF(H960&gt;0,COUNTIF($H$16:H960,"&gt;0"),"")</f>
        <v/>
      </c>
    </row>
    <row r="961" spans="1:9" s="56" customFormat="1">
      <c r="A961" s="69" t="s">
        <v>1862</v>
      </c>
      <c r="B961" s="69" t="s">
        <v>1895</v>
      </c>
      <c r="C961" s="69" t="s">
        <v>1896</v>
      </c>
      <c r="D961" s="69">
        <v>6290362163381</v>
      </c>
      <c r="E961" s="69" t="s">
        <v>17</v>
      </c>
      <c r="F961" s="69" t="s">
        <v>14</v>
      </c>
      <c r="G961" s="83">
        <v>20895</v>
      </c>
      <c r="I961" s="38" t="str">
        <f>IF(H961&gt;0,COUNTIF($H$16:H961,"&gt;0"),"")</f>
        <v/>
      </c>
    </row>
    <row r="962" spans="1:9" s="56" customFormat="1">
      <c r="A962" s="69" t="s">
        <v>1862</v>
      </c>
      <c r="B962" s="69" t="s">
        <v>1897</v>
      </c>
      <c r="C962" s="69" t="s">
        <v>1898</v>
      </c>
      <c r="D962" s="69">
        <v>6290362160830</v>
      </c>
      <c r="E962" s="69" t="s">
        <v>17</v>
      </c>
      <c r="F962" s="69" t="s">
        <v>14</v>
      </c>
      <c r="G962" s="83">
        <v>12672</v>
      </c>
      <c r="I962" s="38" t="str">
        <f>IF(H962&gt;0,COUNTIF($H$16:H962,"&gt;0"),"")</f>
        <v/>
      </c>
    </row>
    <row r="963" spans="1:9" s="56" customFormat="1">
      <c r="A963" s="69" t="s">
        <v>1862</v>
      </c>
      <c r="B963" s="69" t="s">
        <v>1899</v>
      </c>
      <c r="C963" s="69" t="s">
        <v>1900</v>
      </c>
      <c r="D963" s="69">
        <v>6290362163817</v>
      </c>
      <c r="E963" s="69" t="s">
        <v>17</v>
      </c>
      <c r="F963" s="69" t="s">
        <v>14</v>
      </c>
      <c r="G963" s="83">
        <v>22196</v>
      </c>
      <c r="I963" s="38" t="str">
        <f>IF(H963&gt;0,COUNTIF($H$16:H963,"&gt;0"),"")</f>
        <v/>
      </c>
    </row>
    <row r="964" spans="1:9" s="56" customFormat="1">
      <c r="A964" s="69" t="s">
        <v>1862</v>
      </c>
      <c r="B964" s="69" t="s">
        <v>1901</v>
      </c>
      <c r="C964" s="69" t="s">
        <v>1902</v>
      </c>
      <c r="D964" s="69">
        <v>6290362160793</v>
      </c>
      <c r="E964" s="69" t="s">
        <v>42</v>
      </c>
      <c r="F964" s="69" t="s">
        <v>14</v>
      </c>
      <c r="G964" s="83">
        <v>15701</v>
      </c>
      <c r="I964" s="38" t="str">
        <f>IF(H964&gt;0,COUNTIF($H$16:H964,"&gt;0"),"")</f>
        <v/>
      </c>
    </row>
    <row r="965" spans="1:9" s="56" customFormat="1">
      <c r="A965" s="69" t="s">
        <v>1862</v>
      </c>
      <c r="B965" s="69" t="s">
        <v>1903</v>
      </c>
      <c r="C965" s="69" t="s">
        <v>1904</v>
      </c>
      <c r="D965" s="69">
        <v>6291107016955</v>
      </c>
      <c r="E965" s="69" t="s">
        <v>42</v>
      </c>
      <c r="F965" s="69" t="s">
        <v>14</v>
      </c>
      <c r="G965" s="83">
        <v>22196</v>
      </c>
      <c r="I965" s="38" t="str">
        <f>IF(H965&gt;0,COUNTIF($H$16:H965,"&gt;0"),"")</f>
        <v/>
      </c>
    </row>
    <row r="966" spans="1:9" s="56" customFormat="1">
      <c r="A966" s="69" t="s">
        <v>1862</v>
      </c>
      <c r="B966" s="69" t="s">
        <v>1905</v>
      </c>
      <c r="C966" s="69" t="s">
        <v>1906</v>
      </c>
      <c r="D966" s="69">
        <v>6291107016931</v>
      </c>
      <c r="E966" s="69" t="s">
        <v>17</v>
      </c>
      <c r="F966" s="69" t="s">
        <v>14</v>
      </c>
      <c r="G966" s="83">
        <v>22196</v>
      </c>
      <c r="I966" s="38" t="str">
        <f>IF(H966&gt;0,COUNTIF($H$16:H966,"&gt;0"),"")</f>
        <v/>
      </c>
    </row>
    <row r="967" spans="1:9" s="56" customFormat="1">
      <c r="A967" s="69" t="s">
        <v>1862</v>
      </c>
      <c r="B967" s="69" t="s">
        <v>1907</v>
      </c>
      <c r="C967" s="69" t="s">
        <v>1908</v>
      </c>
      <c r="D967" s="69">
        <v>6290362163619</v>
      </c>
      <c r="E967" s="69" t="s">
        <v>17</v>
      </c>
      <c r="F967" s="69" t="s">
        <v>14</v>
      </c>
      <c r="G967" s="83">
        <v>18990</v>
      </c>
      <c r="I967" s="38" t="str">
        <f>IF(H967&gt;0,COUNTIF($H$16:H967,"&gt;0"),"")</f>
        <v/>
      </c>
    </row>
    <row r="968" spans="1:9" s="56" customFormat="1">
      <c r="A968" s="69" t="s">
        <v>1862</v>
      </c>
      <c r="B968" s="69" t="s">
        <v>1909</v>
      </c>
      <c r="C968" s="69" t="s">
        <v>1910</v>
      </c>
      <c r="D968" s="69">
        <v>6291107017044</v>
      </c>
      <c r="E968" s="69" t="s">
        <v>17</v>
      </c>
      <c r="F968" s="69" t="s">
        <v>14</v>
      </c>
      <c r="G968" s="83">
        <v>14662</v>
      </c>
      <c r="I968" s="38" t="str">
        <f>IF(H968&gt;0,COUNTIF($H$16:H968,"&gt;0"),"")</f>
        <v/>
      </c>
    </row>
    <row r="969" spans="1:9" s="56" customFormat="1">
      <c r="A969" s="69" t="s">
        <v>1862</v>
      </c>
      <c r="B969" s="69" t="s">
        <v>1911</v>
      </c>
      <c r="C969" s="69" t="s">
        <v>1912</v>
      </c>
      <c r="D969" s="69">
        <v>6291107015804</v>
      </c>
      <c r="E969" s="69" t="s">
        <v>42</v>
      </c>
      <c r="F969" s="69" t="s">
        <v>14</v>
      </c>
      <c r="G969" s="83">
        <v>20028</v>
      </c>
      <c r="I969" s="38" t="str">
        <f>IF(H969&gt;0,COUNTIF($H$16:H969,"&gt;0"),"")</f>
        <v/>
      </c>
    </row>
    <row r="970" spans="1:9" s="56" customFormat="1">
      <c r="A970" s="69" t="s">
        <v>1862</v>
      </c>
      <c r="B970" s="69" t="s">
        <v>1913</v>
      </c>
      <c r="C970" s="69" t="s">
        <v>1914</v>
      </c>
      <c r="D970" s="69">
        <v>6290362163855</v>
      </c>
      <c r="E970" s="69" t="s">
        <v>42</v>
      </c>
      <c r="F970" s="69" t="s">
        <v>14</v>
      </c>
      <c r="G970" s="83">
        <v>18817</v>
      </c>
      <c r="I970" s="38" t="str">
        <f>IF(H970&gt;0,COUNTIF($H$16:H970,"&gt;0"),"")</f>
        <v/>
      </c>
    </row>
    <row r="971" spans="1:9" s="56" customFormat="1">
      <c r="A971" s="69" t="s">
        <v>1862</v>
      </c>
      <c r="B971" s="69" t="s">
        <v>1915</v>
      </c>
      <c r="C971" s="69" t="s">
        <v>1916</v>
      </c>
      <c r="D971" s="69">
        <v>6290362164890</v>
      </c>
      <c r="E971" s="69" t="s">
        <v>17</v>
      </c>
      <c r="F971" s="69" t="s">
        <v>14</v>
      </c>
      <c r="G971" s="83">
        <v>23235</v>
      </c>
      <c r="I971" s="38" t="str">
        <f>IF(H971&gt;0,COUNTIF($H$16:H971,"&gt;0"),"")</f>
        <v/>
      </c>
    </row>
    <row r="972" spans="1:9" s="56" customFormat="1">
      <c r="A972" s="69" t="s">
        <v>1862</v>
      </c>
      <c r="B972" s="69" t="s">
        <v>1917</v>
      </c>
      <c r="C972" s="69" t="s">
        <v>1918</v>
      </c>
      <c r="D972" s="69">
        <v>6291107015088</v>
      </c>
      <c r="E972" s="69" t="s">
        <v>17</v>
      </c>
      <c r="F972" s="69" t="s">
        <v>14</v>
      </c>
      <c r="G972" s="83">
        <v>14662</v>
      </c>
      <c r="I972" s="38" t="str">
        <f>IF(H972&gt;0,COUNTIF($H$16:H972,"&gt;0"),"")</f>
        <v/>
      </c>
    </row>
    <row r="973" spans="1:9" s="56" customFormat="1">
      <c r="A973" s="69" t="s">
        <v>1862</v>
      </c>
      <c r="B973" s="69" t="s">
        <v>1919</v>
      </c>
      <c r="C973" s="69" t="s">
        <v>1920</v>
      </c>
      <c r="D973" s="69">
        <v>6290362160786</v>
      </c>
      <c r="E973" s="69" t="s">
        <v>42</v>
      </c>
      <c r="F973" s="69" t="s">
        <v>14</v>
      </c>
      <c r="G973" s="83">
        <v>16740</v>
      </c>
      <c r="I973" s="38" t="str">
        <f>IF(H973&gt;0,COUNTIF($H$16:H973,"&gt;0"),"")</f>
        <v/>
      </c>
    </row>
    <row r="974" spans="1:9" s="56" customFormat="1">
      <c r="A974" s="69" t="s">
        <v>1862</v>
      </c>
      <c r="B974" s="69" t="s">
        <v>1921</v>
      </c>
      <c r="C974" s="69" t="s">
        <v>1922</v>
      </c>
      <c r="D974" s="69">
        <v>6291107016924</v>
      </c>
      <c r="E974" s="69" t="s">
        <v>17</v>
      </c>
      <c r="F974" s="69" t="s">
        <v>14</v>
      </c>
      <c r="G974" s="83">
        <v>22196</v>
      </c>
      <c r="I974" s="38" t="str">
        <f>IF(H974&gt;0,COUNTIF($H$16:H974,"&gt;0"),"")</f>
        <v/>
      </c>
    </row>
    <row r="975" spans="1:9" s="56" customFormat="1">
      <c r="A975" s="69" t="s">
        <v>1862</v>
      </c>
      <c r="B975" s="69" t="s">
        <v>1923</v>
      </c>
      <c r="C975" s="69" t="s">
        <v>1924</v>
      </c>
      <c r="D975" s="69">
        <v>6290362164401</v>
      </c>
      <c r="E975" s="69" t="s">
        <v>17</v>
      </c>
      <c r="F975" s="69" t="s">
        <v>14</v>
      </c>
      <c r="G975" s="83">
        <v>24274</v>
      </c>
      <c r="I975" s="38" t="str">
        <f>IF(H975&gt;0,COUNTIF($H$16:H975,"&gt;0"),"")</f>
        <v/>
      </c>
    </row>
    <row r="976" spans="1:9" s="56" customFormat="1">
      <c r="A976" s="69" t="s">
        <v>1862</v>
      </c>
      <c r="B976" s="69" t="s">
        <v>1925</v>
      </c>
      <c r="C976" s="69" t="s">
        <v>1926</v>
      </c>
      <c r="D976" s="69">
        <v>6290362164395</v>
      </c>
      <c r="E976" s="69" t="s">
        <v>17</v>
      </c>
      <c r="F976" s="69" t="s">
        <v>14</v>
      </c>
      <c r="G976" s="83">
        <v>24274</v>
      </c>
      <c r="I976" s="38" t="str">
        <f>IF(H976&gt;0,COUNTIF($H$16:H976,"&gt;0"),"")</f>
        <v/>
      </c>
    </row>
    <row r="977" spans="1:9" s="56" customFormat="1">
      <c r="A977" s="69" t="s">
        <v>1862</v>
      </c>
      <c r="B977" s="69" t="s">
        <v>1927</v>
      </c>
      <c r="C977" s="69" t="s">
        <v>1928</v>
      </c>
      <c r="D977" s="69">
        <v>6291107015514</v>
      </c>
      <c r="E977" s="69" t="s">
        <v>17</v>
      </c>
      <c r="F977" s="69" t="s">
        <v>14</v>
      </c>
      <c r="G977" s="83">
        <v>20895</v>
      </c>
      <c r="I977" s="38" t="str">
        <f>IF(H977&gt;0,COUNTIF($H$16:H977,"&gt;0"),"")</f>
        <v/>
      </c>
    </row>
    <row r="978" spans="1:9" s="56" customFormat="1">
      <c r="A978" s="69" t="s">
        <v>1862</v>
      </c>
      <c r="B978" s="69" t="s">
        <v>1929</v>
      </c>
      <c r="C978" s="69" t="s">
        <v>1930</v>
      </c>
      <c r="D978" s="69">
        <v>6290362163862</v>
      </c>
      <c r="E978" s="69" t="s">
        <v>42</v>
      </c>
      <c r="F978" s="69" t="s">
        <v>14</v>
      </c>
      <c r="G978" s="83">
        <v>18817</v>
      </c>
      <c r="I978" s="38" t="str">
        <f>IF(H978&gt;0,COUNTIF($H$16:H978,"&gt;0"),"")</f>
        <v/>
      </c>
    </row>
    <row r="979" spans="1:9" s="56" customFormat="1">
      <c r="A979" s="69" t="s">
        <v>1862</v>
      </c>
      <c r="B979" s="69" t="s">
        <v>1931</v>
      </c>
      <c r="C979" s="69" t="s">
        <v>1932</v>
      </c>
      <c r="D979" s="69">
        <v>6290362164906</v>
      </c>
      <c r="E979" s="69" t="s">
        <v>17</v>
      </c>
      <c r="F979" s="69" t="s">
        <v>14</v>
      </c>
      <c r="G979" s="83">
        <v>23235</v>
      </c>
      <c r="I979" s="38" t="str">
        <f>IF(H979&gt;0,COUNTIF($H$16:H979,"&gt;0"),"")</f>
        <v/>
      </c>
    </row>
    <row r="980" spans="1:9" s="56" customFormat="1">
      <c r="A980" s="69" t="s">
        <v>1862</v>
      </c>
      <c r="B980" s="69" t="s">
        <v>1933</v>
      </c>
      <c r="C980" s="69" t="s">
        <v>1934</v>
      </c>
      <c r="D980" s="69">
        <v>6290362164944</v>
      </c>
      <c r="E980" s="69" t="s">
        <v>17</v>
      </c>
      <c r="F980" s="69" t="s">
        <v>14</v>
      </c>
      <c r="G980" s="83">
        <v>18817</v>
      </c>
      <c r="I980" s="38" t="str">
        <f>IF(H980&gt;0,COUNTIF($H$16:H980,"&gt;0"),"")</f>
        <v/>
      </c>
    </row>
    <row r="981" spans="1:9" s="56" customFormat="1">
      <c r="A981" s="69" t="s">
        <v>1862</v>
      </c>
      <c r="B981" s="69" t="s">
        <v>1935</v>
      </c>
      <c r="C981" s="69" t="s">
        <v>1936</v>
      </c>
      <c r="D981" s="69">
        <v>6290362164630</v>
      </c>
      <c r="E981" s="69" t="s">
        <v>42</v>
      </c>
      <c r="F981" s="69" t="s">
        <v>14</v>
      </c>
      <c r="G981" s="83">
        <v>18817</v>
      </c>
      <c r="I981" s="38" t="str">
        <f>IF(H981&gt;0,COUNTIF($H$16:H981,"&gt;0"),"")</f>
        <v/>
      </c>
    </row>
    <row r="982" spans="1:9" s="56" customFormat="1">
      <c r="A982" s="69" t="s">
        <v>1862</v>
      </c>
      <c r="B982" s="69" t="s">
        <v>1937</v>
      </c>
      <c r="C982" s="69" t="s">
        <v>1938</v>
      </c>
      <c r="D982" s="69">
        <v>6290362162841</v>
      </c>
      <c r="E982" s="69" t="s">
        <v>17</v>
      </c>
      <c r="F982" s="69" t="s">
        <v>14</v>
      </c>
      <c r="G982" s="83">
        <v>29381</v>
      </c>
      <c r="I982" s="38" t="str">
        <f>IF(H982&gt;0,COUNTIF($H$16:H982,"&gt;0"),"")</f>
        <v/>
      </c>
    </row>
    <row r="983" spans="1:9" s="56" customFormat="1">
      <c r="A983" s="69" t="s">
        <v>1862</v>
      </c>
      <c r="B983" s="69" t="s">
        <v>1939</v>
      </c>
      <c r="C983" s="69" t="s">
        <v>1940</v>
      </c>
      <c r="D983" s="69">
        <v>6290362164388</v>
      </c>
      <c r="E983" s="69" t="s">
        <v>17</v>
      </c>
      <c r="F983" s="69" t="s">
        <v>14</v>
      </c>
      <c r="G983" s="83">
        <v>22196</v>
      </c>
      <c r="I983" s="38" t="str">
        <f>IF(H983&gt;0,COUNTIF($H$16:H983,"&gt;0"),"")</f>
        <v/>
      </c>
    </row>
    <row r="984" spans="1:9" s="56" customFormat="1">
      <c r="A984" s="69" t="s">
        <v>1862</v>
      </c>
      <c r="B984" s="69" t="s">
        <v>1941</v>
      </c>
      <c r="C984" s="69" t="s">
        <v>1942</v>
      </c>
      <c r="D984" s="69">
        <v>6291107015415</v>
      </c>
      <c r="E984" s="69" t="s">
        <v>17</v>
      </c>
      <c r="F984" s="69" t="s">
        <v>14</v>
      </c>
      <c r="G984" s="83">
        <v>14662</v>
      </c>
      <c r="I984" s="38" t="str">
        <f>IF(H984&gt;0,COUNTIF($H$16:H984,"&gt;0"),"")</f>
        <v/>
      </c>
    </row>
    <row r="985" spans="1:9" s="56" customFormat="1">
      <c r="A985" s="69" t="s">
        <v>1943</v>
      </c>
      <c r="B985" s="69" t="s">
        <v>1944</v>
      </c>
      <c r="C985" s="69" t="s">
        <v>1945</v>
      </c>
      <c r="D985" s="69">
        <v>8427395013651</v>
      </c>
      <c r="E985" s="69" t="s">
        <v>13</v>
      </c>
      <c r="F985" s="69" t="s">
        <v>63</v>
      </c>
      <c r="G985" s="83">
        <v>9296</v>
      </c>
      <c r="I985" s="38" t="str">
        <f>IF(H985&gt;0,COUNTIF($H$16:H985,"&gt;0"),"")</f>
        <v/>
      </c>
    </row>
    <row r="986" spans="1:9" s="56" customFormat="1">
      <c r="A986" s="69" t="s">
        <v>1943</v>
      </c>
      <c r="B986" s="69" t="s">
        <v>1946</v>
      </c>
      <c r="C986" s="69" t="s">
        <v>1947</v>
      </c>
      <c r="D986" s="69">
        <v>8427395015006</v>
      </c>
      <c r="E986" s="69" t="s">
        <v>13</v>
      </c>
      <c r="F986" s="69" t="s">
        <v>63</v>
      </c>
      <c r="G986" s="83">
        <v>9296</v>
      </c>
      <c r="I986" s="38" t="str">
        <f>IF(H986&gt;0,COUNTIF($H$16:H986,"&gt;0"),"")</f>
        <v/>
      </c>
    </row>
    <row r="987" spans="1:9" s="56" customFormat="1">
      <c r="A987" s="69" t="s">
        <v>1948</v>
      </c>
      <c r="B987" s="69" t="s">
        <v>1949</v>
      </c>
      <c r="C987" s="69" t="s">
        <v>1950</v>
      </c>
      <c r="D987" s="69">
        <v>6291107017112</v>
      </c>
      <c r="E987" s="69" t="s">
        <v>17</v>
      </c>
      <c r="F987" s="69" t="s">
        <v>14</v>
      </c>
      <c r="G987" s="83">
        <v>28341</v>
      </c>
      <c r="I987" s="38" t="str">
        <f>IF(H987&gt;0,COUNTIF($H$16:H987,"&gt;0"),"")</f>
        <v/>
      </c>
    </row>
    <row r="988" spans="1:9" s="56" customFormat="1">
      <c r="A988" s="69" t="s">
        <v>1951</v>
      </c>
      <c r="B988" s="69" t="s">
        <v>1952</v>
      </c>
      <c r="C988" s="69" t="s">
        <v>1953</v>
      </c>
      <c r="D988" s="69">
        <v>6291107019291</v>
      </c>
      <c r="E988" s="69" t="s">
        <v>42</v>
      </c>
      <c r="F988" s="69" t="s">
        <v>14</v>
      </c>
      <c r="G988" s="83">
        <v>10075</v>
      </c>
      <c r="I988" s="38" t="str">
        <f>IF(H988&gt;0,COUNTIF($H$16:H988,"&gt;0"),"")</f>
        <v/>
      </c>
    </row>
    <row r="989" spans="1:9" s="56" customFormat="1">
      <c r="A989" s="69" t="s">
        <v>1951</v>
      </c>
      <c r="B989" s="69" t="s">
        <v>1954</v>
      </c>
      <c r="C989" s="69" t="s">
        <v>1955</v>
      </c>
      <c r="D989" s="69">
        <v>6291107019284</v>
      </c>
      <c r="E989" s="69" t="s">
        <v>13</v>
      </c>
      <c r="F989" s="69" t="s">
        <v>14</v>
      </c>
      <c r="G989" s="83">
        <v>10075</v>
      </c>
      <c r="I989" s="38" t="str">
        <f>IF(H989&gt;0,COUNTIF($H$16:H989,"&gt;0"),"")</f>
        <v/>
      </c>
    </row>
    <row r="990" spans="1:9" s="56" customFormat="1">
      <c r="A990" s="69" t="s">
        <v>1951</v>
      </c>
      <c r="B990" s="69" t="s">
        <v>1956</v>
      </c>
      <c r="C990" s="69" t="s">
        <v>1957</v>
      </c>
      <c r="D990" s="69">
        <v>6291107019215</v>
      </c>
      <c r="E990" s="69" t="s">
        <v>42</v>
      </c>
      <c r="F990" s="69" t="s">
        <v>14</v>
      </c>
      <c r="G990" s="83">
        <v>10162</v>
      </c>
      <c r="I990" s="38" t="str">
        <f>IF(H990&gt;0,COUNTIF($H$16:H990,"&gt;0"),"")</f>
        <v/>
      </c>
    </row>
    <row r="991" spans="1:9" s="56" customFormat="1">
      <c r="A991" s="69" t="s">
        <v>1951</v>
      </c>
      <c r="B991" s="69" t="s">
        <v>1958</v>
      </c>
      <c r="C991" s="69" t="s">
        <v>1959</v>
      </c>
      <c r="D991" s="69">
        <v>6291107019314</v>
      </c>
      <c r="E991" s="69" t="s">
        <v>42</v>
      </c>
      <c r="F991" s="69" t="s">
        <v>14</v>
      </c>
      <c r="G991" s="83">
        <v>10075</v>
      </c>
      <c r="I991" s="38" t="str">
        <f>IF(H991&gt;0,COUNTIF($H$16:H991,"&gt;0"),"")</f>
        <v/>
      </c>
    </row>
    <row r="992" spans="1:9" s="56" customFormat="1">
      <c r="A992" s="69" t="s">
        <v>1960</v>
      </c>
      <c r="B992" s="69" t="s">
        <v>1961</v>
      </c>
      <c r="C992" s="69" t="s">
        <v>1962</v>
      </c>
      <c r="D992" s="69">
        <v>3595471031167</v>
      </c>
      <c r="E992" s="69" t="s">
        <v>42</v>
      </c>
      <c r="F992" s="69" t="s">
        <v>14</v>
      </c>
      <c r="G992" s="83">
        <v>16220</v>
      </c>
      <c r="I992" s="38" t="str">
        <f>IF(H992&gt;0,COUNTIF($H$16:H992,"&gt;0"),"")</f>
        <v/>
      </c>
    </row>
    <row r="993" spans="1:9" s="56" customFormat="1">
      <c r="A993" s="69" t="s">
        <v>1963</v>
      </c>
      <c r="B993" s="69" t="s">
        <v>1964</v>
      </c>
      <c r="C993" s="69" t="s">
        <v>1965</v>
      </c>
      <c r="D993" s="69">
        <v>8050612939818</v>
      </c>
      <c r="E993" s="69" t="s">
        <v>17</v>
      </c>
      <c r="F993" s="69" t="s">
        <v>14</v>
      </c>
      <c r="G993" s="83">
        <v>22456</v>
      </c>
      <c r="I993" s="38" t="str">
        <f>IF(H993&gt;0,COUNTIF($H$16:H993,"&gt;0"),"")</f>
        <v/>
      </c>
    </row>
    <row r="994" spans="1:9" s="56" customFormat="1">
      <c r="A994" s="69" t="s">
        <v>1963</v>
      </c>
      <c r="B994" s="69" t="s">
        <v>1966</v>
      </c>
      <c r="C994" s="69" t="s">
        <v>1967</v>
      </c>
      <c r="D994" s="69">
        <v>8050612939825</v>
      </c>
      <c r="E994" s="69" t="s">
        <v>17</v>
      </c>
      <c r="F994" s="69" t="s">
        <v>14</v>
      </c>
      <c r="G994" s="83">
        <v>22456</v>
      </c>
      <c r="I994" s="38" t="str">
        <f>IF(H994&gt;0,COUNTIF($H$16:H994,"&gt;0"),"")</f>
        <v/>
      </c>
    </row>
    <row r="995" spans="1:9" s="56" customFormat="1">
      <c r="A995" s="69" t="s">
        <v>1968</v>
      </c>
      <c r="B995" s="69" t="s">
        <v>1969</v>
      </c>
      <c r="C995" s="69" t="s">
        <v>1970</v>
      </c>
      <c r="D995" s="69">
        <v>3386460126274</v>
      </c>
      <c r="E995" s="69" t="s">
        <v>42</v>
      </c>
      <c r="F995" s="69" t="s">
        <v>14</v>
      </c>
      <c r="G995" s="83">
        <v>36610</v>
      </c>
      <c r="I995" s="38" t="str">
        <f>IF(H995&gt;0,COUNTIF($H$16:H995,"&gt;0"),"")</f>
        <v/>
      </c>
    </row>
    <row r="996" spans="1:9" s="56" customFormat="1">
      <c r="A996" s="69" t="s">
        <v>1968</v>
      </c>
      <c r="B996" s="69" t="s">
        <v>1971</v>
      </c>
      <c r="C996" s="69" t="s">
        <v>1972</v>
      </c>
      <c r="D996" s="69">
        <v>3386460126304</v>
      </c>
      <c r="E996" s="69" t="s">
        <v>42</v>
      </c>
      <c r="F996" s="69" t="s">
        <v>14</v>
      </c>
      <c r="G996" s="83">
        <v>36610</v>
      </c>
      <c r="I996" s="38" t="str">
        <f>IF(H996&gt;0,COUNTIF($H$16:H996,"&gt;0"),"")</f>
        <v/>
      </c>
    </row>
    <row r="997" spans="1:9" s="56" customFormat="1">
      <c r="A997" s="69" t="s">
        <v>1968</v>
      </c>
      <c r="B997" s="69" t="s">
        <v>1973</v>
      </c>
      <c r="C997" s="69" t="s">
        <v>1974</v>
      </c>
      <c r="D997" s="69">
        <v>3386460126298</v>
      </c>
      <c r="E997" s="69" t="s">
        <v>42</v>
      </c>
      <c r="F997" s="69" t="s">
        <v>14</v>
      </c>
      <c r="G997" s="83">
        <v>51084</v>
      </c>
      <c r="I997" s="38" t="str">
        <f>IF(H997&gt;0,COUNTIF($H$16:H997,"&gt;0"),"")</f>
        <v/>
      </c>
    </row>
    <row r="998" spans="1:9" s="56" customFormat="1">
      <c r="A998" s="69" t="s">
        <v>1968</v>
      </c>
      <c r="B998" s="69" t="s">
        <v>1975</v>
      </c>
      <c r="C998" s="69" t="s">
        <v>1976</v>
      </c>
      <c r="D998" s="69">
        <v>3386460126243</v>
      </c>
      <c r="E998" s="69" t="s">
        <v>13</v>
      </c>
      <c r="F998" s="69" t="s">
        <v>14</v>
      </c>
      <c r="G998" s="83">
        <v>36610</v>
      </c>
      <c r="I998" s="38" t="str">
        <f>IF(H998&gt;0,COUNTIF($H$16:H998,"&gt;0"),"")</f>
        <v/>
      </c>
    </row>
    <row r="999" spans="1:9" s="56" customFormat="1">
      <c r="A999" s="69" t="s">
        <v>1968</v>
      </c>
      <c r="B999" s="69" t="s">
        <v>1977</v>
      </c>
      <c r="C999" s="69" t="s">
        <v>1978</v>
      </c>
      <c r="D999" s="69">
        <v>3386460126236</v>
      </c>
      <c r="E999" s="69" t="s">
        <v>13</v>
      </c>
      <c r="F999" s="69" t="s">
        <v>14</v>
      </c>
      <c r="G999" s="83">
        <v>51084</v>
      </c>
      <c r="I999" s="38" t="str">
        <f>IF(H999&gt;0,COUNTIF($H$16:H999,"&gt;0"),"")</f>
        <v/>
      </c>
    </row>
    <row r="1000" spans="1:9" s="56" customFormat="1">
      <c r="A1000" s="69" t="s">
        <v>1968</v>
      </c>
      <c r="B1000" s="69" t="s">
        <v>1979</v>
      </c>
      <c r="C1000" s="69" t="s">
        <v>1980</v>
      </c>
      <c r="D1000" s="69">
        <v>3386460126229</v>
      </c>
      <c r="E1000" s="69" t="s">
        <v>13</v>
      </c>
      <c r="F1000" s="69" t="s">
        <v>14</v>
      </c>
      <c r="G1000" s="83">
        <v>26351</v>
      </c>
      <c r="I1000" s="38" t="str">
        <f>IF(H1000&gt;0,COUNTIF($H$16:H1000,"&gt;0"),"")</f>
        <v/>
      </c>
    </row>
    <row r="1001" spans="1:9" s="56" customFormat="1">
      <c r="A1001" s="69" t="s">
        <v>1968</v>
      </c>
      <c r="B1001" s="69" t="s">
        <v>1981</v>
      </c>
      <c r="C1001" s="69" t="s">
        <v>1982</v>
      </c>
      <c r="D1001" s="69">
        <v>3386460126212</v>
      </c>
      <c r="E1001" s="69" t="s">
        <v>13</v>
      </c>
      <c r="F1001" s="69" t="s">
        <v>14</v>
      </c>
      <c r="G1001" s="83">
        <v>36610</v>
      </c>
      <c r="I1001" s="38" t="str">
        <f>IF(H1001&gt;0,COUNTIF($H$16:H1001,"&gt;0"),"")</f>
        <v/>
      </c>
    </row>
    <row r="1002" spans="1:9" s="56" customFormat="1">
      <c r="A1002" s="69" t="s">
        <v>128</v>
      </c>
      <c r="B1002" s="69" t="s">
        <v>1983</v>
      </c>
      <c r="C1002" s="69" t="s">
        <v>1984</v>
      </c>
      <c r="D1002" s="69">
        <v>3386460118125</v>
      </c>
      <c r="E1002" s="69" t="s">
        <v>13</v>
      </c>
      <c r="F1002" s="69" t="s">
        <v>14</v>
      </c>
      <c r="G1002" s="83">
        <v>37735</v>
      </c>
      <c r="I1002" s="38" t="str">
        <f>IF(H1002&gt;0,COUNTIF($H$16:H1002,"&gt;0"),"")</f>
        <v/>
      </c>
    </row>
    <row r="1003" spans="1:9" s="56" customFormat="1">
      <c r="A1003" s="69" t="s">
        <v>128</v>
      </c>
      <c r="B1003" s="69" t="s">
        <v>1985</v>
      </c>
      <c r="C1003" s="69" t="s">
        <v>1986</v>
      </c>
      <c r="D1003" s="69">
        <v>3386460128391</v>
      </c>
      <c r="E1003" s="69" t="s">
        <v>13</v>
      </c>
      <c r="F1003" s="69" t="s">
        <v>14</v>
      </c>
      <c r="G1003" s="83">
        <v>17605</v>
      </c>
      <c r="I1003" s="38" t="str">
        <f>IF(H1003&gt;0,COUNTIF($H$16:H1003,"&gt;0"),"")</f>
        <v/>
      </c>
    </row>
    <row r="1004" spans="1:9" s="56" customFormat="1">
      <c r="A1004" s="69" t="s">
        <v>128</v>
      </c>
      <c r="B1004" s="69" t="s">
        <v>1987</v>
      </c>
      <c r="C1004" s="69" t="s">
        <v>1988</v>
      </c>
      <c r="D1004" s="69">
        <v>3386460144230</v>
      </c>
      <c r="E1004" s="69" t="s">
        <v>13</v>
      </c>
      <c r="F1004" s="69" t="s">
        <v>14</v>
      </c>
      <c r="G1004" s="83">
        <v>34879</v>
      </c>
      <c r="I1004" s="38" t="str">
        <f>IF(H1004&gt;0,COUNTIF($H$16:H1004,"&gt;0"),"")</f>
        <v/>
      </c>
    </row>
    <row r="1005" spans="1:9" s="56" customFormat="1">
      <c r="A1005" s="69" t="s">
        <v>128</v>
      </c>
      <c r="B1005" s="69" t="s">
        <v>1989</v>
      </c>
      <c r="C1005" s="69" t="s">
        <v>1990</v>
      </c>
      <c r="D1005" s="69">
        <v>3386460144254</v>
      </c>
      <c r="E1005" s="69" t="s">
        <v>13</v>
      </c>
      <c r="F1005" s="69" t="s">
        <v>14</v>
      </c>
      <c r="G1005" s="83">
        <v>22456</v>
      </c>
      <c r="I1005" s="38" t="str">
        <f>IF(H1005&gt;0,COUNTIF($H$16:H1005,"&gt;0"),"")</f>
        <v/>
      </c>
    </row>
    <row r="1006" spans="1:9" s="56" customFormat="1">
      <c r="A1006" s="69" t="s">
        <v>128</v>
      </c>
      <c r="B1006" s="69" t="s">
        <v>1991</v>
      </c>
      <c r="C1006" s="69" t="s">
        <v>1992</v>
      </c>
      <c r="D1006" s="69">
        <v>3386460153720</v>
      </c>
      <c r="E1006" s="69" t="s">
        <v>13</v>
      </c>
      <c r="F1006" s="69" t="s">
        <v>14</v>
      </c>
      <c r="G1006" s="83">
        <v>48660</v>
      </c>
      <c r="I1006" s="38" t="str">
        <f>IF(H1006&gt;0,COUNTIF($H$16:H1006,"&gt;0"),"")</f>
        <v/>
      </c>
    </row>
    <row r="1007" spans="1:9" s="56" customFormat="1">
      <c r="A1007" s="69" t="s">
        <v>128</v>
      </c>
      <c r="B1007" s="69" t="s">
        <v>1993</v>
      </c>
      <c r="C1007" s="69" t="s">
        <v>1994</v>
      </c>
      <c r="D1007" s="69">
        <v>3386460028400</v>
      </c>
      <c r="E1007" s="69" t="s">
        <v>13</v>
      </c>
      <c r="F1007" s="69" t="s">
        <v>14</v>
      </c>
      <c r="G1007" s="83">
        <v>15788</v>
      </c>
      <c r="I1007" s="38" t="str">
        <f>IF(H1007&gt;0,COUNTIF($H$16:H1007,"&gt;0"),"")</f>
        <v/>
      </c>
    </row>
    <row r="1008" spans="1:9" s="56" customFormat="1">
      <c r="A1008" s="69" t="s">
        <v>128</v>
      </c>
      <c r="B1008" s="69" t="s">
        <v>1995</v>
      </c>
      <c r="C1008" s="69" t="s">
        <v>1996</v>
      </c>
      <c r="D1008" s="69">
        <v>3386460118132</v>
      </c>
      <c r="E1008" s="69" t="s">
        <v>13</v>
      </c>
      <c r="F1008" s="69" t="s">
        <v>14</v>
      </c>
      <c r="G1008" s="83">
        <v>27303</v>
      </c>
      <c r="I1008" s="38" t="str">
        <f>IF(H1008&gt;0,COUNTIF($H$16:H1008,"&gt;0"),"")</f>
        <v/>
      </c>
    </row>
    <row r="1009" spans="1:9" s="56" customFormat="1">
      <c r="A1009" s="69" t="s">
        <v>128</v>
      </c>
      <c r="B1009" s="69" t="s">
        <v>1997</v>
      </c>
      <c r="C1009" s="69" t="s">
        <v>1998</v>
      </c>
      <c r="D1009" s="69">
        <v>3386460169967</v>
      </c>
      <c r="E1009" s="69" t="s">
        <v>13</v>
      </c>
      <c r="F1009" s="69" t="s">
        <v>14</v>
      </c>
      <c r="G1009" s="83">
        <v>33668</v>
      </c>
      <c r="I1009" s="38" t="str">
        <f>IF(H1009&gt;0,COUNTIF($H$16:H1009,"&gt;0"),"")</f>
        <v/>
      </c>
    </row>
    <row r="1010" spans="1:9" s="56" customFormat="1">
      <c r="A1010" s="69" t="s">
        <v>128</v>
      </c>
      <c r="B1010" s="69" t="s">
        <v>1999</v>
      </c>
      <c r="C1010" s="69" t="s">
        <v>2000</v>
      </c>
      <c r="D1010" s="69">
        <v>3386460032698</v>
      </c>
      <c r="E1010" s="69" t="s">
        <v>13</v>
      </c>
      <c r="F1010" s="69" t="s">
        <v>14</v>
      </c>
      <c r="G1010" s="83">
        <v>26265</v>
      </c>
      <c r="I1010" s="38" t="str">
        <f>IF(H1010&gt;0,COUNTIF($H$16:H1010,"&gt;0"),"")</f>
        <v/>
      </c>
    </row>
    <row r="1011" spans="1:9" s="56" customFormat="1">
      <c r="A1011" s="69" t="s">
        <v>128</v>
      </c>
      <c r="B1011" s="69" t="s">
        <v>2001</v>
      </c>
      <c r="C1011" s="69" t="s">
        <v>2002</v>
      </c>
      <c r="D1011" s="69">
        <v>3386460074827</v>
      </c>
      <c r="E1011" s="69" t="s">
        <v>13</v>
      </c>
      <c r="F1011" s="69" t="s">
        <v>14</v>
      </c>
      <c r="G1011" s="83">
        <v>34360</v>
      </c>
      <c r="I1011" s="38" t="str">
        <f>IF(H1011&gt;0,COUNTIF($H$16:H1011,"&gt;0"),"")</f>
        <v/>
      </c>
    </row>
    <row r="1012" spans="1:9" s="56" customFormat="1">
      <c r="A1012" s="69" t="s">
        <v>128</v>
      </c>
      <c r="B1012" s="69" t="s">
        <v>2003</v>
      </c>
      <c r="C1012" s="69" t="s">
        <v>2004</v>
      </c>
      <c r="D1012" s="69">
        <v>3386460074841</v>
      </c>
      <c r="E1012" s="69" t="s">
        <v>13</v>
      </c>
      <c r="F1012" s="69" t="s">
        <v>14</v>
      </c>
      <c r="G1012" s="83">
        <v>21764</v>
      </c>
      <c r="I1012" s="38" t="str">
        <f>IF(H1012&gt;0,COUNTIF($H$16:H1012,"&gt;0"),"")</f>
        <v/>
      </c>
    </row>
    <row r="1013" spans="1:9" s="56" customFormat="1">
      <c r="A1013" s="69" t="s">
        <v>128</v>
      </c>
      <c r="B1013" s="69" t="s">
        <v>129</v>
      </c>
      <c r="C1013" s="69" t="s">
        <v>130</v>
      </c>
      <c r="D1013" s="69">
        <v>3386460101035</v>
      </c>
      <c r="E1013" s="69" t="s">
        <v>13</v>
      </c>
      <c r="F1013" s="69" t="s">
        <v>14</v>
      </c>
      <c r="G1013" s="83">
        <v>38515</v>
      </c>
      <c r="I1013" s="38" t="str">
        <f>IF(H1013&gt;0,COUNTIF($H$16:H1013,"&gt;0"),"")</f>
        <v/>
      </c>
    </row>
    <row r="1014" spans="1:9" s="56" customFormat="1">
      <c r="A1014" s="69" t="s">
        <v>128</v>
      </c>
      <c r="B1014" s="69" t="s">
        <v>2005</v>
      </c>
      <c r="C1014" s="69" t="s">
        <v>2006</v>
      </c>
      <c r="D1014" s="69">
        <v>3386460132763</v>
      </c>
      <c r="E1014" s="69" t="s">
        <v>42</v>
      </c>
      <c r="F1014" s="69" t="s">
        <v>14</v>
      </c>
      <c r="G1014" s="83">
        <v>23841</v>
      </c>
      <c r="I1014" s="38" t="str">
        <f>IF(H1014&gt;0,COUNTIF($H$16:H1014,"&gt;0"),"")</f>
        <v/>
      </c>
    </row>
    <row r="1015" spans="1:9" s="56" customFormat="1">
      <c r="A1015" s="69" t="s">
        <v>128</v>
      </c>
      <c r="B1015" s="69" t="s">
        <v>131</v>
      </c>
      <c r="C1015" s="69" t="s">
        <v>132</v>
      </c>
      <c r="D1015" s="69">
        <v>3386460155397</v>
      </c>
      <c r="E1015" s="69" t="s">
        <v>42</v>
      </c>
      <c r="F1015" s="69" t="s">
        <v>14</v>
      </c>
      <c r="G1015" s="83">
        <v>39640</v>
      </c>
      <c r="I1015" s="38" t="str">
        <f>IF(H1015&gt;0,COUNTIF($H$16:H1015,"&gt;0"),"")</f>
        <v/>
      </c>
    </row>
    <row r="1016" spans="1:9" s="56" customFormat="1">
      <c r="A1016" s="69" t="s">
        <v>128</v>
      </c>
      <c r="B1016" s="69" t="s">
        <v>2007</v>
      </c>
      <c r="C1016" s="69" t="s">
        <v>2008</v>
      </c>
      <c r="D1016" s="69">
        <v>3386460028462</v>
      </c>
      <c r="E1016" s="69" t="s">
        <v>13</v>
      </c>
      <c r="F1016" s="69" t="s">
        <v>14</v>
      </c>
      <c r="G1016" s="83">
        <v>24793</v>
      </c>
      <c r="I1016" s="38" t="str">
        <f>IF(H1016&gt;0,COUNTIF($H$16:H1016,"&gt;0"),"")</f>
        <v/>
      </c>
    </row>
    <row r="1017" spans="1:9" s="56" customFormat="1">
      <c r="A1017" s="69" t="s">
        <v>128</v>
      </c>
      <c r="B1017" s="69" t="s">
        <v>2009</v>
      </c>
      <c r="C1017" s="69" t="s">
        <v>2010</v>
      </c>
      <c r="D1017" s="69">
        <v>3386460139274</v>
      </c>
      <c r="E1017" s="69" t="s">
        <v>13</v>
      </c>
      <c r="F1017" s="69" t="s">
        <v>69</v>
      </c>
      <c r="G1017" s="83">
        <v>20895</v>
      </c>
      <c r="I1017" s="38" t="str">
        <f>IF(H1017&gt;0,COUNTIF($H$16:H1017,"&gt;0"),"")</f>
        <v/>
      </c>
    </row>
    <row r="1018" spans="1:9" s="56" customFormat="1">
      <c r="A1018" s="69" t="s">
        <v>133</v>
      </c>
      <c r="B1018" s="69" t="s">
        <v>2011</v>
      </c>
      <c r="C1018" s="69" t="s">
        <v>2012</v>
      </c>
      <c r="D1018" s="69">
        <v>8011003864089</v>
      </c>
      <c r="E1018" s="69" t="s">
        <v>42</v>
      </c>
      <c r="F1018" s="69" t="s">
        <v>14</v>
      </c>
      <c r="G1018" s="83">
        <v>39467</v>
      </c>
      <c r="I1018" s="38" t="str">
        <f>IF(H1018&gt;0,COUNTIF($H$16:H1018,"&gt;0"),"")</f>
        <v/>
      </c>
    </row>
    <row r="1019" spans="1:9" s="56" customFormat="1">
      <c r="A1019" s="69" t="s">
        <v>133</v>
      </c>
      <c r="B1019" s="69" t="s">
        <v>2013</v>
      </c>
      <c r="C1019" s="69" t="s">
        <v>2014</v>
      </c>
      <c r="D1019" s="69">
        <v>8011003839308</v>
      </c>
      <c r="E1019" s="69" t="s">
        <v>42</v>
      </c>
      <c r="F1019" s="69" t="s">
        <v>14</v>
      </c>
      <c r="G1019" s="83">
        <v>41631</v>
      </c>
      <c r="I1019" s="38" t="str">
        <f>IF(H1019&gt;0,COUNTIF($H$16:H1019,"&gt;0"),"")</f>
        <v/>
      </c>
    </row>
    <row r="1020" spans="1:9" s="56" customFormat="1">
      <c r="A1020" s="69" t="s">
        <v>133</v>
      </c>
      <c r="B1020" s="69" t="s">
        <v>134</v>
      </c>
      <c r="C1020" s="69" t="s">
        <v>135</v>
      </c>
      <c r="D1020" s="69">
        <v>8011003878611</v>
      </c>
      <c r="E1020" s="69" t="s">
        <v>17</v>
      </c>
      <c r="F1020" s="69" t="s">
        <v>14</v>
      </c>
      <c r="G1020" s="83">
        <v>38169</v>
      </c>
      <c r="I1020" s="38" t="str">
        <f>IF(H1020&gt;0,COUNTIF($H$16:H1020,"&gt;0"),"")</f>
        <v/>
      </c>
    </row>
    <row r="1021" spans="1:9" s="56" customFormat="1">
      <c r="A1021" s="69" t="s">
        <v>2015</v>
      </c>
      <c r="B1021" s="69" t="s">
        <v>2016</v>
      </c>
      <c r="C1021" s="69" t="s">
        <v>2017</v>
      </c>
      <c r="D1021" s="69">
        <v>3475932544170</v>
      </c>
      <c r="E1021" s="69" t="s">
        <v>17</v>
      </c>
      <c r="F1021" s="69" t="s">
        <v>14</v>
      </c>
      <c r="G1021" s="83">
        <v>20288</v>
      </c>
      <c r="I1021" s="38" t="str">
        <f>IF(H1021&gt;0,COUNTIF($H$16:H1021,"&gt;0"),"")</f>
        <v/>
      </c>
    </row>
    <row r="1022" spans="1:9" s="56" customFormat="1">
      <c r="A1022" s="69" t="s">
        <v>2015</v>
      </c>
      <c r="B1022" s="69" t="s">
        <v>2018</v>
      </c>
      <c r="C1022" s="69" t="s">
        <v>2019</v>
      </c>
      <c r="D1022" s="69">
        <v>3475932544880</v>
      </c>
      <c r="E1022" s="69" t="s">
        <v>17</v>
      </c>
      <c r="F1022" s="69" t="s">
        <v>14</v>
      </c>
      <c r="G1022" s="83">
        <v>33581</v>
      </c>
      <c r="I1022" s="38" t="str">
        <f>IF(H1022&gt;0,COUNTIF($H$16:H1022,"&gt;0"),"")</f>
        <v/>
      </c>
    </row>
    <row r="1023" spans="1:9" s="56" customFormat="1">
      <c r="A1023" s="69" t="s">
        <v>2015</v>
      </c>
      <c r="B1023" s="69" t="s">
        <v>2020</v>
      </c>
      <c r="C1023" s="69" t="s">
        <v>2021</v>
      </c>
      <c r="D1023" s="69">
        <v>3475932544811</v>
      </c>
      <c r="E1023" s="69" t="s">
        <v>17</v>
      </c>
      <c r="F1023" s="69" t="s">
        <v>14</v>
      </c>
      <c r="G1023" s="83">
        <v>33581</v>
      </c>
      <c r="I1023" s="38" t="str">
        <f>IF(H1023&gt;0,COUNTIF($H$16:H1023,"&gt;0"),"")</f>
        <v/>
      </c>
    </row>
    <row r="1024" spans="1:9" s="56" customFormat="1">
      <c r="A1024" s="69" t="s">
        <v>2015</v>
      </c>
      <c r="B1024" s="69" t="s">
        <v>2022</v>
      </c>
      <c r="C1024" s="69" t="s">
        <v>2023</v>
      </c>
      <c r="D1024" s="69">
        <v>3475932544651</v>
      </c>
      <c r="E1024" s="69" t="s">
        <v>17</v>
      </c>
      <c r="F1024" s="69" t="s">
        <v>14</v>
      </c>
      <c r="G1024" s="83">
        <v>20288</v>
      </c>
      <c r="I1024" s="38" t="str">
        <f>IF(H1024&gt;0,COUNTIF($H$16:H1024,"&gt;0"),"")</f>
        <v/>
      </c>
    </row>
    <row r="1025" spans="1:9" s="56" customFormat="1">
      <c r="A1025" s="69" t="s">
        <v>2015</v>
      </c>
      <c r="B1025" s="69" t="s">
        <v>2024</v>
      </c>
      <c r="C1025" s="69" t="s">
        <v>2025</v>
      </c>
      <c r="D1025" s="69">
        <v>3475932544729</v>
      </c>
      <c r="E1025" s="69" t="s">
        <v>17</v>
      </c>
      <c r="F1025" s="69" t="s">
        <v>14</v>
      </c>
      <c r="G1025" s="83">
        <v>20288</v>
      </c>
      <c r="I1025" s="38" t="str">
        <f>IF(H1025&gt;0,COUNTIF($H$16:H1025,"&gt;0"),"")</f>
        <v/>
      </c>
    </row>
    <row r="1026" spans="1:9" s="56" customFormat="1">
      <c r="A1026" s="69" t="s">
        <v>2015</v>
      </c>
      <c r="B1026" s="69" t="s">
        <v>2026</v>
      </c>
      <c r="C1026" s="69" t="s">
        <v>2027</v>
      </c>
      <c r="D1026" s="69">
        <v>3475932545061</v>
      </c>
      <c r="E1026" s="69" t="s">
        <v>17</v>
      </c>
      <c r="F1026" s="69" t="s">
        <v>14</v>
      </c>
      <c r="G1026" s="83">
        <v>33581</v>
      </c>
      <c r="I1026" s="38" t="str">
        <f>IF(H1026&gt;0,COUNTIF($H$16:H1026,"&gt;0"),"")</f>
        <v/>
      </c>
    </row>
    <row r="1027" spans="1:9" s="56" customFormat="1">
      <c r="A1027" s="69" t="s">
        <v>2015</v>
      </c>
      <c r="B1027" s="69" t="s">
        <v>2028</v>
      </c>
      <c r="C1027" s="69" t="s">
        <v>2029</v>
      </c>
      <c r="D1027" s="69">
        <v>3475932544934</v>
      </c>
      <c r="E1027" s="69" t="s">
        <v>17</v>
      </c>
      <c r="F1027" s="69" t="s">
        <v>14</v>
      </c>
      <c r="G1027" s="83">
        <v>33581</v>
      </c>
      <c r="I1027" s="38" t="str">
        <f>IF(H1027&gt;0,COUNTIF($H$16:H1027,"&gt;0"),"")</f>
        <v/>
      </c>
    </row>
    <row r="1028" spans="1:9" s="56" customFormat="1">
      <c r="A1028" s="69" t="s">
        <v>2030</v>
      </c>
      <c r="B1028" s="69" t="s">
        <v>2031</v>
      </c>
      <c r="C1028" s="69" t="s">
        <v>2032</v>
      </c>
      <c r="D1028" s="69">
        <v>3137370358916</v>
      </c>
      <c r="E1028" s="69" t="s">
        <v>42</v>
      </c>
      <c r="F1028" s="69" t="s">
        <v>14</v>
      </c>
      <c r="G1028" s="83">
        <v>20895</v>
      </c>
      <c r="I1028" s="38" t="str">
        <f>IF(H1028&gt;0,COUNTIF($H$16:H1028,"&gt;0"),"")</f>
        <v/>
      </c>
    </row>
    <row r="1029" spans="1:9" s="56" customFormat="1">
      <c r="A1029" s="69" t="s">
        <v>2030</v>
      </c>
      <c r="B1029" s="69" t="s">
        <v>2033</v>
      </c>
      <c r="C1029" s="69" t="s">
        <v>2034</v>
      </c>
      <c r="D1029" s="69">
        <v>3137370358442</v>
      </c>
      <c r="E1029" s="69" t="s">
        <v>42</v>
      </c>
      <c r="F1029" s="69" t="s">
        <v>14</v>
      </c>
      <c r="G1029" s="83">
        <v>33322</v>
      </c>
      <c r="I1029" s="38" t="str">
        <f>IF(H1029&gt;0,COUNTIF($H$16:H1029,"&gt;0"),"")</f>
        <v/>
      </c>
    </row>
    <row r="1030" spans="1:9" s="56" customFormat="1">
      <c r="A1030" s="69" t="s">
        <v>136</v>
      </c>
      <c r="B1030" s="69" t="s">
        <v>137</v>
      </c>
      <c r="C1030" s="69" t="s">
        <v>138</v>
      </c>
      <c r="D1030" s="69">
        <v>3349668515660</v>
      </c>
      <c r="E1030" s="69" t="s">
        <v>13</v>
      </c>
      <c r="F1030" s="69" t="s">
        <v>14</v>
      </c>
      <c r="G1030" s="83">
        <v>66404</v>
      </c>
      <c r="I1030" s="38" t="str">
        <f>IF(H1030&gt;0,COUNTIF($H$16:H1030,"&gt;0"),"")</f>
        <v/>
      </c>
    </row>
    <row r="1031" spans="1:9" s="56" customFormat="1">
      <c r="A1031" s="69" t="s">
        <v>136</v>
      </c>
      <c r="B1031" s="69" t="s">
        <v>2035</v>
      </c>
      <c r="C1031" s="69" t="s">
        <v>2036</v>
      </c>
      <c r="D1031" s="69">
        <v>3349668508587</v>
      </c>
      <c r="E1031" s="69" t="s">
        <v>42</v>
      </c>
      <c r="F1031" s="69" t="s">
        <v>14</v>
      </c>
      <c r="G1031" s="83">
        <v>68655</v>
      </c>
      <c r="I1031" s="38" t="str">
        <f>IF(H1031&gt;0,COUNTIF($H$16:H1031,"&gt;0"),"")</f>
        <v/>
      </c>
    </row>
    <row r="1032" spans="1:9" s="56" customFormat="1">
      <c r="A1032" s="69" t="s">
        <v>136</v>
      </c>
      <c r="B1032" s="69" t="s">
        <v>2037</v>
      </c>
      <c r="C1032" s="69" t="s">
        <v>2038</v>
      </c>
      <c r="D1032" s="69">
        <v>3349668612635</v>
      </c>
      <c r="E1032" s="69" t="s">
        <v>42</v>
      </c>
      <c r="F1032" s="69" t="s">
        <v>14</v>
      </c>
      <c r="G1032" s="83">
        <v>68655</v>
      </c>
      <c r="I1032" s="38" t="str">
        <f>IF(H1032&gt;0,COUNTIF($H$16:H1032,"&gt;0"),"")</f>
        <v/>
      </c>
    </row>
    <row r="1033" spans="1:9" s="56" customFormat="1">
      <c r="A1033" s="69" t="s">
        <v>136</v>
      </c>
      <c r="B1033" s="69" t="s">
        <v>2039</v>
      </c>
      <c r="C1033" s="69" t="s">
        <v>2040</v>
      </c>
      <c r="D1033" s="69">
        <v>3349668612598</v>
      </c>
      <c r="E1033" s="69" t="s">
        <v>13</v>
      </c>
      <c r="F1033" s="69" t="s">
        <v>14</v>
      </c>
      <c r="G1033" s="83">
        <v>43275</v>
      </c>
      <c r="I1033" s="38" t="str">
        <f>IF(H1033&gt;0,COUNTIF($H$16:H1033,"&gt;0"),"")</f>
        <v/>
      </c>
    </row>
    <row r="1034" spans="1:9" s="56" customFormat="1">
      <c r="A1034" s="69" t="s">
        <v>136</v>
      </c>
      <c r="B1034" s="69" t="s">
        <v>2041</v>
      </c>
      <c r="C1034" s="69" t="s">
        <v>2042</v>
      </c>
      <c r="D1034" s="69">
        <v>3349668581948</v>
      </c>
      <c r="E1034" s="69" t="s">
        <v>13</v>
      </c>
      <c r="F1034" s="69" t="s">
        <v>14</v>
      </c>
      <c r="G1034" s="83">
        <v>97823</v>
      </c>
      <c r="I1034" s="38" t="str">
        <f>IF(H1034&gt;0,COUNTIF($H$16:H1034,"&gt;0"),"")</f>
        <v/>
      </c>
    </row>
    <row r="1035" spans="1:9" s="56" customFormat="1">
      <c r="A1035" s="69" t="s">
        <v>136</v>
      </c>
      <c r="B1035" s="69" t="s">
        <v>2043</v>
      </c>
      <c r="C1035" s="69" t="s">
        <v>2044</v>
      </c>
      <c r="D1035" s="69">
        <v>3349668594603</v>
      </c>
      <c r="E1035" s="69" t="s">
        <v>42</v>
      </c>
      <c r="F1035" s="69" t="s">
        <v>14</v>
      </c>
      <c r="G1035" s="83">
        <v>41198</v>
      </c>
      <c r="I1035" s="38" t="str">
        <f>IF(H1035&gt;0,COUNTIF($H$16:H1035,"&gt;0"),"")</f>
        <v/>
      </c>
    </row>
    <row r="1036" spans="1:9" s="56" customFormat="1">
      <c r="A1036" s="69" t="s">
        <v>136</v>
      </c>
      <c r="B1036" s="69" t="s">
        <v>2045</v>
      </c>
      <c r="C1036" s="69" t="s">
        <v>2046</v>
      </c>
      <c r="D1036" s="69">
        <v>3349668594412</v>
      </c>
      <c r="E1036" s="69" t="s">
        <v>42</v>
      </c>
      <c r="F1036" s="69" t="s">
        <v>14</v>
      </c>
      <c r="G1036" s="83">
        <v>74281</v>
      </c>
      <c r="I1036" s="38" t="str">
        <f>IF(H1036&gt;0,COUNTIF($H$16:H1036,"&gt;0"),"")</f>
        <v/>
      </c>
    </row>
    <row r="1037" spans="1:9" s="56" customFormat="1">
      <c r="A1037" s="69" t="s">
        <v>136</v>
      </c>
      <c r="B1037" s="69" t="s">
        <v>2047</v>
      </c>
      <c r="C1037" s="69" t="s">
        <v>2048</v>
      </c>
      <c r="D1037" s="69">
        <v>3349668630127</v>
      </c>
      <c r="E1037" s="69" t="s">
        <v>42</v>
      </c>
      <c r="F1037" s="69" t="s">
        <v>14</v>
      </c>
      <c r="G1037" s="83">
        <v>40765</v>
      </c>
      <c r="I1037" s="38" t="str">
        <f>IF(H1037&gt;0,COUNTIF($H$16:H1037,"&gt;0"),"")</f>
        <v/>
      </c>
    </row>
    <row r="1038" spans="1:9" s="56" customFormat="1">
      <c r="A1038" s="69" t="s">
        <v>136</v>
      </c>
      <c r="B1038" s="69" t="s">
        <v>2049</v>
      </c>
      <c r="C1038" s="69" t="s">
        <v>2050</v>
      </c>
      <c r="D1038" s="69">
        <v>3349668630448</v>
      </c>
      <c r="E1038" s="69" t="s">
        <v>42</v>
      </c>
      <c r="F1038" s="69" t="s">
        <v>14</v>
      </c>
      <c r="G1038" s="83">
        <v>76704</v>
      </c>
      <c r="I1038" s="38" t="str">
        <f>IF(H1038&gt;0,COUNTIF($H$16:H1038,"&gt;0"),"")</f>
        <v/>
      </c>
    </row>
    <row r="1039" spans="1:9" s="56" customFormat="1">
      <c r="A1039" s="69" t="s">
        <v>136</v>
      </c>
      <c r="B1039" s="69" t="s">
        <v>2051</v>
      </c>
      <c r="C1039" s="69" t="s">
        <v>2052</v>
      </c>
      <c r="D1039" s="69">
        <v>3349668614646</v>
      </c>
      <c r="E1039" s="69" t="s">
        <v>42</v>
      </c>
      <c r="F1039" s="69" t="s">
        <v>14</v>
      </c>
      <c r="G1039" s="83">
        <v>37476</v>
      </c>
      <c r="I1039" s="38" t="str">
        <f>IF(H1039&gt;0,COUNTIF($H$16:H1039,"&gt;0"),"")</f>
        <v/>
      </c>
    </row>
    <row r="1040" spans="1:9" s="56" customFormat="1">
      <c r="A1040" s="69" t="s">
        <v>136</v>
      </c>
      <c r="B1040" s="69" t="s">
        <v>2053</v>
      </c>
      <c r="C1040" s="69" t="s">
        <v>2054</v>
      </c>
      <c r="D1040" s="69">
        <v>3349668588732</v>
      </c>
      <c r="E1040" s="69" t="s">
        <v>13</v>
      </c>
      <c r="F1040" s="69" t="s">
        <v>14</v>
      </c>
      <c r="G1040" s="83">
        <v>76704</v>
      </c>
      <c r="I1040" s="38" t="str">
        <f>IF(H1040&gt;0,COUNTIF($H$16:H1040,"&gt;0"),"")</f>
        <v/>
      </c>
    </row>
    <row r="1041" spans="1:9" s="56" customFormat="1">
      <c r="A1041" s="69" t="s">
        <v>136</v>
      </c>
      <c r="B1041" s="69" t="s">
        <v>2055</v>
      </c>
      <c r="C1041" s="69" t="s">
        <v>2056</v>
      </c>
      <c r="D1041" s="69">
        <v>3349668617159</v>
      </c>
      <c r="E1041" s="69" t="s">
        <v>42</v>
      </c>
      <c r="F1041" s="69" t="s">
        <v>14</v>
      </c>
      <c r="G1041" s="83">
        <v>26265</v>
      </c>
      <c r="I1041" s="38" t="str">
        <f>IF(H1041&gt;0,COUNTIF($H$16:H1041,"&gt;0"),"")</f>
        <v/>
      </c>
    </row>
    <row r="1042" spans="1:9" s="56" customFormat="1">
      <c r="A1042" s="69" t="s">
        <v>136</v>
      </c>
      <c r="B1042" s="69" t="s">
        <v>2057</v>
      </c>
      <c r="C1042" s="69" t="s">
        <v>2058</v>
      </c>
      <c r="D1042" s="69">
        <v>3349668617166</v>
      </c>
      <c r="E1042" s="69" t="s">
        <v>42</v>
      </c>
      <c r="F1042" s="69" t="s">
        <v>14</v>
      </c>
      <c r="G1042" s="83">
        <v>50997</v>
      </c>
      <c r="I1042" s="38" t="str">
        <f>IF(H1042&gt;0,COUNTIF($H$16:H1042,"&gt;0"),"")</f>
        <v/>
      </c>
    </row>
    <row r="1043" spans="1:9" s="56" customFormat="1">
      <c r="A1043" s="69" t="s">
        <v>136</v>
      </c>
      <c r="B1043" s="69" t="s">
        <v>2059</v>
      </c>
      <c r="C1043" s="69" t="s">
        <v>2060</v>
      </c>
      <c r="D1043" s="69">
        <v>3349668582365</v>
      </c>
      <c r="E1043" s="69" t="s">
        <v>13</v>
      </c>
      <c r="F1043" s="69" t="s">
        <v>14</v>
      </c>
      <c r="G1043" s="83">
        <v>45458</v>
      </c>
      <c r="I1043" s="38" t="str">
        <f>IF(H1043&gt;0,COUNTIF($H$16:H1043,"&gt;0"),"")</f>
        <v/>
      </c>
    </row>
    <row r="1044" spans="1:9" s="56" customFormat="1">
      <c r="A1044" s="69" t="s">
        <v>136</v>
      </c>
      <c r="B1044" s="69" t="s">
        <v>2061</v>
      </c>
      <c r="C1044" s="69" t="s">
        <v>2062</v>
      </c>
      <c r="D1044" s="69">
        <v>3349668601073</v>
      </c>
      <c r="E1044" s="69" t="s">
        <v>13</v>
      </c>
      <c r="F1044" s="69" t="s">
        <v>14</v>
      </c>
      <c r="G1044" s="83">
        <v>60951</v>
      </c>
      <c r="I1044" s="38" t="str">
        <f>IF(H1044&gt;0,COUNTIF($H$16:H1044,"&gt;0"),"")</f>
        <v/>
      </c>
    </row>
    <row r="1045" spans="1:9" s="56" customFormat="1">
      <c r="A1045" s="69" t="s">
        <v>136</v>
      </c>
      <c r="B1045" s="69" t="s">
        <v>2063</v>
      </c>
      <c r="C1045" s="69" t="s">
        <v>2064</v>
      </c>
      <c r="D1045" s="69">
        <v>3349668576111</v>
      </c>
      <c r="E1045" s="69" t="s">
        <v>13</v>
      </c>
      <c r="F1045" s="69" t="s">
        <v>14</v>
      </c>
      <c r="G1045" s="83">
        <v>47795</v>
      </c>
      <c r="I1045" s="38" t="str">
        <f>IF(H1045&gt;0,COUNTIF($H$16:H1045,"&gt;0"),"")</f>
        <v/>
      </c>
    </row>
    <row r="1046" spans="1:9" s="56" customFormat="1">
      <c r="A1046" s="69" t="s">
        <v>136</v>
      </c>
      <c r="B1046" s="69" t="s">
        <v>2065</v>
      </c>
      <c r="C1046" s="69" t="s">
        <v>2066</v>
      </c>
      <c r="D1046" s="69">
        <v>3349668643936</v>
      </c>
      <c r="E1046" s="69" t="s">
        <v>42</v>
      </c>
      <c r="F1046" s="69" t="s">
        <v>14</v>
      </c>
      <c r="G1046" s="83">
        <v>47968</v>
      </c>
      <c r="I1046" s="38" t="str">
        <f>IF(H1046&gt;0,COUNTIF($H$16:H1046,"&gt;0"),"")</f>
        <v/>
      </c>
    </row>
    <row r="1047" spans="1:9" s="56" customFormat="1">
      <c r="A1047" s="69" t="s">
        <v>136</v>
      </c>
      <c r="B1047" s="69" t="s">
        <v>2067</v>
      </c>
      <c r="C1047" s="69" t="s">
        <v>2068</v>
      </c>
      <c r="D1047" s="69">
        <v>3349668643943</v>
      </c>
      <c r="E1047" s="69" t="s">
        <v>42</v>
      </c>
      <c r="F1047" s="69" t="s">
        <v>14</v>
      </c>
      <c r="G1047" s="83">
        <v>65972</v>
      </c>
      <c r="I1047" s="38" t="str">
        <f>IF(H1047&gt;0,COUNTIF($H$16:H1047,"&gt;0"),"")</f>
        <v/>
      </c>
    </row>
    <row r="1048" spans="1:9" s="56" customFormat="1">
      <c r="A1048" s="69" t="s">
        <v>136</v>
      </c>
      <c r="B1048" s="69" t="s">
        <v>2069</v>
      </c>
      <c r="C1048" s="69" t="s">
        <v>2070</v>
      </c>
      <c r="D1048" s="69">
        <v>3349668644940</v>
      </c>
      <c r="E1048" s="69" t="s">
        <v>13</v>
      </c>
      <c r="F1048" s="69" t="s">
        <v>14</v>
      </c>
      <c r="G1048" s="83">
        <v>78868</v>
      </c>
      <c r="I1048" s="38" t="str">
        <f>IF(H1048&gt;0,COUNTIF($H$16:H1048,"&gt;0"),"")</f>
        <v/>
      </c>
    </row>
    <row r="1049" spans="1:9" s="56" customFormat="1">
      <c r="A1049" s="69" t="s">
        <v>136</v>
      </c>
      <c r="B1049" s="69" t="s">
        <v>2071</v>
      </c>
      <c r="C1049" s="69" t="s">
        <v>2072</v>
      </c>
      <c r="D1049" s="69">
        <v>3349668644957</v>
      </c>
      <c r="E1049" s="69" t="s">
        <v>13</v>
      </c>
      <c r="F1049" s="69" t="s">
        <v>14</v>
      </c>
      <c r="G1049" s="83">
        <v>67442</v>
      </c>
      <c r="I1049" s="38" t="str">
        <f>IF(H1049&gt;0,COUNTIF($H$16:H1049,"&gt;0"),"")</f>
        <v/>
      </c>
    </row>
    <row r="1050" spans="1:9" s="56" customFormat="1">
      <c r="A1050" s="69" t="s">
        <v>136</v>
      </c>
      <c r="B1050" s="69" t="s">
        <v>2073</v>
      </c>
      <c r="C1050" s="69" t="s">
        <v>2074</v>
      </c>
      <c r="D1050" s="69">
        <v>3349668630264</v>
      </c>
      <c r="E1050" s="69" t="s">
        <v>42</v>
      </c>
      <c r="F1050" s="69" t="s">
        <v>14</v>
      </c>
      <c r="G1050" s="83">
        <v>75232</v>
      </c>
      <c r="I1050" s="38" t="str">
        <f>IF(H1050&gt;0,COUNTIF($H$16:H1050,"&gt;0"),"")</f>
        <v/>
      </c>
    </row>
    <row r="1051" spans="1:9" s="56" customFormat="1">
      <c r="A1051" s="69" t="s">
        <v>136</v>
      </c>
      <c r="B1051" s="69" t="s">
        <v>2075</v>
      </c>
      <c r="C1051" s="69" t="s">
        <v>2076</v>
      </c>
      <c r="D1051" s="69">
        <v>3349668627479</v>
      </c>
      <c r="E1051" s="69" t="s">
        <v>42</v>
      </c>
      <c r="F1051" s="69" t="s">
        <v>14</v>
      </c>
      <c r="G1051" s="83">
        <v>76185</v>
      </c>
      <c r="I1051" s="38" t="str">
        <f>IF(H1051&gt;0,COUNTIF($H$16:H1051,"&gt;0"),"")</f>
        <v/>
      </c>
    </row>
    <row r="1052" spans="1:9" s="56" customFormat="1">
      <c r="A1052" s="69" t="s">
        <v>136</v>
      </c>
      <c r="B1052" s="69" t="s">
        <v>2077</v>
      </c>
      <c r="C1052" s="69" t="s">
        <v>2078</v>
      </c>
      <c r="D1052" s="69">
        <v>3349666007921</v>
      </c>
      <c r="E1052" s="69" t="s">
        <v>13</v>
      </c>
      <c r="F1052" s="69" t="s">
        <v>14</v>
      </c>
      <c r="G1052" s="83">
        <v>64673</v>
      </c>
      <c r="I1052" s="38" t="str">
        <f>IF(H1052&gt;0,COUNTIF($H$16:H1052,"&gt;0"),"")</f>
        <v/>
      </c>
    </row>
    <row r="1053" spans="1:9" s="56" customFormat="1">
      <c r="A1053" s="69" t="s">
        <v>136</v>
      </c>
      <c r="B1053" s="69" t="s">
        <v>2079</v>
      </c>
      <c r="C1053" s="69" t="s">
        <v>2080</v>
      </c>
      <c r="D1053" s="69">
        <v>3349668600304</v>
      </c>
      <c r="E1053" s="69" t="s">
        <v>13</v>
      </c>
      <c r="F1053" s="69" t="s">
        <v>14</v>
      </c>
      <c r="G1053" s="83">
        <v>76531</v>
      </c>
      <c r="I1053" s="38" t="str">
        <f>IF(H1053&gt;0,COUNTIF($H$16:H1053,"&gt;0"),"")</f>
        <v/>
      </c>
    </row>
    <row r="1054" spans="1:9" s="56" customFormat="1">
      <c r="A1054" s="69" t="s">
        <v>136</v>
      </c>
      <c r="B1054" s="69" t="s">
        <v>2081</v>
      </c>
      <c r="C1054" s="69" t="s">
        <v>2082</v>
      </c>
      <c r="D1054" s="69">
        <v>3349668600298</v>
      </c>
      <c r="E1054" s="69" t="s">
        <v>13</v>
      </c>
      <c r="F1054" s="69" t="s">
        <v>14</v>
      </c>
      <c r="G1054" s="83">
        <v>102411</v>
      </c>
      <c r="I1054" s="38" t="str">
        <f>IF(H1054&gt;0,COUNTIF($H$16:H1054,"&gt;0"),"")</f>
        <v/>
      </c>
    </row>
    <row r="1055" spans="1:9" s="56" customFormat="1">
      <c r="A1055" s="69" t="s">
        <v>136</v>
      </c>
      <c r="B1055" s="69" t="s">
        <v>2083</v>
      </c>
      <c r="C1055" s="69" t="s">
        <v>2084</v>
      </c>
      <c r="D1055" s="69">
        <v>3349668630349</v>
      </c>
      <c r="E1055" s="69" t="s">
        <v>13</v>
      </c>
      <c r="F1055" s="69" t="s">
        <v>14</v>
      </c>
      <c r="G1055" s="83">
        <v>74454</v>
      </c>
      <c r="I1055" s="38" t="str">
        <f>IF(H1055&gt;0,COUNTIF($H$16:H1055,"&gt;0"),"")</f>
        <v/>
      </c>
    </row>
    <row r="1056" spans="1:9" s="56" customFormat="1">
      <c r="A1056" s="69" t="s">
        <v>136</v>
      </c>
      <c r="B1056" s="69" t="s">
        <v>2085</v>
      </c>
      <c r="C1056" s="69" t="s">
        <v>2086</v>
      </c>
      <c r="D1056" s="69">
        <v>3349668630332</v>
      </c>
      <c r="E1056" s="69" t="s">
        <v>13</v>
      </c>
      <c r="F1056" s="69" t="s">
        <v>14</v>
      </c>
      <c r="G1056" s="83">
        <v>55758</v>
      </c>
      <c r="I1056" s="38" t="str">
        <f>IF(H1056&gt;0,COUNTIF($H$16:H1056,"&gt;0"),"")</f>
        <v/>
      </c>
    </row>
    <row r="1057" spans="1:9" s="56" customFormat="1">
      <c r="A1057" s="69" t="s">
        <v>136</v>
      </c>
      <c r="B1057" s="69" t="s">
        <v>2087</v>
      </c>
      <c r="C1057" s="69" t="s">
        <v>2088</v>
      </c>
      <c r="D1057" s="69">
        <v>3349668630356</v>
      </c>
      <c r="E1057" s="69" t="s">
        <v>13</v>
      </c>
      <c r="F1057" s="69" t="s">
        <v>14</v>
      </c>
      <c r="G1057" s="83">
        <v>81638</v>
      </c>
      <c r="I1057" s="38" t="str">
        <f>IF(H1057&gt;0,COUNTIF($H$16:H1057,"&gt;0"),"")</f>
        <v/>
      </c>
    </row>
    <row r="1058" spans="1:9" s="56" customFormat="1">
      <c r="A1058" s="69" t="s">
        <v>136</v>
      </c>
      <c r="B1058" s="69" t="s">
        <v>2089</v>
      </c>
      <c r="C1058" s="69" t="s">
        <v>2090</v>
      </c>
      <c r="D1058" s="69">
        <v>3349668630240</v>
      </c>
      <c r="E1058" s="69" t="s">
        <v>42</v>
      </c>
      <c r="F1058" s="69" t="s">
        <v>14</v>
      </c>
      <c r="G1058" s="83">
        <v>43449</v>
      </c>
      <c r="I1058" s="38" t="str">
        <f>IF(H1058&gt;0,COUNTIF($H$16:H1058,"&gt;0"),"")</f>
        <v/>
      </c>
    </row>
    <row r="1059" spans="1:9" s="56" customFormat="1">
      <c r="A1059" s="69" t="s">
        <v>136</v>
      </c>
      <c r="B1059" s="69" t="s">
        <v>2091</v>
      </c>
      <c r="C1059" s="69" t="s">
        <v>2092</v>
      </c>
      <c r="D1059" s="69">
        <v>3349668630257</v>
      </c>
      <c r="E1059" s="69" t="s">
        <v>42</v>
      </c>
      <c r="F1059" s="69" t="s">
        <v>14</v>
      </c>
      <c r="G1059" s="83">
        <v>56623</v>
      </c>
      <c r="I1059" s="38" t="str">
        <f>IF(H1059&gt;0,COUNTIF($H$16:H1059,"&gt;0"),"")</f>
        <v/>
      </c>
    </row>
    <row r="1060" spans="1:9" s="56" customFormat="1">
      <c r="A1060" s="69" t="s">
        <v>136</v>
      </c>
      <c r="B1060" s="69" t="s">
        <v>2093</v>
      </c>
      <c r="C1060" s="69" t="s">
        <v>2094</v>
      </c>
      <c r="D1060" s="69">
        <v>3349668627486</v>
      </c>
      <c r="E1060" s="69" t="s">
        <v>42</v>
      </c>
      <c r="F1060" s="69" t="s">
        <v>14</v>
      </c>
      <c r="G1060" s="83">
        <v>29381</v>
      </c>
      <c r="I1060" s="38" t="str">
        <f>IF(H1060&gt;0,COUNTIF($H$16:H1060,"&gt;0"),"")</f>
        <v/>
      </c>
    </row>
    <row r="1061" spans="1:9" s="56" customFormat="1">
      <c r="A1061" s="69" t="s">
        <v>136</v>
      </c>
      <c r="B1061" s="69" t="s">
        <v>2095</v>
      </c>
      <c r="C1061" s="69" t="s">
        <v>2096</v>
      </c>
      <c r="D1061" s="69">
        <v>3349668627462</v>
      </c>
      <c r="E1061" s="69" t="s">
        <v>42</v>
      </c>
      <c r="F1061" s="69" t="s">
        <v>14</v>
      </c>
      <c r="G1061" s="83">
        <v>62249</v>
      </c>
      <c r="I1061" s="38" t="str">
        <f>IF(H1061&gt;0,COUNTIF($H$16:H1061,"&gt;0"),"")</f>
        <v/>
      </c>
    </row>
    <row r="1062" spans="1:9" s="56" customFormat="1">
      <c r="A1062" s="69" t="s">
        <v>136</v>
      </c>
      <c r="B1062" s="69" t="s">
        <v>2097</v>
      </c>
      <c r="C1062" s="69" t="s">
        <v>2098</v>
      </c>
      <c r="D1062" s="69">
        <v>3349668596355</v>
      </c>
      <c r="E1062" s="69" t="s">
        <v>13</v>
      </c>
      <c r="F1062" s="69" t="s">
        <v>14</v>
      </c>
      <c r="G1062" s="83">
        <v>70905</v>
      </c>
      <c r="I1062" s="38" t="str">
        <f>IF(H1062&gt;0,COUNTIF($H$16:H1062,"&gt;0"),"")</f>
        <v/>
      </c>
    </row>
    <row r="1063" spans="1:9" s="56" customFormat="1">
      <c r="A1063" s="69" t="s">
        <v>136</v>
      </c>
      <c r="B1063" s="69" t="s">
        <v>2099</v>
      </c>
      <c r="C1063" s="69" t="s">
        <v>2100</v>
      </c>
      <c r="D1063" s="69">
        <v>3349668644025</v>
      </c>
      <c r="E1063" s="69" t="s">
        <v>13</v>
      </c>
      <c r="F1063" s="69" t="s">
        <v>14</v>
      </c>
      <c r="G1063" s="83">
        <v>69260</v>
      </c>
      <c r="I1063" s="38" t="str">
        <f>IF(H1063&gt;0,COUNTIF($H$16:H1063,"&gt;0"),"")</f>
        <v/>
      </c>
    </row>
    <row r="1064" spans="1:9" s="56" customFormat="1">
      <c r="A1064" s="69" t="s">
        <v>136</v>
      </c>
      <c r="B1064" s="69" t="s">
        <v>139</v>
      </c>
      <c r="C1064" s="69" t="s">
        <v>140</v>
      </c>
      <c r="D1064" s="69">
        <v>3349668661640</v>
      </c>
      <c r="E1064" s="69" t="s">
        <v>13</v>
      </c>
      <c r="F1064" s="69" t="s">
        <v>14</v>
      </c>
      <c r="G1064" s="83">
        <v>82590</v>
      </c>
      <c r="I1064" s="38" t="str">
        <f>IF(H1064&gt;0,COUNTIF($H$16:H1064,"&gt;0"),"")</f>
        <v/>
      </c>
    </row>
    <row r="1065" spans="1:9" s="56" customFormat="1">
      <c r="A1065" s="69" t="s">
        <v>136</v>
      </c>
      <c r="B1065" s="69" t="s">
        <v>2101</v>
      </c>
      <c r="C1065" s="69" t="s">
        <v>2102</v>
      </c>
      <c r="D1065" s="69">
        <v>3349668630035</v>
      </c>
      <c r="E1065" s="69" t="s">
        <v>13</v>
      </c>
      <c r="F1065" s="69" t="s">
        <v>14</v>
      </c>
      <c r="G1065" s="83">
        <v>72203</v>
      </c>
      <c r="I1065" s="38" t="str">
        <f>IF(H1065&gt;0,COUNTIF($H$16:H1065,"&gt;0"),"")</f>
        <v/>
      </c>
    </row>
    <row r="1066" spans="1:9" s="56" customFormat="1">
      <c r="A1066" s="69" t="s">
        <v>136</v>
      </c>
      <c r="B1066" s="69" t="s">
        <v>2103</v>
      </c>
      <c r="C1066" s="69" t="s">
        <v>2104</v>
      </c>
      <c r="D1066" s="69">
        <v>3349668630042</v>
      </c>
      <c r="E1066" s="69" t="s">
        <v>13</v>
      </c>
      <c r="F1066" s="69" t="s">
        <v>14</v>
      </c>
      <c r="G1066" s="83">
        <v>85013</v>
      </c>
      <c r="I1066" s="38" t="str">
        <f>IF(H1066&gt;0,COUNTIF($H$16:H1066,"&gt;0"),"")</f>
        <v/>
      </c>
    </row>
    <row r="1067" spans="1:9" s="56" customFormat="1">
      <c r="A1067" s="69" t="s">
        <v>136</v>
      </c>
      <c r="B1067" s="69" t="s">
        <v>2105</v>
      </c>
      <c r="C1067" s="69" t="s">
        <v>2106</v>
      </c>
      <c r="D1067" s="69">
        <v>3349668614615</v>
      </c>
      <c r="E1067" s="69" t="s">
        <v>13</v>
      </c>
      <c r="F1067" s="69" t="s">
        <v>14</v>
      </c>
      <c r="G1067" s="83">
        <v>39813</v>
      </c>
      <c r="I1067" s="38" t="str">
        <f>IF(H1067&gt;0,COUNTIF($H$16:H1067,"&gt;0"),"")</f>
        <v/>
      </c>
    </row>
    <row r="1068" spans="1:9" s="56" customFormat="1">
      <c r="A1068" s="69" t="s">
        <v>136</v>
      </c>
      <c r="B1068" s="69" t="s">
        <v>2107</v>
      </c>
      <c r="C1068" s="69" t="s">
        <v>2108</v>
      </c>
      <c r="D1068" s="69">
        <v>3349668656110</v>
      </c>
      <c r="E1068" s="69" t="s">
        <v>13</v>
      </c>
      <c r="F1068" s="69" t="s">
        <v>69</v>
      </c>
      <c r="G1068" s="83">
        <v>48920</v>
      </c>
      <c r="I1068" s="38" t="str">
        <f>IF(H1068&gt;0,COUNTIF($H$16:H1068,"&gt;0"),"")</f>
        <v/>
      </c>
    </row>
    <row r="1069" spans="1:9" s="56" customFormat="1">
      <c r="A1069" s="69" t="s">
        <v>136</v>
      </c>
      <c r="B1069" s="69" t="s">
        <v>2109</v>
      </c>
      <c r="C1069" s="69" t="s">
        <v>2110</v>
      </c>
      <c r="D1069" s="69">
        <v>3349668656158</v>
      </c>
      <c r="E1069" s="69" t="s">
        <v>13</v>
      </c>
      <c r="F1069" s="69" t="s">
        <v>69</v>
      </c>
      <c r="G1069" s="83">
        <v>50997</v>
      </c>
      <c r="I1069" s="38" t="str">
        <f>IF(H1069&gt;0,COUNTIF($H$16:H1069,"&gt;0"),"")</f>
        <v/>
      </c>
    </row>
    <row r="1070" spans="1:9" s="56" customFormat="1" ht="30">
      <c r="A1070" s="69" t="s">
        <v>136</v>
      </c>
      <c r="B1070" s="69" t="s">
        <v>2111</v>
      </c>
      <c r="C1070" s="69" t="s">
        <v>2112</v>
      </c>
      <c r="D1070" s="69">
        <v>3349668656448</v>
      </c>
      <c r="E1070" s="69" t="s">
        <v>42</v>
      </c>
      <c r="F1070" s="69" t="s">
        <v>69</v>
      </c>
      <c r="G1070" s="83">
        <v>83109</v>
      </c>
      <c r="I1070" s="38" t="str">
        <f>IF(H1070&gt;0,COUNTIF($H$16:H1070,"&gt;0"),"")</f>
        <v/>
      </c>
    </row>
    <row r="1071" spans="1:9" s="56" customFormat="1" ht="30">
      <c r="A1071" s="69" t="s">
        <v>136</v>
      </c>
      <c r="B1071" s="69" t="s">
        <v>2113</v>
      </c>
      <c r="C1071" s="69" t="s">
        <v>2114</v>
      </c>
      <c r="D1071" s="69">
        <v>3349668666942</v>
      </c>
      <c r="E1071" s="69" t="s">
        <v>13</v>
      </c>
      <c r="F1071" s="69" t="s">
        <v>69</v>
      </c>
      <c r="G1071" s="83">
        <v>74627</v>
      </c>
      <c r="I1071" s="38" t="str">
        <f>IF(H1071&gt;0,COUNTIF($H$16:H1071,"&gt;0"),"")</f>
        <v/>
      </c>
    </row>
    <row r="1072" spans="1:9" s="56" customFormat="1">
      <c r="A1072" s="69" t="s">
        <v>2115</v>
      </c>
      <c r="B1072" s="69" t="s">
        <v>2116</v>
      </c>
      <c r="C1072" s="69" t="s">
        <v>2117</v>
      </c>
      <c r="D1072" s="69">
        <v>3360370600192</v>
      </c>
      <c r="E1072" s="69" t="s">
        <v>42</v>
      </c>
      <c r="F1072" s="69" t="s">
        <v>14</v>
      </c>
      <c r="G1072" s="83">
        <v>26611</v>
      </c>
      <c r="I1072" s="38" t="str">
        <f>IF(H1072&gt;0,COUNTIF($H$16:H1072,"&gt;0"),"")</f>
        <v/>
      </c>
    </row>
    <row r="1073" spans="1:9" s="56" customFormat="1">
      <c r="A1073" s="69" t="s">
        <v>2118</v>
      </c>
      <c r="B1073" s="69" t="s">
        <v>2119</v>
      </c>
      <c r="C1073" s="69" t="s">
        <v>2120</v>
      </c>
      <c r="D1073" s="69">
        <v>6423080731369</v>
      </c>
      <c r="E1073" s="69" t="s">
        <v>13</v>
      </c>
      <c r="F1073" s="69" t="s">
        <v>14</v>
      </c>
      <c r="G1073" s="83">
        <v>16307</v>
      </c>
      <c r="I1073" s="38" t="str">
        <f>IF(H1073&gt;0,COUNTIF($H$16:H1073,"&gt;0"),"")</f>
        <v/>
      </c>
    </row>
    <row r="1074" spans="1:9" s="56" customFormat="1">
      <c r="A1074" s="69" t="s">
        <v>2118</v>
      </c>
      <c r="B1074" s="69" t="s">
        <v>2121</v>
      </c>
      <c r="C1074" s="69" t="s">
        <v>2122</v>
      </c>
      <c r="D1074" s="69">
        <v>6291853599750</v>
      </c>
      <c r="E1074" s="69" t="s">
        <v>17</v>
      </c>
      <c r="F1074" s="69" t="s">
        <v>14</v>
      </c>
      <c r="G1074" s="83">
        <v>18817</v>
      </c>
      <c r="I1074" s="38" t="str">
        <f>IF(H1074&gt;0,COUNTIF($H$16:H1074,"&gt;0"),"")</f>
        <v/>
      </c>
    </row>
    <row r="1075" spans="1:9" s="56" customFormat="1">
      <c r="A1075" s="69" t="s">
        <v>2118</v>
      </c>
      <c r="B1075" s="69" t="s">
        <v>2123</v>
      </c>
      <c r="C1075" s="69" t="s">
        <v>2124</v>
      </c>
      <c r="D1075" s="69">
        <v>6297856875218</v>
      </c>
      <c r="E1075" s="69" t="s">
        <v>17</v>
      </c>
      <c r="F1075" s="69" t="s">
        <v>14</v>
      </c>
      <c r="G1075" s="83">
        <v>16220</v>
      </c>
      <c r="I1075" s="38" t="str">
        <f>IF(H1075&gt;0,COUNTIF($H$16:H1075,"&gt;0"),"")</f>
        <v/>
      </c>
    </row>
    <row r="1076" spans="1:9" s="56" customFormat="1">
      <c r="A1076" s="69" t="s">
        <v>2118</v>
      </c>
      <c r="B1076" s="69" t="s">
        <v>2125</v>
      </c>
      <c r="C1076" s="69" t="s">
        <v>2126</v>
      </c>
      <c r="D1076" s="69">
        <v>6200221339253</v>
      </c>
      <c r="E1076" s="69" t="s">
        <v>13</v>
      </c>
      <c r="F1076" s="69" t="s">
        <v>14</v>
      </c>
      <c r="G1076" s="83">
        <v>16307</v>
      </c>
      <c r="I1076" s="38" t="str">
        <f>IF(H1076&gt;0,COUNTIF($H$16:H1076,"&gt;0"),"")</f>
        <v/>
      </c>
    </row>
    <row r="1077" spans="1:9" s="56" customFormat="1">
      <c r="A1077" s="69" t="s">
        <v>2118</v>
      </c>
      <c r="B1077" s="69" t="s">
        <v>2127</v>
      </c>
      <c r="C1077" s="69" t="s">
        <v>2128</v>
      </c>
      <c r="D1077" s="69">
        <v>6294012371850</v>
      </c>
      <c r="E1077" s="69" t="s">
        <v>17</v>
      </c>
      <c r="F1077" s="69" t="s">
        <v>14</v>
      </c>
      <c r="G1077" s="83">
        <v>18298</v>
      </c>
      <c r="I1077" s="38" t="str">
        <f>IF(H1077&gt;0,COUNTIF($H$16:H1077,"&gt;0"),"")</f>
        <v/>
      </c>
    </row>
    <row r="1078" spans="1:9" s="56" customFormat="1">
      <c r="A1078" s="69" t="s">
        <v>2118</v>
      </c>
      <c r="B1078" s="69" t="s">
        <v>2129</v>
      </c>
      <c r="C1078" s="69" t="s">
        <v>2130</v>
      </c>
      <c r="D1078" s="69">
        <v>6238542876317</v>
      </c>
      <c r="E1078" s="69" t="s">
        <v>42</v>
      </c>
      <c r="F1078" s="69" t="s">
        <v>14</v>
      </c>
      <c r="G1078" s="83">
        <v>18817</v>
      </c>
      <c r="I1078" s="38" t="str">
        <f>IF(H1078&gt;0,COUNTIF($H$16:H1078,"&gt;0"),"")</f>
        <v/>
      </c>
    </row>
    <row r="1079" spans="1:9" s="56" customFormat="1">
      <c r="A1079" s="69" t="s">
        <v>2118</v>
      </c>
      <c r="B1079" s="69" t="s">
        <v>2131</v>
      </c>
      <c r="C1079" s="69" t="s">
        <v>2132</v>
      </c>
      <c r="D1079" s="69">
        <v>6299887881121</v>
      </c>
      <c r="E1079" s="69" t="s">
        <v>17</v>
      </c>
      <c r="F1079" s="69" t="s">
        <v>14</v>
      </c>
      <c r="G1079" s="83">
        <v>19423</v>
      </c>
      <c r="I1079" s="38" t="str">
        <f>IF(H1079&gt;0,COUNTIF($H$16:H1079,"&gt;0"),"")</f>
        <v/>
      </c>
    </row>
    <row r="1080" spans="1:9" s="56" customFormat="1">
      <c r="A1080" s="69" t="s">
        <v>2118</v>
      </c>
      <c r="B1080" s="69" t="s">
        <v>2133</v>
      </c>
      <c r="C1080" s="69" t="s">
        <v>2134</v>
      </c>
      <c r="D1080" s="69">
        <v>6298769855045</v>
      </c>
      <c r="E1080" s="69" t="s">
        <v>17</v>
      </c>
      <c r="F1080" s="69" t="s">
        <v>14</v>
      </c>
      <c r="G1080" s="83">
        <v>16307</v>
      </c>
      <c r="I1080" s="38" t="str">
        <f>IF(H1080&gt;0,COUNTIF($H$16:H1080,"&gt;0"),"")</f>
        <v/>
      </c>
    </row>
    <row r="1081" spans="1:9" s="56" customFormat="1">
      <c r="A1081" s="69" t="s">
        <v>2118</v>
      </c>
      <c r="B1081" s="69" t="s">
        <v>2135</v>
      </c>
      <c r="C1081" s="69" t="s">
        <v>2136</v>
      </c>
      <c r="D1081" s="69">
        <v>6295156500366</v>
      </c>
      <c r="E1081" s="69" t="s">
        <v>17</v>
      </c>
      <c r="F1081" s="69" t="s">
        <v>14</v>
      </c>
      <c r="G1081" s="83">
        <v>18038</v>
      </c>
      <c r="I1081" s="38" t="str">
        <f>IF(H1081&gt;0,COUNTIF($H$16:H1081,"&gt;0"),"")</f>
        <v/>
      </c>
    </row>
    <row r="1082" spans="1:9" s="56" customFormat="1">
      <c r="A1082" s="69" t="s">
        <v>2118</v>
      </c>
      <c r="B1082" s="69" t="s">
        <v>2137</v>
      </c>
      <c r="C1082" s="69" t="s">
        <v>2138</v>
      </c>
      <c r="D1082" s="69">
        <v>6298641636090</v>
      </c>
      <c r="E1082" s="69" t="s">
        <v>17</v>
      </c>
      <c r="F1082" s="69" t="s">
        <v>14</v>
      </c>
      <c r="G1082" s="83">
        <v>22542</v>
      </c>
      <c r="I1082" s="38" t="str">
        <f>IF(H1082&gt;0,COUNTIF($H$16:H1082,"&gt;0"),"")</f>
        <v/>
      </c>
    </row>
    <row r="1083" spans="1:9" s="56" customFormat="1">
      <c r="A1083" s="69" t="s">
        <v>2118</v>
      </c>
      <c r="B1083" s="69" t="s">
        <v>2139</v>
      </c>
      <c r="C1083" s="69" t="s">
        <v>2140</v>
      </c>
      <c r="D1083" s="69">
        <v>6295156500281</v>
      </c>
      <c r="E1083" s="69" t="s">
        <v>42</v>
      </c>
      <c r="F1083" s="69" t="s">
        <v>14</v>
      </c>
      <c r="G1083" s="83">
        <v>13710</v>
      </c>
      <c r="I1083" s="38" t="str">
        <f>IF(H1083&gt;0,COUNTIF($H$16:H1083,"&gt;0"),"")</f>
        <v/>
      </c>
    </row>
    <row r="1084" spans="1:9" s="56" customFormat="1">
      <c r="A1084" s="69" t="s">
        <v>2118</v>
      </c>
      <c r="B1084" s="69" t="s">
        <v>2141</v>
      </c>
      <c r="C1084" s="69" t="s">
        <v>2142</v>
      </c>
      <c r="D1084" s="69">
        <v>6298998755215</v>
      </c>
      <c r="E1084" s="69" t="s">
        <v>17</v>
      </c>
      <c r="F1084" s="69" t="s">
        <v>14</v>
      </c>
      <c r="G1084" s="83">
        <v>16999</v>
      </c>
      <c r="I1084" s="38" t="str">
        <f>IF(H1084&gt;0,COUNTIF($H$16:H1084,"&gt;0"),"")</f>
        <v/>
      </c>
    </row>
    <row r="1085" spans="1:9" s="56" customFormat="1">
      <c r="A1085" s="69" t="s">
        <v>2118</v>
      </c>
      <c r="B1085" s="69" t="s">
        <v>2143</v>
      </c>
      <c r="C1085" s="69" t="s">
        <v>2144</v>
      </c>
      <c r="D1085" s="69">
        <v>6290021555441</v>
      </c>
      <c r="E1085" s="69" t="s">
        <v>17</v>
      </c>
      <c r="F1085" s="69" t="s">
        <v>14</v>
      </c>
      <c r="G1085" s="83">
        <v>16307</v>
      </c>
      <c r="I1085" s="38" t="str">
        <f>IF(H1085&gt;0,COUNTIF($H$16:H1085,"&gt;0"),"")</f>
        <v/>
      </c>
    </row>
    <row r="1086" spans="1:9" s="56" customFormat="1">
      <c r="A1086" s="69" t="s">
        <v>2118</v>
      </c>
      <c r="B1086" s="69" t="s">
        <v>2145</v>
      </c>
      <c r="C1086" s="69" t="s">
        <v>2146</v>
      </c>
      <c r="D1086" s="69">
        <v>6290021555458</v>
      </c>
      <c r="E1086" s="69" t="s">
        <v>17</v>
      </c>
      <c r="F1086" s="69" t="s">
        <v>14</v>
      </c>
      <c r="G1086" s="83">
        <v>16134</v>
      </c>
      <c r="I1086" s="38" t="str">
        <f>IF(H1086&gt;0,COUNTIF($H$16:H1086,"&gt;0"),"")</f>
        <v/>
      </c>
    </row>
    <row r="1087" spans="1:9" s="56" customFormat="1">
      <c r="A1087" s="69" t="s">
        <v>2118</v>
      </c>
      <c r="B1087" s="69" t="s">
        <v>2147</v>
      </c>
      <c r="C1087" s="69" t="s">
        <v>2148</v>
      </c>
      <c r="D1087" s="69">
        <v>6290398785243</v>
      </c>
      <c r="E1087" s="69" t="s">
        <v>42</v>
      </c>
      <c r="F1087" s="69" t="s">
        <v>14</v>
      </c>
      <c r="G1087" s="83">
        <v>12585</v>
      </c>
      <c r="I1087" s="38" t="str">
        <f>IF(H1087&gt;0,COUNTIF($H$16:H1087,"&gt;0"),"")</f>
        <v/>
      </c>
    </row>
    <row r="1088" spans="1:9" s="56" customFormat="1">
      <c r="A1088" s="69" t="s">
        <v>2118</v>
      </c>
      <c r="B1088" s="69" t="s">
        <v>2149</v>
      </c>
      <c r="C1088" s="69" t="s">
        <v>2150</v>
      </c>
      <c r="D1088" s="69">
        <v>6294790437519</v>
      </c>
      <c r="E1088" s="69" t="s">
        <v>17</v>
      </c>
      <c r="F1088" s="69" t="s">
        <v>14</v>
      </c>
      <c r="G1088" s="83">
        <v>16307</v>
      </c>
      <c r="I1088" s="38" t="str">
        <f>IF(H1088&gt;0,COUNTIF($H$16:H1088,"&gt;0"),"")</f>
        <v/>
      </c>
    </row>
    <row r="1089" spans="1:9" s="56" customFormat="1">
      <c r="A1089" s="69" t="s">
        <v>2118</v>
      </c>
      <c r="B1089" s="69" t="s">
        <v>2151</v>
      </c>
      <c r="C1089" s="69" t="s">
        <v>2152</v>
      </c>
      <c r="D1089" s="69">
        <v>6296353407960</v>
      </c>
      <c r="E1089" s="69" t="s">
        <v>42</v>
      </c>
      <c r="F1089" s="69" t="s">
        <v>14</v>
      </c>
      <c r="G1089" s="83">
        <v>15701</v>
      </c>
      <c r="I1089" s="38" t="str">
        <f>IF(H1089&gt;0,COUNTIF($H$16:H1089,"&gt;0"),"")</f>
        <v/>
      </c>
    </row>
    <row r="1090" spans="1:9" s="56" customFormat="1">
      <c r="A1090" s="69" t="s">
        <v>2118</v>
      </c>
      <c r="B1090" s="69" t="s">
        <v>2153</v>
      </c>
      <c r="C1090" s="69" t="s">
        <v>2154</v>
      </c>
      <c r="D1090" s="69">
        <v>6290474886192</v>
      </c>
      <c r="E1090" s="69" t="s">
        <v>42</v>
      </c>
      <c r="F1090" s="69" t="s">
        <v>14</v>
      </c>
      <c r="G1090" s="83">
        <v>18298</v>
      </c>
      <c r="I1090" s="38" t="str">
        <f>IF(H1090&gt;0,COUNTIF($H$16:H1090,"&gt;0"),"")</f>
        <v/>
      </c>
    </row>
    <row r="1091" spans="1:9" s="56" customFormat="1">
      <c r="A1091" s="69" t="s">
        <v>2118</v>
      </c>
      <c r="B1091" s="69" t="s">
        <v>2155</v>
      </c>
      <c r="C1091" s="69" t="s">
        <v>2156</v>
      </c>
      <c r="D1091" s="69">
        <v>6298546975621</v>
      </c>
      <c r="E1091" s="69" t="s">
        <v>17</v>
      </c>
      <c r="F1091" s="69" t="s">
        <v>14</v>
      </c>
      <c r="G1091" s="83">
        <v>17259</v>
      </c>
      <c r="I1091" s="38" t="str">
        <f>IF(H1091&gt;0,COUNTIF($H$16:H1091,"&gt;0"),"")</f>
        <v/>
      </c>
    </row>
    <row r="1092" spans="1:9" s="56" customFormat="1">
      <c r="A1092" s="69" t="s">
        <v>2118</v>
      </c>
      <c r="B1092" s="69" t="s">
        <v>2157</v>
      </c>
      <c r="C1092" s="69" t="s">
        <v>2158</v>
      </c>
      <c r="D1092" s="69">
        <v>6295156500014</v>
      </c>
      <c r="E1092" s="69" t="s">
        <v>17</v>
      </c>
      <c r="F1092" s="69" t="s">
        <v>14</v>
      </c>
      <c r="G1092" s="83">
        <v>18038</v>
      </c>
      <c r="I1092" s="38" t="str">
        <f>IF(H1092&gt;0,COUNTIF($H$16:H1092,"&gt;0"),"")</f>
        <v/>
      </c>
    </row>
    <row r="1093" spans="1:9" s="56" customFormat="1">
      <c r="A1093" s="69" t="s">
        <v>2118</v>
      </c>
      <c r="B1093" s="69" t="s">
        <v>2159</v>
      </c>
      <c r="C1093" s="69" t="s">
        <v>2160</v>
      </c>
      <c r="D1093" s="69">
        <v>6295586523157</v>
      </c>
      <c r="E1093" s="69" t="s">
        <v>17</v>
      </c>
      <c r="F1093" s="69" t="s">
        <v>14</v>
      </c>
      <c r="G1093" s="83">
        <v>16307</v>
      </c>
      <c r="I1093" s="38" t="str">
        <f>IF(H1093&gt;0,COUNTIF($H$16:H1093,"&gt;0"),"")</f>
        <v/>
      </c>
    </row>
    <row r="1094" spans="1:9" s="56" customFormat="1">
      <c r="A1094" s="69" t="s">
        <v>2118</v>
      </c>
      <c r="B1094" s="69" t="s">
        <v>2161</v>
      </c>
      <c r="C1094" s="69" t="s">
        <v>2162</v>
      </c>
      <c r="D1094" s="69">
        <v>6299875666440</v>
      </c>
      <c r="E1094" s="69" t="s">
        <v>17</v>
      </c>
      <c r="F1094" s="69" t="s">
        <v>14</v>
      </c>
      <c r="G1094" s="83">
        <v>23409</v>
      </c>
      <c r="I1094" s="38" t="str">
        <f>IF(H1094&gt;0,COUNTIF($H$16:H1094,"&gt;0"),"")</f>
        <v/>
      </c>
    </row>
    <row r="1095" spans="1:9" s="56" customFormat="1">
      <c r="A1095" s="69" t="s">
        <v>2118</v>
      </c>
      <c r="B1095" s="69" t="s">
        <v>2163</v>
      </c>
      <c r="C1095" s="69" t="s">
        <v>2164</v>
      </c>
      <c r="D1095" s="69">
        <v>6295138426585</v>
      </c>
      <c r="E1095" s="69" t="s">
        <v>17</v>
      </c>
      <c r="F1095" s="69" t="s">
        <v>14</v>
      </c>
      <c r="G1095" s="83">
        <v>21504</v>
      </c>
      <c r="I1095" s="38" t="str">
        <f>IF(H1095&gt;0,COUNTIF($H$16:H1095,"&gt;0"),"")</f>
        <v/>
      </c>
    </row>
    <row r="1096" spans="1:9" s="56" customFormat="1">
      <c r="A1096" s="69" t="s">
        <v>2118</v>
      </c>
      <c r="B1096" s="69" t="s">
        <v>2165</v>
      </c>
      <c r="C1096" s="69" t="s">
        <v>2166</v>
      </c>
      <c r="D1096" s="69">
        <v>6298543265596</v>
      </c>
      <c r="E1096" s="69" t="s">
        <v>42</v>
      </c>
      <c r="F1096" s="69" t="s">
        <v>14</v>
      </c>
      <c r="G1096" s="83">
        <v>22283</v>
      </c>
      <c r="I1096" s="38" t="str">
        <f>IF(H1096&gt;0,COUNTIF($H$16:H1096,"&gt;0"),"")</f>
        <v/>
      </c>
    </row>
    <row r="1097" spans="1:9" s="56" customFormat="1">
      <c r="A1097" s="69" t="s">
        <v>2118</v>
      </c>
      <c r="B1097" s="69" t="s">
        <v>2167</v>
      </c>
      <c r="C1097" s="69" t="s">
        <v>2168</v>
      </c>
      <c r="D1097" s="69">
        <v>6291419205559</v>
      </c>
      <c r="E1097" s="69" t="s">
        <v>17</v>
      </c>
      <c r="F1097" s="69" t="s">
        <v>14</v>
      </c>
      <c r="G1097" s="83">
        <v>13537</v>
      </c>
      <c r="I1097" s="38" t="str">
        <f>IF(H1097&gt;0,COUNTIF($H$16:H1097,"&gt;0"),"")</f>
        <v/>
      </c>
    </row>
    <row r="1098" spans="1:9" s="56" customFormat="1">
      <c r="A1098" s="69" t="s">
        <v>2118</v>
      </c>
      <c r="B1098" s="69" t="s">
        <v>2169</v>
      </c>
      <c r="C1098" s="69" t="s">
        <v>2170</v>
      </c>
      <c r="D1098" s="69">
        <v>6294879841183</v>
      </c>
      <c r="E1098" s="69" t="s">
        <v>42</v>
      </c>
      <c r="F1098" s="69" t="s">
        <v>14</v>
      </c>
      <c r="G1098" s="83">
        <v>15095</v>
      </c>
      <c r="I1098" s="38" t="str">
        <f>IF(H1098&gt;0,COUNTIF($H$16:H1098,"&gt;0"),"")</f>
        <v/>
      </c>
    </row>
    <row r="1099" spans="1:9" s="56" customFormat="1">
      <c r="A1099" s="69" t="s">
        <v>2118</v>
      </c>
      <c r="B1099" s="69" t="s">
        <v>2171</v>
      </c>
      <c r="C1099" s="69" t="s">
        <v>2172</v>
      </c>
      <c r="D1099" s="69">
        <v>6239518796318</v>
      </c>
      <c r="E1099" s="69" t="s">
        <v>17</v>
      </c>
      <c r="F1099" s="69" t="s">
        <v>14</v>
      </c>
      <c r="G1099" s="83">
        <v>18211</v>
      </c>
      <c r="I1099" s="38" t="str">
        <f>IF(H1099&gt;0,COUNTIF($H$16:H1099,"&gt;0"),"")</f>
        <v/>
      </c>
    </row>
    <row r="1100" spans="1:9" s="56" customFormat="1">
      <c r="A1100" s="69" t="s">
        <v>2118</v>
      </c>
      <c r="B1100" s="69" t="s">
        <v>2173</v>
      </c>
      <c r="C1100" s="69" t="s">
        <v>2174</v>
      </c>
      <c r="D1100" s="69">
        <v>6239318796310</v>
      </c>
      <c r="E1100" s="69" t="s">
        <v>17</v>
      </c>
      <c r="F1100" s="69" t="s">
        <v>14</v>
      </c>
      <c r="G1100" s="83">
        <v>18211</v>
      </c>
      <c r="I1100" s="38" t="str">
        <f>IF(H1100&gt;0,COUNTIF($H$16:H1100,"&gt;0"),"")</f>
        <v/>
      </c>
    </row>
    <row r="1101" spans="1:9" s="56" customFormat="1">
      <c r="A1101" s="69" t="s">
        <v>2118</v>
      </c>
      <c r="B1101" s="69" t="s">
        <v>2175</v>
      </c>
      <c r="C1101" s="69" t="s">
        <v>2176</v>
      </c>
      <c r="D1101" s="69">
        <v>6291853599757</v>
      </c>
      <c r="E1101" s="69" t="s">
        <v>17</v>
      </c>
      <c r="F1101" s="69" t="s">
        <v>14</v>
      </c>
      <c r="G1101" s="83">
        <v>18990</v>
      </c>
      <c r="I1101" s="38" t="str">
        <f>IF(H1101&gt;0,COUNTIF($H$16:H1101,"&gt;0"),"")</f>
        <v/>
      </c>
    </row>
    <row r="1102" spans="1:9" s="56" customFormat="1">
      <c r="A1102" s="69" t="s">
        <v>2118</v>
      </c>
      <c r="B1102" s="69" t="s">
        <v>2177</v>
      </c>
      <c r="C1102" s="69" t="s">
        <v>2178</v>
      </c>
      <c r="D1102" s="69">
        <v>6290065558415</v>
      </c>
      <c r="E1102" s="69" t="s">
        <v>17</v>
      </c>
      <c r="F1102" s="69" t="s">
        <v>14</v>
      </c>
      <c r="G1102" s="83">
        <v>12412</v>
      </c>
      <c r="I1102" s="38" t="str">
        <f>IF(H1102&gt;0,COUNTIF($H$16:H1102,"&gt;0"),"")</f>
        <v/>
      </c>
    </row>
    <row r="1103" spans="1:9" s="56" customFormat="1">
      <c r="A1103" s="69" t="s">
        <v>2118</v>
      </c>
      <c r="B1103" s="69" t="s">
        <v>2179</v>
      </c>
      <c r="C1103" s="69" t="s">
        <v>2180</v>
      </c>
      <c r="D1103" s="69">
        <v>6298998758872</v>
      </c>
      <c r="E1103" s="69" t="s">
        <v>17</v>
      </c>
      <c r="F1103" s="69" t="s">
        <v>14</v>
      </c>
      <c r="G1103" s="83">
        <v>19769</v>
      </c>
      <c r="I1103" s="38" t="str">
        <f>IF(H1103&gt;0,COUNTIF($H$16:H1103,"&gt;0"),"")</f>
        <v/>
      </c>
    </row>
    <row r="1104" spans="1:9" s="56" customFormat="1">
      <c r="A1104" s="69" t="s">
        <v>2118</v>
      </c>
      <c r="B1104" s="69" t="s">
        <v>2181</v>
      </c>
      <c r="C1104" s="69" t="s">
        <v>2182</v>
      </c>
      <c r="D1104" s="69">
        <v>6299852211540</v>
      </c>
      <c r="E1104" s="69" t="s">
        <v>42</v>
      </c>
      <c r="F1104" s="69" t="s">
        <v>14</v>
      </c>
      <c r="G1104" s="83">
        <v>15355</v>
      </c>
      <c r="I1104" s="38" t="str">
        <f>IF(H1104&gt;0,COUNTIF($H$16:H1104,"&gt;0"),"")</f>
        <v/>
      </c>
    </row>
    <row r="1105" spans="1:9" s="56" customFormat="1">
      <c r="A1105" s="69" t="s">
        <v>2118</v>
      </c>
      <c r="B1105" s="69" t="s">
        <v>2183</v>
      </c>
      <c r="C1105" s="69" t="s">
        <v>2184</v>
      </c>
      <c r="D1105" s="69">
        <v>6298575112332</v>
      </c>
      <c r="E1105" s="69" t="s">
        <v>17</v>
      </c>
      <c r="F1105" s="69" t="s">
        <v>14</v>
      </c>
      <c r="G1105" s="83">
        <v>14922</v>
      </c>
      <c r="I1105" s="38" t="str">
        <f>IF(H1105&gt;0,COUNTIF($H$16:H1105,"&gt;0"),"")</f>
        <v/>
      </c>
    </row>
    <row r="1106" spans="1:9" s="56" customFormat="1">
      <c r="A1106" s="69" t="s">
        <v>2118</v>
      </c>
      <c r="B1106" s="69" t="s">
        <v>2185</v>
      </c>
      <c r="C1106" s="69" t="s">
        <v>2186</v>
      </c>
      <c r="D1106" s="69">
        <v>6290066558414</v>
      </c>
      <c r="E1106" s="69" t="s">
        <v>17</v>
      </c>
      <c r="F1106" s="69" t="s">
        <v>14</v>
      </c>
      <c r="G1106" s="83">
        <v>12498</v>
      </c>
      <c r="I1106" s="38" t="str">
        <f>IF(H1106&gt;0,COUNTIF($H$16:H1106,"&gt;0"),"")</f>
        <v/>
      </c>
    </row>
    <row r="1107" spans="1:9" s="56" customFormat="1">
      <c r="A1107" s="69" t="s">
        <v>2118</v>
      </c>
      <c r="B1107" s="69" t="s">
        <v>2187</v>
      </c>
      <c r="C1107" s="69" t="s">
        <v>2188</v>
      </c>
      <c r="D1107" s="69">
        <v>6423080723524</v>
      </c>
      <c r="E1107" s="69" t="s">
        <v>42</v>
      </c>
      <c r="F1107" s="69" t="s">
        <v>14</v>
      </c>
      <c r="G1107" s="83">
        <v>12412</v>
      </c>
      <c r="I1107" s="38" t="str">
        <f>IF(H1107&gt;0,COUNTIF($H$16:H1107,"&gt;0"),"")</f>
        <v/>
      </c>
    </row>
    <row r="1108" spans="1:9" s="56" customFormat="1">
      <c r="A1108" s="69" t="s">
        <v>2118</v>
      </c>
      <c r="B1108" s="69" t="s">
        <v>2189</v>
      </c>
      <c r="C1108" s="69" t="s">
        <v>2190</v>
      </c>
      <c r="D1108" s="69">
        <v>6295652323650</v>
      </c>
      <c r="E1108" s="69" t="s">
        <v>13</v>
      </c>
      <c r="F1108" s="69" t="s">
        <v>14</v>
      </c>
      <c r="G1108" s="83">
        <v>18038</v>
      </c>
      <c r="I1108" s="38" t="str">
        <f>IF(H1108&gt;0,COUNTIF($H$16:H1108,"&gt;0"),"")</f>
        <v/>
      </c>
    </row>
    <row r="1109" spans="1:9" s="56" customFormat="1">
      <c r="A1109" s="69" t="s">
        <v>2118</v>
      </c>
      <c r="B1109" s="69" t="s">
        <v>2191</v>
      </c>
      <c r="C1109" s="69" t="s">
        <v>2192</v>
      </c>
      <c r="D1109" s="69">
        <v>6246717622300</v>
      </c>
      <c r="E1109" s="69" t="s">
        <v>17</v>
      </c>
      <c r="F1109" s="69" t="s">
        <v>14</v>
      </c>
      <c r="G1109" s="83">
        <v>13105</v>
      </c>
      <c r="I1109" s="38" t="str">
        <f>IF(H1109&gt;0,COUNTIF($H$16:H1109,"&gt;0"),"")</f>
        <v/>
      </c>
    </row>
    <row r="1110" spans="1:9" s="56" customFormat="1">
      <c r="A1110" s="69" t="s">
        <v>2118</v>
      </c>
      <c r="B1110" s="69" t="s">
        <v>2193</v>
      </c>
      <c r="C1110" s="69" t="s">
        <v>2194</v>
      </c>
      <c r="D1110" s="69">
        <v>6423080727089</v>
      </c>
      <c r="E1110" s="69" t="s">
        <v>17</v>
      </c>
      <c r="F1110" s="69" t="s">
        <v>14</v>
      </c>
      <c r="G1110" s="83">
        <v>16307</v>
      </c>
      <c r="I1110" s="38" t="str">
        <f>IF(H1110&gt;0,COUNTIF($H$16:H1110,"&gt;0"),"")</f>
        <v/>
      </c>
    </row>
    <row r="1111" spans="1:9" s="56" customFormat="1">
      <c r="A1111" s="69" t="s">
        <v>2118</v>
      </c>
      <c r="B1111" s="69" t="s">
        <v>2195</v>
      </c>
      <c r="C1111" s="69" t="s">
        <v>2196</v>
      </c>
      <c r="D1111" s="69">
        <v>6298543264483</v>
      </c>
      <c r="E1111" s="69" t="s">
        <v>42</v>
      </c>
      <c r="F1111" s="69" t="s">
        <v>14</v>
      </c>
      <c r="G1111" s="83">
        <v>22283</v>
      </c>
      <c r="I1111" s="38" t="str">
        <f>IF(H1111&gt;0,COUNTIF($H$16:H1111,"&gt;0"),"")</f>
        <v/>
      </c>
    </row>
    <row r="1112" spans="1:9" s="56" customFormat="1">
      <c r="A1112" s="69" t="s">
        <v>2118</v>
      </c>
      <c r="B1112" s="69" t="s">
        <v>2197</v>
      </c>
      <c r="C1112" s="69" t="s">
        <v>2198</v>
      </c>
      <c r="D1112" s="69">
        <v>6298141924505</v>
      </c>
      <c r="E1112" s="69" t="s">
        <v>17</v>
      </c>
      <c r="F1112" s="69" t="s">
        <v>14</v>
      </c>
      <c r="G1112" s="83">
        <v>15442</v>
      </c>
      <c r="I1112" s="38" t="str">
        <f>IF(H1112&gt;0,COUNTIF($H$16:H1112,"&gt;0"),"")</f>
        <v/>
      </c>
    </row>
    <row r="1113" spans="1:9" s="56" customFormat="1">
      <c r="A1113" s="69" t="s">
        <v>2118</v>
      </c>
      <c r="B1113" s="69" t="s">
        <v>2199</v>
      </c>
      <c r="C1113" s="69" t="s">
        <v>2200</v>
      </c>
      <c r="D1113" s="69">
        <v>6291419205566</v>
      </c>
      <c r="E1113" s="69" t="s">
        <v>17</v>
      </c>
      <c r="F1113" s="69" t="s">
        <v>14</v>
      </c>
      <c r="G1113" s="83">
        <v>13537</v>
      </c>
      <c r="I1113" s="38" t="str">
        <f>IF(H1113&gt;0,COUNTIF($H$16:H1113,"&gt;0"),"")</f>
        <v/>
      </c>
    </row>
    <row r="1114" spans="1:9" s="56" customFormat="1">
      <c r="A1114" s="69" t="s">
        <v>2118</v>
      </c>
      <c r="B1114" s="69" t="s">
        <v>2201</v>
      </c>
      <c r="C1114" s="69" t="s">
        <v>2202</v>
      </c>
      <c r="D1114" s="69">
        <v>6291534659159</v>
      </c>
      <c r="E1114" s="69" t="s">
        <v>17</v>
      </c>
      <c r="F1114" s="69" t="s">
        <v>14</v>
      </c>
      <c r="G1114" s="83">
        <v>23409</v>
      </c>
      <c r="I1114" s="38" t="str">
        <f>IF(H1114&gt;0,COUNTIF($H$16:H1114,"&gt;0"),"")</f>
        <v/>
      </c>
    </row>
    <row r="1115" spans="1:9" s="56" customFormat="1">
      <c r="A1115" s="69" t="s">
        <v>2118</v>
      </c>
      <c r="B1115" s="69" t="s">
        <v>2203</v>
      </c>
      <c r="C1115" s="69" t="s">
        <v>2204</v>
      </c>
      <c r="D1115" s="69">
        <v>6291534659153</v>
      </c>
      <c r="E1115" s="69" t="s">
        <v>17</v>
      </c>
      <c r="F1115" s="69" t="s">
        <v>14</v>
      </c>
      <c r="G1115" s="83">
        <v>23409</v>
      </c>
      <c r="I1115" s="38" t="str">
        <f>IF(H1115&gt;0,COUNTIF($H$16:H1115,"&gt;0"),"")</f>
        <v/>
      </c>
    </row>
    <row r="1116" spans="1:9" s="56" customFormat="1">
      <c r="A1116" s="69" t="s">
        <v>2118</v>
      </c>
      <c r="B1116" s="69" t="s">
        <v>2205</v>
      </c>
      <c r="C1116" s="69" t="s">
        <v>2206</v>
      </c>
      <c r="D1116" s="69">
        <v>6292356122367</v>
      </c>
      <c r="E1116" s="69" t="s">
        <v>17</v>
      </c>
      <c r="F1116" s="69" t="s">
        <v>14</v>
      </c>
      <c r="G1116" s="83">
        <v>23409</v>
      </c>
      <c r="I1116" s="38" t="str">
        <f>IF(H1116&gt;0,COUNTIF($H$16:H1116,"&gt;0"),"")</f>
        <v/>
      </c>
    </row>
    <row r="1117" spans="1:9" s="56" customFormat="1">
      <c r="A1117" s="69" t="s">
        <v>2118</v>
      </c>
      <c r="B1117" s="69" t="s">
        <v>2207</v>
      </c>
      <c r="C1117" s="69" t="s">
        <v>2208</v>
      </c>
      <c r="D1117" s="69">
        <v>6294875522123</v>
      </c>
      <c r="E1117" s="69" t="s">
        <v>17</v>
      </c>
      <c r="F1117" s="69" t="s">
        <v>14</v>
      </c>
      <c r="G1117" s="83">
        <v>15355</v>
      </c>
      <c r="I1117" s="38" t="str">
        <f>IF(H1117&gt;0,COUNTIF($H$16:H1117,"&gt;0"),"")</f>
        <v/>
      </c>
    </row>
    <row r="1118" spans="1:9" s="56" customFormat="1">
      <c r="A1118" s="69" t="s">
        <v>2118</v>
      </c>
      <c r="B1118" s="69" t="s">
        <v>2209</v>
      </c>
      <c r="C1118" s="69" t="s">
        <v>2210</v>
      </c>
      <c r="D1118" s="69">
        <v>6298575112554</v>
      </c>
      <c r="E1118" s="69" t="s">
        <v>13</v>
      </c>
      <c r="F1118" s="69" t="s">
        <v>14</v>
      </c>
      <c r="G1118" s="83">
        <v>16307</v>
      </c>
      <c r="I1118" s="38" t="str">
        <f>IF(H1118&gt;0,COUNTIF($H$16:H1118,"&gt;0"),"")</f>
        <v/>
      </c>
    </row>
    <row r="1119" spans="1:9" s="56" customFormat="1">
      <c r="A1119" s="69" t="s">
        <v>2118</v>
      </c>
      <c r="B1119" s="69" t="s">
        <v>2211</v>
      </c>
      <c r="C1119" s="69" t="s">
        <v>2212</v>
      </c>
      <c r="D1119" s="69">
        <v>6298141926851</v>
      </c>
      <c r="E1119" s="69" t="s">
        <v>17</v>
      </c>
      <c r="F1119" s="69" t="s">
        <v>14</v>
      </c>
      <c r="G1119" s="83">
        <v>16307</v>
      </c>
      <c r="I1119" s="38" t="str">
        <f>IF(H1119&gt;0,COUNTIF($H$16:H1119,"&gt;0"),"")</f>
        <v/>
      </c>
    </row>
    <row r="1120" spans="1:9" s="56" customFormat="1">
      <c r="A1120" s="69" t="s">
        <v>2118</v>
      </c>
      <c r="B1120" s="69" t="s">
        <v>2213</v>
      </c>
      <c r="C1120" s="69" t="s">
        <v>2214</v>
      </c>
      <c r="D1120" s="69">
        <v>6294879841169</v>
      </c>
      <c r="E1120" s="69" t="s">
        <v>17</v>
      </c>
      <c r="F1120" s="69" t="s">
        <v>14</v>
      </c>
      <c r="G1120" s="83">
        <v>15355</v>
      </c>
      <c r="I1120" s="38" t="str">
        <f>IF(H1120&gt;0,COUNTIF($H$16:H1120,"&gt;0"),"")</f>
        <v/>
      </c>
    </row>
    <row r="1121" spans="1:9" s="56" customFormat="1">
      <c r="A1121" s="69" t="s">
        <v>2118</v>
      </c>
      <c r="B1121" s="69" t="s">
        <v>2215</v>
      </c>
      <c r="C1121" s="69" t="s">
        <v>2216</v>
      </c>
      <c r="D1121" s="69">
        <v>6289889987983</v>
      </c>
      <c r="E1121" s="69" t="s">
        <v>17</v>
      </c>
      <c r="F1121" s="69" t="s">
        <v>14</v>
      </c>
      <c r="G1121" s="83">
        <v>16826</v>
      </c>
      <c r="I1121" s="38" t="str">
        <f>IF(H1121&gt;0,COUNTIF($H$16:H1121,"&gt;0"),"")</f>
        <v/>
      </c>
    </row>
    <row r="1122" spans="1:9" s="56" customFormat="1">
      <c r="A1122" s="69" t="s">
        <v>2118</v>
      </c>
      <c r="B1122" s="69" t="s">
        <v>2217</v>
      </c>
      <c r="C1122" s="69" t="s">
        <v>2218</v>
      </c>
      <c r="D1122" s="69">
        <v>6295156500335</v>
      </c>
      <c r="E1122" s="69" t="s">
        <v>17</v>
      </c>
      <c r="F1122" s="69" t="s">
        <v>14</v>
      </c>
      <c r="G1122" s="83">
        <v>19423</v>
      </c>
      <c r="I1122" s="38" t="str">
        <f>IF(H1122&gt;0,COUNTIF($H$16:H1122,"&gt;0"),"")</f>
        <v/>
      </c>
    </row>
    <row r="1123" spans="1:9" s="56" customFormat="1">
      <c r="A1123" s="69" t="s">
        <v>2118</v>
      </c>
      <c r="B1123" s="69" t="s">
        <v>2219</v>
      </c>
      <c r="C1123" s="69" t="s">
        <v>2220</v>
      </c>
      <c r="D1123" s="69">
        <v>6295156500182</v>
      </c>
      <c r="E1123" s="69" t="s">
        <v>17</v>
      </c>
      <c r="F1123" s="69" t="s">
        <v>14</v>
      </c>
      <c r="G1123" s="83">
        <v>15181</v>
      </c>
      <c r="I1123" s="38" t="str">
        <f>IF(H1123&gt;0,COUNTIF($H$16:H1123,"&gt;0"),"")</f>
        <v/>
      </c>
    </row>
    <row r="1124" spans="1:9" s="56" customFormat="1">
      <c r="A1124" s="69" t="s">
        <v>2118</v>
      </c>
      <c r="B1124" s="69" t="s">
        <v>2221</v>
      </c>
      <c r="C1124" s="69" t="s">
        <v>2222</v>
      </c>
      <c r="D1124" s="69">
        <v>6299887888748</v>
      </c>
      <c r="E1124" s="69" t="s">
        <v>42</v>
      </c>
      <c r="F1124" s="69" t="s">
        <v>14</v>
      </c>
      <c r="G1124" s="83">
        <v>12932</v>
      </c>
      <c r="I1124" s="38" t="str">
        <f>IF(H1124&gt;0,COUNTIF($H$16:H1124,"&gt;0"),"")</f>
        <v/>
      </c>
    </row>
    <row r="1125" spans="1:9" s="56" customFormat="1">
      <c r="A1125" s="69" t="s">
        <v>2118</v>
      </c>
      <c r="B1125" s="69" t="s">
        <v>2223</v>
      </c>
      <c r="C1125" s="69" t="s">
        <v>2224</v>
      </c>
      <c r="D1125" s="69">
        <v>6430021526656</v>
      </c>
      <c r="E1125" s="69" t="s">
        <v>17</v>
      </c>
      <c r="F1125" s="69" t="s">
        <v>14</v>
      </c>
      <c r="G1125" s="83">
        <v>19769</v>
      </c>
      <c r="I1125" s="38" t="str">
        <f>IF(H1125&gt;0,COUNTIF($H$16:H1125,"&gt;0"),"")</f>
        <v/>
      </c>
    </row>
    <row r="1126" spans="1:9" s="56" customFormat="1">
      <c r="A1126" s="69" t="s">
        <v>2118</v>
      </c>
      <c r="B1126" s="69" t="s">
        <v>2225</v>
      </c>
      <c r="C1126" s="69" t="s">
        <v>2226</v>
      </c>
      <c r="D1126" s="69">
        <v>6430021526670</v>
      </c>
      <c r="E1126" s="69" t="s">
        <v>17</v>
      </c>
      <c r="F1126" s="69" t="s">
        <v>14</v>
      </c>
      <c r="G1126" s="83">
        <v>19769</v>
      </c>
      <c r="I1126" s="38" t="str">
        <f>IF(H1126&gt;0,COUNTIF($H$16:H1126,"&gt;0"),"")</f>
        <v/>
      </c>
    </row>
    <row r="1127" spans="1:9" s="56" customFormat="1">
      <c r="A1127" s="69" t="s">
        <v>2118</v>
      </c>
      <c r="B1127" s="69" t="s">
        <v>2227</v>
      </c>
      <c r="C1127" s="69" t="s">
        <v>2228</v>
      </c>
      <c r="D1127" s="69">
        <v>6297842452355</v>
      </c>
      <c r="E1127" s="69" t="s">
        <v>17</v>
      </c>
      <c r="F1127" s="69" t="s">
        <v>14</v>
      </c>
      <c r="G1127" s="83">
        <v>13451</v>
      </c>
      <c r="I1127" s="38" t="str">
        <f>IF(H1127&gt;0,COUNTIF($H$16:H1127,"&gt;0"),"")</f>
        <v/>
      </c>
    </row>
    <row r="1128" spans="1:9" s="56" customFormat="1">
      <c r="A1128" s="69" t="s">
        <v>2118</v>
      </c>
      <c r="B1128" s="69" t="s">
        <v>2229</v>
      </c>
      <c r="C1128" s="69" t="s">
        <v>2230</v>
      </c>
      <c r="D1128" s="69">
        <v>6295156500007</v>
      </c>
      <c r="E1128" s="69" t="s">
        <v>42</v>
      </c>
      <c r="F1128" s="69" t="s">
        <v>14</v>
      </c>
      <c r="G1128" s="83">
        <v>13710</v>
      </c>
      <c r="I1128" s="38" t="str">
        <f>IF(H1128&gt;0,COUNTIF($H$16:H1128,"&gt;0"),"")</f>
        <v/>
      </c>
    </row>
    <row r="1129" spans="1:9" s="56" customFormat="1">
      <c r="A1129" s="69" t="s">
        <v>2118</v>
      </c>
      <c r="B1129" s="69" t="s">
        <v>2231</v>
      </c>
      <c r="C1129" s="69" t="s">
        <v>2232</v>
      </c>
      <c r="D1129" s="69">
        <v>655360132429</v>
      </c>
      <c r="E1129" s="69" t="s">
        <v>17</v>
      </c>
      <c r="F1129" s="69" t="s">
        <v>14</v>
      </c>
      <c r="G1129" s="83">
        <v>16307</v>
      </c>
      <c r="I1129" s="38" t="str">
        <f>IF(H1129&gt;0,COUNTIF($H$16:H1129,"&gt;0"),"")</f>
        <v/>
      </c>
    </row>
    <row r="1130" spans="1:9" s="56" customFormat="1">
      <c r="A1130" s="69" t="s">
        <v>2118</v>
      </c>
      <c r="B1130" s="69" t="s">
        <v>2233</v>
      </c>
      <c r="C1130" s="69" t="s">
        <v>2234</v>
      </c>
      <c r="D1130" s="69">
        <v>6294790437212</v>
      </c>
      <c r="E1130" s="69" t="s">
        <v>17</v>
      </c>
      <c r="F1130" s="69" t="s">
        <v>14</v>
      </c>
      <c r="G1130" s="83">
        <v>16307</v>
      </c>
      <c r="I1130" s="38" t="str">
        <f>IF(H1130&gt;0,COUNTIF($H$16:H1130,"&gt;0"),"")</f>
        <v/>
      </c>
    </row>
    <row r="1131" spans="1:9" s="56" customFormat="1">
      <c r="A1131" s="69" t="s">
        <v>2118</v>
      </c>
      <c r="B1131" s="69" t="s">
        <v>2235</v>
      </c>
      <c r="C1131" s="69" t="s">
        <v>2236</v>
      </c>
      <c r="D1131" s="69">
        <v>6299887881183</v>
      </c>
      <c r="E1131" s="69" t="s">
        <v>17</v>
      </c>
      <c r="F1131" s="69" t="s">
        <v>14</v>
      </c>
      <c r="G1131" s="83">
        <v>19423</v>
      </c>
      <c r="I1131" s="38" t="str">
        <f>IF(H1131&gt;0,COUNTIF($H$16:H1131,"&gt;0"),"")</f>
        <v/>
      </c>
    </row>
    <row r="1132" spans="1:9" s="56" customFormat="1">
      <c r="A1132" s="69" t="s">
        <v>2118</v>
      </c>
      <c r="B1132" s="69" t="s">
        <v>2237</v>
      </c>
      <c r="C1132" s="69" t="s">
        <v>2238</v>
      </c>
      <c r="D1132" s="69">
        <v>6289885998730</v>
      </c>
      <c r="E1132" s="69" t="s">
        <v>17</v>
      </c>
      <c r="F1132" s="69" t="s">
        <v>14</v>
      </c>
      <c r="G1132" s="83">
        <v>15355</v>
      </c>
      <c r="I1132" s="38" t="str">
        <f>IF(H1132&gt;0,COUNTIF($H$16:H1132,"&gt;0"),"")</f>
        <v/>
      </c>
    </row>
    <row r="1133" spans="1:9" s="56" customFormat="1">
      <c r="A1133" s="69" t="s">
        <v>2118</v>
      </c>
      <c r="B1133" s="69" t="s">
        <v>2239</v>
      </c>
      <c r="C1133" s="69" t="s">
        <v>2240</v>
      </c>
      <c r="D1133" s="69">
        <v>6295156500137</v>
      </c>
      <c r="E1133" s="69" t="s">
        <v>42</v>
      </c>
      <c r="F1133" s="69" t="s">
        <v>69</v>
      </c>
      <c r="G1133" s="83">
        <v>24101</v>
      </c>
      <c r="I1133" s="38" t="str">
        <f>IF(H1133&gt;0,COUNTIF($H$16:H1133,"&gt;0"),"")</f>
        <v/>
      </c>
    </row>
    <row r="1134" spans="1:9" s="56" customFormat="1">
      <c r="A1134" s="69" t="s">
        <v>2118</v>
      </c>
      <c r="B1134" s="69" t="s">
        <v>2241</v>
      </c>
      <c r="C1134" s="69" t="s">
        <v>2242</v>
      </c>
      <c r="D1134" s="69">
        <v>6295264987196</v>
      </c>
      <c r="E1134" s="69" t="s">
        <v>42</v>
      </c>
      <c r="F1134" s="69" t="s">
        <v>69</v>
      </c>
      <c r="G1134" s="83">
        <v>15442</v>
      </c>
      <c r="I1134" s="38" t="str">
        <f>IF(H1134&gt;0,COUNTIF($H$16:H1134,"&gt;0"),"")</f>
        <v/>
      </c>
    </row>
    <row r="1135" spans="1:9" s="56" customFormat="1">
      <c r="A1135" s="69" t="s">
        <v>2118</v>
      </c>
      <c r="B1135" s="69" t="s">
        <v>2243</v>
      </c>
      <c r="C1135" s="69" t="s">
        <v>2244</v>
      </c>
      <c r="D1135" s="69">
        <v>6295156500120</v>
      </c>
      <c r="E1135" s="69" t="s">
        <v>42</v>
      </c>
      <c r="F1135" s="69" t="s">
        <v>69</v>
      </c>
      <c r="G1135" s="83">
        <v>24101</v>
      </c>
      <c r="I1135" s="38" t="str">
        <f>IF(H1135&gt;0,COUNTIF($H$16:H1135,"&gt;0"),"")</f>
        <v/>
      </c>
    </row>
    <row r="1136" spans="1:9" s="56" customFormat="1">
      <c r="A1136" s="69" t="s">
        <v>2118</v>
      </c>
      <c r="B1136" s="69" t="s">
        <v>2245</v>
      </c>
      <c r="C1136" s="69" t="s">
        <v>2246</v>
      </c>
      <c r="D1136" s="69">
        <v>6295156500144</v>
      </c>
      <c r="E1136" s="69" t="s">
        <v>17</v>
      </c>
      <c r="F1136" s="69" t="s">
        <v>69</v>
      </c>
      <c r="G1136" s="83">
        <v>24101</v>
      </c>
      <c r="I1136" s="38" t="str">
        <f>IF(H1136&gt;0,COUNTIF($H$16:H1136,"&gt;0"),"")</f>
        <v/>
      </c>
    </row>
    <row r="1137" spans="1:9" s="56" customFormat="1">
      <c r="A1137" s="69" t="s">
        <v>2118</v>
      </c>
      <c r="B1137" s="69" t="s">
        <v>2247</v>
      </c>
      <c r="C1137" s="69" t="s">
        <v>2248</v>
      </c>
      <c r="D1137" s="69">
        <v>6295264987325</v>
      </c>
      <c r="E1137" s="69" t="s">
        <v>17</v>
      </c>
      <c r="F1137" s="69" t="s">
        <v>69</v>
      </c>
      <c r="G1137" s="83">
        <v>15442</v>
      </c>
      <c r="I1137" s="38" t="str">
        <f>IF(H1137&gt;0,COUNTIF($H$16:H1137,"&gt;0"),"")</f>
        <v/>
      </c>
    </row>
    <row r="1138" spans="1:9" s="56" customFormat="1">
      <c r="A1138" s="69" t="s">
        <v>2118</v>
      </c>
      <c r="B1138" s="69" t="s">
        <v>2249</v>
      </c>
      <c r="C1138" s="69" t="s">
        <v>2250</v>
      </c>
      <c r="D1138" s="69">
        <v>6295156500113</v>
      </c>
      <c r="E1138" s="69" t="s">
        <v>17</v>
      </c>
      <c r="F1138" s="69" t="s">
        <v>69</v>
      </c>
      <c r="G1138" s="83">
        <v>24101</v>
      </c>
      <c r="I1138" s="38" t="str">
        <f>IF(H1138&gt;0,COUNTIF($H$16:H1138,"&gt;0"),"")</f>
        <v/>
      </c>
    </row>
    <row r="1139" spans="1:9" s="56" customFormat="1">
      <c r="A1139" s="69" t="s">
        <v>2118</v>
      </c>
      <c r="B1139" s="69" t="s">
        <v>2251</v>
      </c>
      <c r="C1139" s="69" t="s">
        <v>2252</v>
      </c>
      <c r="D1139" s="69">
        <v>6295264986212</v>
      </c>
      <c r="E1139" s="69" t="s">
        <v>17</v>
      </c>
      <c r="F1139" s="69" t="s">
        <v>69</v>
      </c>
      <c r="G1139" s="83">
        <v>15442</v>
      </c>
      <c r="I1139" s="38" t="str">
        <f>IF(H1139&gt;0,COUNTIF($H$16:H1139,"&gt;0"),"")</f>
        <v/>
      </c>
    </row>
    <row r="1140" spans="1:9" s="56" customFormat="1">
      <c r="A1140" s="69" t="s">
        <v>2118</v>
      </c>
      <c r="B1140" s="69" t="s">
        <v>2253</v>
      </c>
      <c r="C1140" s="69" t="s">
        <v>2254</v>
      </c>
      <c r="D1140" s="69">
        <v>6295264987462</v>
      </c>
      <c r="E1140" s="69" t="s">
        <v>42</v>
      </c>
      <c r="F1140" s="69" t="s">
        <v>69</v>
      </c>
      <c r="G1140" s="83">
        <v>14316</v>
      </c>
      <c r="I1140" s="38" t="str">
        <f>IF(H1140&gt;0,COUNTIF($H$16:H1140,"&gt;0"),"")</f>
        <v/>
      </c>
    </row>
    <row r="1141" spans="1:9" s="56" customFormat="1">
      <c r="A1141" s="69" t="s">
        <v>2118</v>
      </c>
      <c r="B1141" s="69" t="s">
        <v>2255</v>
      </c>
      <c r="C1141" s="69" t="s">
        <v>2256</v>
      </c>
      <c r="D1141" s="69">
        <v>6295264979566</v>
      </c>
      <c r="E1141" s="69" t="s">
        <v>42</v>
      </c>
      <c r="F1141" s="69" t="s">
        <v>69</v>
      </c>
      <c r="G1141" s="83">
        <v>14316</v>
      </c>
      <c r="I1141" s="38" t="str">
        <f>IF(H1141&gt;0,COUNTIF($H$16:H1141,"&gt;0"),"")</f>
        <v/>
      </c>
    </row>
    <row r="1142" spans="1:9" s="56" customFormat="1">
      <c r="A1142" s="69" t="s">
        <v>2118</v>
      </c>
      <c r="B1142" s="69" t="s">
        <v>2257</v>
      </c>
      <c r="C1142" s="69" t="s">
        <v>2258</v>
      </c>
      <c r="D1142" s="69">
        <v>6295264976190</v>
      </c>
      <c r="E1142" s="69" t="s">
        <v>17</v>
      </c>
      <c r="F1142" s="69" t="s">
        <v>69</v>
      </c>
      <c r="G1142" s="83">
        <v>15442</v>
      </c>
      <c r="I1142" s="38" t="str">
        <f>IF(H1142&gt;0,COUNTIF($H$16:H1142,"&gt;0"),"")</f>
        <v/>
      </c>
    </row>
    <row r="1143" spans="1:9" s="56" customFormat="1">
      <c r="A1143" s="69" t="s">
        <v>2259</v>
      </c>
      <c r="B1143" s="69" t="s">
        <v>2260</v>
      </c>
      <c r="C1143" s="69" t="s">
        <v>2261</v>
      </c>
      <c r="D1143" s="69">
        <v>608940557327</v>
      </c>
      <c r="E1143" s="69" t="s">
        <v>42</v>
      </c>
      <c r="F1143" s="69" t="s">
        <v>14</v>
      </c>
      <c r="G1143" s="83">
        <v>23235</v>
      </c>
      <c r="I1143" s="38" t="str">
        <f>IF(H1143&gt;0,COUNTIF($H$16:H1143,"&gt;0"),"")</f>
        <v/>
      </c>
    </row>
    <row r="1144" spans="1:9" s="56" customFormat="1">
      <c r="A1144" s="69" t="s">
        <v>2259</v>
      </c>
      <c r="B1144" s="69" t="s">
        <v>2262</v>
      </c>
      <c r="C1144" s="69" t="s">
        <v>2263</v>
      </c>
      <c r="D1144" s="69">
        <v>608940565056</v>
      </c>
      <c r="E1144" s="69" t="s">
        <v>42</v>
      </c>
      <c r="F1144" s="69" t="s">
        <v>14</v>
      </c>
      <c r="G1144" s="83">
        <v>23235</v>
      </c>
      <c r="I1144" s="38" t="str">
        <f>IF(H1144&gt;0,COUNTIF($H$16:H1144,"&gt;0"),"")</f>
        <v/>
      </c>
    </row>
    <row r="1145" spans="1:9" s="56" customFormat="1">
      <c r="A1145" s="69" t="s">
        <v>2259</v>
      </c>
      <c r="B1145" s="69" t="s">
        <v>2264</v>
      </c>
      <c r="C1145" s="69" t="s">
        <v>2265</v>
      </c>
      <c r="D1145" s="69">
        <v>608940521601</v>
      </c>
      <c r="E1145" s="69" t="s">
        <v>42</v>
      </c>
      <c r="F1145" s="69" t="s">
        <v>14</v>
      </c>
      <c r="G1145" s="83">
        <v>19163</v>
      </c>
      <c r="I1145" s="38" t="str">
        <f>IF(H1145&gt;0,COUNTIF($H$16:H1145,"&gt;0"),"")</f>
        <v/>
      </c>
    </row>
    <row r="1146" spans="1:9" s="56" customFormat="1">
      <c r="A1146" s="69" t="s">
        <v>2259</v>
      </c>
      <c r="B1146" s="69" t="s">
        <v>2266</v>
      </c>
      <c r="C1146" s="69" t="s">
        <v>2267</v>
      </c>
      <c r="D1146" s="69">
        <v>608940517482</v>
      </c>
      <c r="E1146" s="69" t="s">
        <v>42</v>
      </c>
      <c r="F1146" s="69" t="s">
        <v>14</v>
      </c>
      <c r="G1146" s="83">
        <v>23235</v>
      </c>
      <c r="I1146" s="38" t="str">
        <f>IF(H1146&gt;0,COUNTIF($H$16:H1146,"&gt;0"),"")</f>
        <v/>
      </c>
    </row>
    <row r="1147" spans="1:9" s="56" customFormat="1">
      <c r="A1147" s="69" t="s">
        <v>2259</v>
      </c>
      <c r="B1147" s="69" t="s">
        <v>2268</v>
      </c>
      <c r="C1147" s="69" t="s">
        <v>2269</v>
      </c>
      <c r="D1147" s="69">
        <v>608940533369</v>
      </c>
      <c r="E1147" s="69" t="s">
        <v>42</v>
      </c>
      <c r="F1147" s="69" t="s">
        <v>14</v>
      </c>
      <c r="G1147" s="83">
        <v>23235</v>
      </c>
      <c r="I1147" s="38" t="str">
        <f>IF(H1147&gt;0,COUNTIF($H$16:H1147,"&gt;0"),"")</f>
        <v/>
      </c>
    </row>
    <row r="1148" spans="1:9" s="56" customFormat="1">
      <c r="A1148" s="69" t="s">
        <v>2259</v>
      </c>
      <c r="B1148" s="69" t="s">
        <v>2270</v>
      </c>
      <c r="C1148" s="69" t="s">
        <v>2271</v>
      </c>
      <c r="D1148" s="69">
        <v>608940581391</v>
      </c>
      <c r="E1148" s="69" t="s">
        <v>42</v>
      </c>
      <c r="F1148" s="69" t="s">
        <v>14</v>
      </c>
      <c r="G1148" s="83">
        <v>23235</v>
      </c>
      <c r="I1148" s="38" t="str">
        <f>IF(H1148&gt;0,COUNTIF($H$16:H1148,"&gt;0"),"")</f>
        <v/>
      </c>
    </row>
    <row r="1149" spans="1:9" s="56" customFormat="1">
      <c r="A1149" s="69" t="s">
        <v>2259</v>
      </c>
      <c r="B1149" s="69" t="s">
        <v>2272</v>
      </c>
      <c r="C1149" s="69" t="s">
        <v>2273</v>
      </c>
      <c r="D1149" s="69">
        <v>608940580103</v>
      </c>
      <c r="E1149" s="69" t="s">
        <v>42</v>
      </c>
      <c r="F1149" s="69" t="s">
        <v>14</v>
      </c>
      <c r="G1149" s="83">
        <v>23235</v>
      </c>
      <c r="I1149" s="38" t="str">
        <f>IF(H1149&gt;0,COUNTIF($H$16:H1149,"&gt;0"),"")</f>
        <v/>
      </c>
    </row>
    <row r="1150" spans="1:9" s="56" customFormat="1">
      <c r="A1150" s="69" t="s">
        <v>2259</v>
      </c>
      <c r="B1150" s="69" t="s">
        <v>2274</v>
      </c>
      <c r="C1150" s="69" t="s">
        <v>2275</v>
      </c>
      <c r="D1150" s="69">
        <v>608940573341</v>
      </c>
      <c r="E1150" s="69" t="s">
        <v>42</v>
      </c>
      <c r="F1150" s="69" t="s">
        <v>14</v>
      </c>
      <c r="G1150" s="83">
        <v>23235</v>
      </c>
      <c r="I1150" s="38" t="str">
        <f>IF(H1150&gt;0,COUNTIF($H$16:H1150,"&gt;0"),"")</f>
        <v/>
      </c>
    </row>
    <row r="1151" spans="1:9" s="56" customFormat="1">
      <c r="A1151" s="69" t="s">
        <v>141</v>
      </c>
      <c r="B1151" s="69" t="s">
        <v>142</v>
      </c>
      <c r="C1151" s="69" t="s">
        <v>143</v>
      </c>
      <c r="D1151" s="69">
        <v>3614273760164</v>
      </c>
      <c r="E1151" s="69" t="s">
        <v>42</v>
      </c>
      <c r="F1151" s="69" t="s">
        <v>14</v>
      </c>
      <c r="G1151" s="83">
        <v>108815</v>
      </c>
      <c r="I1151" s="38" t="str">
        <f>IF(H1151&gt;0,COUNTIF($H$16:H1151,"&gt;0"),"")</f>
        <v/>
      </c>
    </row>
    <row r="1152" spans="1:9" s="56" customFormat="1">
      <c r="A1152" s="69" t="s">
        <v>141</v>
      </c>
      <c r="B1152" s="69" t="s">
        <v>144</v>
      </c>
      <c r="C1152" s="69" t="s">
        <v>145</v>
      </c>
      <c r="D1152" s="69">
        <v>3614273961707</v>
      </c>
      <c r="E1152" s="69" t="s">
        <v>42</v>
      </c>
      <c r="F1152" s="69" t="s">
        <v>14</v>
      </c>
      <c r="G1152" s="83">
        <v>119548</v>
      </c>
      <c r="I1152" s="38" t="str">
        <f>IF(H1152&gt;0,COUNTIF($H$16:H1152,"&gt;0"),"")</f>
        <v/>
      </c>
    </row>
    <row r="1153" spans="1:9" s="56" customFormat="1">
      <c r="A1153" s="69" t="s">
        <v>2276</v>
      </c>
      <c r="B1153" s="69" t="s">
        <v>2277</v>
      </c>
      <c r="C1153" s="69" t="s">
        <v>2278</v>
      </c>
      <c r="D1153" s="69">
        <v>8411061401705</v>
      </c>
      <c r="E1153" s="69" t="s">
        <v>13</v>
      </c>
      <c r="F1153" s="69" t="s">
        <v>14</v>
      </c>
      <c r="G1153" s="83">
        <v>11719</v>
      </c>
      <c r="I1153" s="38" t="str">
        <f>IF(H1153&gt;0,COUNTIF($H$16:H1153,"&gt;0"),"")</f>
        <v/>
      </c>
    </row>
    <row r="1154" spans="1:9" s="56" customFormat="1">
      <c r="A1154" s="69" t="s">
        <v>2276</v>
      </c>
      <c r="B1154" s="69" t="s">
        <v>2279</v>
      </c>
      <c r="C1154" s="69" t="s">
        <v>2280</v>
      </c>
      <c r="D1154" s="69">
        <v>8411061934227</v>
      </c>
      <c r="E1154" s="69" t="s">
        <v>13</v>
      </c>
      <c r="F1154" s="69" t="s">
        <v>14</v>
      </c>
      <c r="G1154" s="83">
        <v>12845</v>
      </c>
      <c r="I1154" s="38" t="str">
        <f>IF(H1154&gt;0,COUNTIF($H$16:H1154,"&gt;0"),"")</f>
        <v/>
      </c>
    </row>
    <row r="1155" spans="1:9" s="56" customFormat="1">
      <c r="A1155" s="69" t="s">
        <v>2276</v>
      </c>
      <c r="B1155" s="69" t="s">
        <v>2281</v>
      </c>
      <c r="C1155" s="69" t="s">
        <v>2282</v>
      </c>
      <c r="D1155" s="69">
        <v>8411061923221</v>
      </c>
      <c r="E1155" s="69" t="s">
        <v>13</v>
      </c>
      <c r="F1155" s="69" t="s">
        <v>14</v>
      </c>
      <c r="G1155" s="83">
        <v>13191</v>
      </c>
      <c r="I1155" s="38" t="str">
        <f>IF(H1155&gt;0,COUNTIF($H$16:H1155,"&gt;0"),"")</f>
        <v/>
      </c>
    </row>
    <row r="1156" spans="1:9" s="56" customFormat="1">
      <c r="A1156" s="69" t="s">
        <v>2276</v>
      </c>
      <c r="B1156" s="69" t="s">
        <v>2283</v>
      </c>
      <c r="C1156" s="69" t="s">
        <v>2284</v>
      </c>
      <c r="D1156" s="69">
        <v>8411061582350</v>
      </c>
      <c r="E1156" s="69" t="s">
        <v>13</v>
      </c>
      <c r="F1156" s="69" t="s">
        <v>14</v>
      </c>
      <c r="G1156" s="83">
        <v>13191</v>
      </c>
      <c r="I1156" s="38" t="str">
        <f>IF(H1156&gt;0,COUNTIF($H$16:H1156,"&gt;0"),"")</f>
        <v/>
      </c>
    </row>
    <row r="1157" spans="1:9" s="56" customFormat="1">
      <c r="A1157" s="69" t="s">
        <v>2276</v>
      </c>
      <c r="B1157" s="69" t="s">
        <v>2285</v>
      </c>
      <c r="C1157" s="69" t="s">
        <v>2286</v>
      </c>
      <c r="D1157" s="69">
        <v>8411061111550</v>
      </c>
      <c r="E1157" s="69" t="s">
        <v>13</v>
      </c>
      <c r="F1157" s="69" t="s">
        <v>69</v>
      </c>
      <c r="G1157" s="83">
        <v>13364</v>
      </c>
      <c r="I1157" s="38" t="str">
        <f>IF(H1157&gt;0,COUNTIF($H$16:H1157,"&gt;0"),"")</f>
        <v/>
      </c>
    </row>
    <row r="1158" spans="1:9" s="56" customFormat="1">
      <c r="A1158" s="69" t="s">
        <v>151</v>
      </c>
      <c r="B1158" s="69" t="s">
        <v>154</v>
      </c>
      <c r="C1158" s="69" t="s">
        <v>155</v>
      </c>
      <c r="D1158" s="69">
        <v>3605972386021</v>
      </c>
      <c r="E1158" s="69" t="s">
        <v>42</v>
      </c>
      <c r="F1158" s="69" t="s">
        <v>14</v>
      </c>
      <c r="G1158" s="83">
        <v>23668</v>
      </c>
      <c r="I1158" s="38" t="str">
        <f>IF(H1158&gt;0,COUNTIF($H$16:H1158,"&gt;0"),"")</f>
        <v/>
      </c>
    </row>
    <row r="1159" spans="1:9" s="56" customFormat="1">
      <c r="A1159" s="69" t="s">
        <v>151</v>
      </c>
      <c r="B1159" s="69" t="s">
        <v>2287</v>
      </c>
      <c r="C1159" s="69" t="s">
        <v>2288</v>
      </c>
      <c r="D1159" s="69">
        <v>3605973038202</v>
      </c>
      <c r="E1159" s="69" t="s">
        <v>13</v>
      </c>
      <c r="F1159" s="69" t="s">
        <v>14</v>
      </c>
      <c r="G1159" s="83">
        <v>48141</v>
      </c>
      <c r="I1159" s="38" t="str">
        <f>IF(H1159&gt;0,COUNTIF($H$16:H1159,"&gt;0"),"")</f>
        <v/>
      </c>
    </row>
    <row r="1160" spans="1:9" s="56" customFormat="1">
      <c r="A1160" s="69" t="s">
        <v>151</v>
      </c>
      <c r="B1160" s="69" t="s">
        <v>2289</v>
      </c>
      <c r="C1160" s="69" t="s">
        <v>2290</v>
      </c>
      <c r="D1160" s="69">
        <v>3605973080805</v>
      </c>
      <c r="E1160" s="69" t="s">
        <v>13</v>
      </c>
      <c r="F1160" s="69" t="s">
        <v>69</v>
      </c>
      <c r="G1160" s="83">
        <v>71251</v>
      </c>
      <c r="I1160" s="38" t="str">
        <f>IF(H1160&gt;0,COUNTIF($H$16:H1160,"&gt;0"),"")</f>
        <v/>
      </c>
    </row>
    <row r="1161" spans="1:9" s="56" customFormat="1">
      <c r="A1161" s="69" t="s">
        <v>151</v>
      </c>
      <c r="B1161" s="69" t="s">
        <v>2291</v>
      </c>
      <c r="C1161" s="69" t="s">
        <v>2292</v>
      </c>
      <c r="D1161" s="69">
        <v>3605973084391</v>
      </c>
      <c r="E1161" s="69" t="s">
        <v>13</v>
      </c>
      <c r="F1161" s="69" t="s">
        <v>69</v>
      </c>
      <c r="G1161" s="83">
        <v>77742</v>
      </c>
      <c r="I1161" s="38" t="str">
        <f>IF(H1161&gt;0,COUNTIF($H$16:H1161,"&gt;0"),"")</f>
        <v/>
      </c>
    </row>
    <row r="1162" spans="1:9" s="56" customFormat="1">
      <c r="A1162" s="69" t="s">
        <v>151</v>
      </c>
      <c r="B1162" s="69" t="s">
        <v>2293</v>
      </c>
      <c r="C1162" s="69" t="s">
        <v>2294</v>
      </c>
      <c r="D1162" s="69">
        <v>3605973114647</v>
      </c>
      <c r="E1162" s="69" t="s">
        <v>13</v>
      </c>
      <c r="F1162" s="69" t="s">
        <v>69</v>
      </c>
      <c r="G1162" s="83">
        <v>72117</v>
      </c>
      <c r="I1162" s="38" t="str">
        <f>IF(H1162&gt;0,COUNTIF($H$16:H1162,"&gt;0"),"")</f>
        <v/>
      </c>
    </row>
    <row r="1163" spans="1:9" s="56" customFormat="1">
      <c r="A1163" s="69" t="s">
        <v>151</v>
      </c>
      <c r="B1163" s="69" t="s">
        <v>2295</v>
      </c>
      <c r="C1163" s="69" t="s">
        <v>2296</v>
      </c>
      <c r="D1163" s="69">
        <v>3605973118621</v>
      </c>
      <c r="E1163" s="69" t="s">
        <v>13</v>
      </c>
      <c r="F1163" s="69" t="s">
        <v>69</v>
      </c>
      <c r="G1163" s="83">
        <v>71684</v>
      </c>
      <c r="I1163" s="38" t="str">
        <f>IF(H1163&gt;0,COUNTIF($H$16:H1163,"&gt;0"),"")</f>
        <v/>
      </c>
    </row>
    <row r="1164" spans="1:9" s="56" customFormat="1">
      <c r="A1164" s="69" t="s">
        <v>151</v>
      </c>
      <c r="B1164" s="69" t="s">
        <v>156</v>
      </c>
      <c r="C1164" s="69" t="s">
        <v>157</v>
      </c>
      <c r="D1164" s="69">
        <v>3605973093898</v>
      </c>
      <c r="E1164" s="69" t="s">
        <v>13</v>
      </c>
      <c r="F1164" s="69" t="s">
        <v>69</v>
      </c>
      <c r="G1164" s="83">
        <v>19336</v>
      </c>
      <c r="I1164" s="38" t="str">
        <f>IF(H1164&gt;0,COUNTIF($H$16:H1164,"&gt;0"),"")</f>
        <v/>
      </c>
    </row>
    <row r="1165" spans="1:9" s="56" customFormat="1">
      <c r="A1165" s="69" t="s">
        <v>146</v>
      </c>
      <c r="B1165" s="69" t="s">
        <v>2297</v>
      </c>
      <c r="C1165" s="69" t="s">
        <v>2298</v>
      </c>
      <c r="D1165" s="69">
        <v>614514178072</v>
      </c>
      <c r="E1165" s="69" t="s">
        <v>42</v>
      </c>
      <c r="F1165" s="69" t="s">
        <v>14</v>
      </c>
      <c r="G1165" s="83">
        <v>32628</v>
      </c>
      <c r="I1165" s="38" t="str">
        <f>IF(H1165&gt;0,COUNTIF($H$16:H1165,"&gt;0"),"")</f>
        <v/>
      </c>
    </row>
    <row r="1166" spans="1:9" s="56" customFormat="1">
      <c r="A1166" s="69" t="s">
        <v>146</v>
      </c>
      <c r="B1166" s="69" t="s">
        <v>2299</v>
      </c>
      <c r="C1166" s="69" t="s">
        <v>2300</v>
      </c>
      <c r="D1166" s="69">
        <v>614514555125</v>
      </c>
      <c r="E1166" s="69" t="s">
        <v>13</v>
      </c>
      <c r="F1166" s="69" t="s">
        <v>14</v>
      </c>
      <c r="G1166" s="83">
        <v>32888</v>
      </c>
      <c r="I1166" s="38" t="str">
        <f>IF(H1166&gt;0,COUNTIF($H$16:H1166,"&gt;0"),"")</f>
        <v/>
      </c>
    </row>
    <row r="1167" spans="1:9" s="56" customFormat="1">
      <c r="A1167" s="69" t="s">
        <v>146</v>
      </c>
      <c r="B1167" s="69" t="s">
        <v>2301</v>
      </c>
      <c r="C1167" s="69" t="s">
        <v>2302</v>
      </c>
      <c r="D1167" s="69">
        <v>614514575284</v>
      </c>
      <c r="E1167" s="69" t="s">
        <v>13</v>
      </c>
      <c r="F1167" s="69" t="s">
        <v>14</v>
      </c>
      <c r="G1167" s="83">
        <v>39640</v>
      </c>
      <c r="I1167" s="38" t="str">
        <f>IF(H1167&gt;0,COUNTIF($H$16:H1167,"&gt;0"),"")</f>
        <v/>
      </c>
    </row>
    <row r="1168" spans="1:9" s="56" customFormat="1">
      <c r="A1168" s="69" t="s">
        <v>146</v>
      </c>
      <c r="B1168" s="69" t="s">
        <v>2303</v>
      </c>
      <c r="C1168" s="69" t="s">
        <v>2304</v>
      </c>
      <c r="D1168" s="69">
        <v>614514575291</v>
      </c>
      <c r="E1168" s="69" t="s">
        <v>13</v>
      </c>
      <c r="F1168" s="69" t="s">
        <v>14</v>
      </c>
      <c r="G1168" s="83">
        <v>39640</v>
      </c>
      <c r="I1168" s="38" t="str">
        <f>IF(H1168&gt;0,COUNTIF($H$16:H1168,"&gt;0"),"")</f>
        <v/>
      </c>
    </row>
    <row r="1169" spans="1:9" s="56" customFormat="1">
      <c r="A1169" s="69" t="s">
        <v>146</v>
      </c>
      <c r="B1169" s="69" t="s">
        <v>2305</v>
      </c>
      <c r="C1169" s="69" t="s">
        <v>2306</v>
      </c>
      <c r="D1169" s="69">
        <v>614514465059</v>
      </c>
      <c r="E1169" s="69" t="s">
        <v>17</v>
      </c>
      <c r="F1169" s="69" t="s">
        <v>14</v>
      </c>
      <c r="G1169" s="83">
        <v>26697</v>
      </c>
      <c r="I1169" s="38" t="str">
        <f>IF(H1169&gt;0,COUNTIF($H$16:H1169,"&gt;0"),"")</f>
        <v/>
      </c>
    </row>
    <row r="1170" spans="1:9" s="56" customFormat="1">
      <c r="A1170" s="69" t="s">
        <v>146</v>
      </c>
      <c r="B1170" s="69" t="s">
        <v>2307</v>
      </c>
      <c r="C1170" s="69" t="s">
        <v>2308</v>
      </c>
      <c r="D1170" s="69">
        <v>614514465165</v>
      </c>
      <c r="E1170" s="69" t="s">
        <v>17</v>
      </c>
      <c r="F1170" s="69" t="s">
        <v>14</v>
      </c>
      <c r="G1170" s="83">
        <v>39640</v>
      </c>
      <c r="I1170" s="38" t="str">
        <f>IF(H1170&gt;0,COUNTIF($H$16:H1170,"&gt;0"),"")</f>
        <v/>
      </c>
    </row>
    <row r="1171" spans="1:9" s="56" customFormat="1">
      <c r="A1171" s="69" t="s">
        <v>146</v>
      </c>
      <c r="B1171" s="69" t="s">
        <v>147</v>
      </c>
      <c r="C1171" s="69" t="s">
        <v>148</v>
      </c>
      <c r="D1171" s="69">
        <v>614514464441</v>
      </c>
      <c r="E1171" s="69" t="s">
        <v>13</v>
      </c>
      <c r="F1171" s="69" t="s">
        <v>14</v>
      </c>
      <c r="G1171" s="83">
        <v>38342</v>
      </c>
      <c r="I1171" s="38" t="str">
        <f>IF(H1171&gt;0,COUNTIF($H$16:H1171,"&gt;0"),"")</f>
        <v/>
      </c>
    </row>
    <row r="1172" spans="1:9" s="56" customFormat="1">
      <c r="A1172" s="69" t="s">
        <v>146</v>
      </c>
      <c r="B1172" s="69" t="s">
        <v>149</v>
      </c>
      <c r="C1172" s="69" t="s">
        <v>150</v>
      </c>
      <c r="D1172" s="69">
        <v>614514331026</v>
      </c>
      <c r="E1172" s="69" t="s">
        <v>13</v>
      </c>
      <c r="F1172" s="69" t="s">
        <v>14</v>
      </c>
      <c r="G1172" s="83">
        <v>20981</v>
      </c>
      <c r="I1172" s="38" t="str">
        <f>IF(H1172&gt;0,COUNTIF($H$16:H1172,"&gt;0"),"")</f>
        <v/>
      </c>
    </row>
    <row r="1173" spans="1:9" s="56" customFormat="1">
      <c r="A1173" s="69" t="s">
        <v>2309</v>
      </c>
      <c r="B1173" s="69" t="s">
        <v>2310</v>
      </c>
      <c r="C1173" s="69" t="s">
        <v>2311</v>
      </c>
      <c r="D1173" s="69">
        <v>6290360591445</v>
      </c>
      <c r="E1173" s="69" t="s">
        <v>13</v>
      </c>
      <c r="F1173" s="69" t="s">
        <v>14</v>
      </c>
      <c r="G1173" s="83">
        <v>12932</v>
      </c>
      <c r="I1173" s="38" t="str">
        <f>IF(H1173&gt;0,COUNTIF($H$16:H1173,"&gt;0"),"")</f>
        <v/>
      </c>
    </row>
    <row r="1174" spans="1:9" s="56" customFormat="1">
      <c r="A1174" s="69" t="s">
        <v>2309</v>
      </c>
      <c r="B1174" s="69" t="s">
        <v>2312</v>
      </c>
      <c r="C1174" s="69" t="s">
        <v>2313</v>
      </c>
      <c r="D1174" s="69">
        <v>6291106068498</v>
      </c>
      <c r="E1174" s="69" t="s">
        <v>42</v>
      </c>
      <c r="F1174" s="69" t="s">
        <v>14</v>
      </c>
      <c r="G1174" s="83">
        <v>10941</v>
      </c>
      <c r="I1174" s="38" t="str">
        <f>IF(H1174&gt;0,COUNTIF($H$16:H1174,"&gt;0"),"")</f>
        <v/>
      </c>
    </row>
    <row r="1175" spans="1:9" s="56" customFormat="1">
      <c r="A1175" s="69" t="s">
        <v>2309</v>
      </c>
      <c r="B1175" s="69" t="s">
        <v>2314</v>
      </c>
      <c r="C1175" s="69" t="s">
        <v>2315</v>
      </c>
      <c r="D1175" s="69">
        <v>6290360599717</v>
      </c>
      <c r="E1175" s="69" t="s">
        <v>42</v>
      </c>
      <c r="F1175" s="69" t="s">
        <v>14</v>
      </c>
      <c r="G1175" s="83">
        <v>12672</v>
      </c>
      <c r="I1175" s="38" t="str">
        <f>IF(H1175&gt;0,COUNTIF($H$16:H1175,"&gt;0"),"")</f>
        <v/>
      </c>
    </row>
    <row r="1176" spans="1:9" s="56" customFormat="1">
      <c r="A1176" s="69" t="s">
        <v>2309</v>
      </c>
      <c r="B1176" s="69" t="s">
        <v>2316</v>
      </c>
      <c r="C1176" s="69" t="s">
        <v>2317</v>
      </c>
      <c r="D1176" s="69">
        <v>6290360599700</v>
      </c>
      <c r="E1176" s="69" t="s">
        <v>13</v>
      </c>
      <c r="F1176" s="69" t="s">
        <v>14</v>
      </c>
      <c r="G1176" s="83">
        <v>12672</v>
      </c>
      <c r="I1176" s="38" t="str">
        <f>IF(H1176&gt;0,COUNTIF($H$16:H1176,"&gt;0"),"")</f>
        <v/>
      </c>
    </row>
    <row r="1177" spans="1:9" s="56" customFormat="1">
      <c r="A1177" s="69" t="s">
        <v>2309</v>
      </c>
      <c r="B1177" s="69" t="s">
        <v>2318</v>
      </c>
      <c r="C1177" s="69" t="s">
        <v>2319</v>
      </c>
      <c r="D1177" s="69">
        <v>6291106069211</v>
      </c>
      <c r="E1177" s="69" t="s">
        <v>42</v>
      </c>
      <c r="F1177" s="69" t="s">
        <v>14</v>
      </c>
      <c r="G1177" s="83">
        <v>13018</v>
      </c>
      <c r="I1177" s="38" t="str">
        <f>IF(H1177&gt;0,COUNTIF($H$16:H1177,"&gt;0"),"")</f>
        <v/>
      </c>
    </row>
    <row r="1178" spans="1:9" s="56" customFormat="1">
      <c r="A1178" s="69" t="s">
        <v>2320</v>
      </c>
      <c r="B1178" s="69" t="s">
        <v>2321</v>
      </c>
      <c r="C1178" s="69" t="s">
        <v>2322</v>
      </c>
      <c r="D1178" s="69">
        <v>6297001571330</v>
      </c>
      <c r="E1178" s="69" t="s">
        <v>13</v>
      </c>
      <c r="F1178" s="69" t="s">
        <v>14</v>
      </c>
      <c r="G1178" s="83">
        <v>25572</v>
      </c>
      <c r="I1178" s="38" t="str">
        <f>IF(H1178&gt;0,COUNTIF($H$16:H1178,"&gt;0"),"")</f>
        <v/>
      </c>
    </row>
    <row r="1179" spans="1:9" s="56" customFormat="1">
      <c r="A1179" s="69" t="s">
        <v>2320</v>
      </c>
      <c r="B1179" s="69" t="s">
        <v>2323</v>
      </c>
      <c r="C1179" s="69" t="s">
        <v>2324</v>
      </c>
      <c r="D1179" s="69">
        <v>6297001571026</v>
      </c>
      <c r="E1179" s="69" t="s">
        <v>13</v>
      </c>
      <c r="F1179" s="69" t="s">
        <v>14</v>
      </c>
      <c r="G1179" s="83">
        <v>27822</v>
      </c>
      <c r="I1179" s="38" t="str">
        <f>IF(H1179&gt;0,COUNTIF($H$16:H1179,"&gt;0"),"")</f>
        <v/>
      </c>
    </row>
    <row r="1180" spans="1:9" s="56" customFormat="1">
      <c r="A1180" s="69" t="s">
        <v>2320</v>
      </c>
      <c r="B1180" s="69" t="s">
        <v>2325</v>
      </c>
      <c r="C1180" s="69" t="s">
        <v>2326</v>
      </c>
      <c r="D1180" s="69">
        <v>6297001571323</v>
      </c>
      <c r="E1180" s="69" t="s">
        <v>13</v>
      </c>
      <c r="F1180" s="69" t="s">
        <v>14</v>
      </c>
      <c r="G1180" s="83">
        <v>24966</v>
      </c>
      <c r="I1180" s="38" t="str">
        <f>IF(H1180&gt;0,COUNTIF($H$16:H1180,"&gt;0"),"")</f>
        <v/>
      </c>
    </row>
    <row r="1181" spans="1:9" s="56" customFormat="1">
      <c r="A1181" s="69" t="s">
        <v>2320</v>
      </c>
      <c r="B1181" s="69" t="s">
        <v>2327</v>
      </c>
      <c r="C1181" s="69" t="s">
        <v>2328</v>
      </c>
      <c r="D1181" s="69">
        <v>6297001571354</v>
      </c>
      <c r="E1181" s="69" t="s">
        <v>17</v>
      </c>
      <c r="F1181" s="69" t="s">
        <v>14</v>
      </c>
      <c r="G1181" s="83">
        <v>26697</v>
      </c>
      <c r="I1181" s="38" t="str">
        <f>IF(H1181&gt;0,COUNTIF($H$16:H1181,"&gt;0"),"")</f>
        <v/>
      </c>
    </row>
    <row r="1182" spans="1:9" s="56" customFormat="1">
      <c r="A1182" s="69" t="s">
        <v>2320</v>
      </c>
      <c r="B1182" s="69" t="s">
        <v>2329</v>
      </c>
      <c r="C1182" s="69" t="s">
        <v>2330</v>
      </c>
      <c r="D1182" s="69">
        <v>6298044138672</v>
      </c>
      <c r="E1182" s="69" t="s">
        <v>42</v>
      </c>
      <c r="F1182" s="69" t="s">
        <v>14</v>
      </c>
      <c r="G1182" s="83">
        <v>13797</v>
      </c>
      <c r="I1182" s="38" t="str">
        <f>IF(H1182&gt;0,COUNTIF($H$16:H1182,"&gt;0"),"")</f>
        <v/>
      </c>
    </row>
    <row r="1183" spans="1:9" s="56" customFormat="1">
      <c r="A1183" s="69" t="s">
        <v>2320</v>
      </c>
      <c r="B1183" s="69" t="s">
        <v>2331</v>
      </c>
      <c r="C1183" s="69" t="s">
        <v>2332</v>
      </c>
      <c r="D1183" s="69">
        <v>6297001571415</v>
      </c>
      <c r="E1183" s="69" t="s">
        <v>13</v>
      </c>
      <c r="F1183" s="69" t="s">
        <v>14</v>
      </c>
      <c r="G1183" s="83">
        <v>26697</v>
      </c>
      <c r="I1183" s="38" t="str">
        <f>IF(H1183&gt;0,COUNTIF($H$16:H1183,"&gt;0"),"")</f>
        <v/>
      </c>
    </row>
    <row r="1184" spans="1:9" s="56" customFormat="1">
      <c r="A1184" s="69" t="s">
        <v>2320</v>
      </c>
      <c r="B1184" s="69" t="s">
        <v>2333</v>
      </c>
      <c r="C1184" s="69" t="s">
        <v>2334</v>
      </c>
      <c r="D1184" s="69">
        <v>6298044138641</v>
      </c>
      <c r="E1184" s="69" t="s">
        <v>42</v>
      </c>
      <c r="F1184" s="69" t="s">
        <v>14</v>
      </c>
      <c r="G1184" s="83">
        <v>13797</v>
      </c>
      <c r="I1184" s="38" t="str">
        <f>IF(H1184&gt;0,COUNTIF($H$16:H1184,"&gt;0"),"")</f>
        <v/>
      </c>
    </row>
    <row r="1185" spans="1:9" s="56" customFormat="1">
      <c r="A1185" s="69" t="s">
        <v>2320</v>
      </c>
      <c r="B1185" s="69" t="s">
        <v>2335</v>
      </c>
      <c r="C1185" s="69" t="s">
        <v>2336</v>
      </c>
      <c r="D1185" s="69">
        <v>6298044138634</v>
      </c>
      <c r="E1185" s="69" t="s">
        <v>42</v>
      </c>
      <c r="F1185" s="69" t="s">
        <v>14</v>
      </c>
      <c r="G1185" s="83">
        <v>13797</v>
      </c>
      <c r="I1185" s="38" t="str">
        <f>IF(H1185&gt;0,COUNTIF($H$16:H1185,"&gt;0"),"")</f>
        <v/>
      </c>
    </row>
    <row r="1186" spans="1:9" s="56" customFormat="1">
      <c r="A1186" s="69" t="s">
        <v>2320</v>
      </c>
      <c r="B1186" s="69" t="s">
        <v>2337</v>
      </c>
      <c r="C1186" s="69" t="s">
        <v>2338</v>
      </c>
      <c r="D1186" s="69">
        <v>6298044138726</v>
      </c>
      <c r="E1186" s="69" t="s">
        <v>13</v>
      </c>
      <c r="F1186" s="69" t="s">
        <v>14</v>
      </c>
      <c r="G1186" s="83">
        <v>16393</v>
      </c>
      <c r="I1186" s="38" t="str">
        <f>IF(H1186&gt;0,COUNTIF($H$16:H1186,"&gt;0"),"")</f>
        <v/>
      </c>
    </row>
    <row r="1187" spans="1:9" s="56" customFormat="1">
      <c r="A1187" s="69" t="s">
        <v>2320</v>
      </c>
      <c r="B1187" s="69" t="s">
        <v>2339</v>
      </c>
      <c r="C1187" s="69" t="s">
        <v>2340</v>
      </c>
      <c r="D1187" s="69">
        <v>6297001571392</v>
      </c>
      <c r="E1187" s="69" t="s">
        <v>17</v>
      </c>
      <c r="F1187" s="69" t="s">
        <v>14</v>
      </c>
      <c r="G1187" s="83">
        <v>26697</v>
      </c>
      <c r="I1187" s="38" t="str">
        <f>IF(H1187&gt;0,COUNTIF($H$16:H1187,"&gt;0"),"")</f>
        <v/>
      </c>
    </row>
    <row r="1188" spans="1:9" s="56" customFormat="1">
      <c r="A1188" s="69" t="s">
        <v>2320</v>
      </c>
      <c r="B1188" s="69" t="s">
        <v>2341</v>
      </c>
      <c r="C1188" s="69" t="s">
        <v>2342</v>
      </c>
      <c r="D1188" s="69">
        <v>6297001571262</v>
      </c>
      <c r="E1188" s="69" t="s">
        <v>13</v>
      </c>
      <c r="F1188" s="69" t="s">
        <v>14</v>
      </c>
      <c r="G1188" s="83">
        <v>24966</v>
      </c>
      <c r="I1188" s="38" t="str">
        <f>IF(H1188&gt;0,COUNTIF($H$16:H1188,"&gt;0"),"")</f>
        <v/>
      </c>
    </row>
    <row r="1189" spans="1:9" s="56" customFormat="1">
      <c r="A1189" s="69" t="s">
        <v>2320</v>
      </c>
      <c r="B1189" s="69" t="s">
        <v>2343</v>
      </c>
      <c r="C1189" s="69" t="s">
        <v>2344</v>
      </c>
      <c r="D1189" s="69">
        <v>6297001571361</v>
      </c>
      <c r="E1189" s="69" t="s">
        <v>17</v>
      </c>
      <c r="F1189" s="69" t="s">
        <v>14</v>
      </c>
      <c r="G1189" s="83">
        <v>24447</v>
      </c>
      <c r="I1189" s="38" t="str">
        <f>IF(H1189&gt;0,COUNTIF($H$16:H1189,"&gt;0"),"")</f>
        <v/>
      </c>
    </row>
    <row r="1190" spans="1:9" s="56" customFormat="1">
      <c r="A1190" s="69" t="s">
        <v>2320</v>
      </c>
      <c r="B1190" s="69" t="s">
        <v>2345</v>
      </c>
      <c r="C1190" s="69" t="s">
        <v>2346</v>
      </c>
      <c r="D1190" s="69">
        <v>6297001571255</v>
      </c>
      <c r="E1190" s="69" t="s">
        <v>17</v>
      </c>
      <c r="F1190" s="69" t="s">
        <v>14</v>
      </c>
      <c r="G1190" s="83">
        <v>24966</v>
      </c>
      <c r="I1190" s="38" t="str">
        <f>IF(H1190&gt;0,COUNTIF($H$16:H1190,"&gt;0"),"")</f>
        <v/>
      </c>
    </row>
    <row r="1191" spans="1:9" s="56" customFormat="1">
      <c r="A1191" s="69" t="s">
        <v>2320</v>
      </c>
      <c r="B1191" s="69" t="s">
        <v>2347</v>
      </c>
      <c r="C1191" s="69" t="s">
        <v>2348</v>
      </c>
      <c r="D1191" s="69">
        <v>6298044138719</v>
      </c>
      <c r="E1191" s="69" t="s">
        <v>13</v>
      </c>
      <c r="F1191" s="69" t="s">
        <v>14</v>
      </c>
      <c r="G1191" s="83">
        <v>14402</v>
      </c>
      <c r="I1191" s="38" t="str">
        <f>IF(H1191&gt;0,COUNTIF($H$16:H1191,"&gt;0"),"")</f>
        <v/>
      </c>
    </row>
    <row r="1192" spans="1:9" s="56" customFormat="1">
      <c r="A1192" s="69" t="s">
        <v>2349</v>
      </c>
      <c r="B1192" s="69" t="s">
        <v>2350</v>
      </c>
      <c r="C1192" s="69" t="s">
        <v>2351</v>
      </c>
      <c r="D1192" s="69">
        <v>3700066700667</v>
      </c>
      <c r="E1192" s="69" t="s">
        <v>42</v>
      </c>
      <c r="F1192" s="69" t="s">
        <v>14</v>
      </c>
      <c r="G1192" s="83">
        <v>15701</v>
      </c>
      <c r="I1192" s="38" t="str">
        <f>IF(H1192&gt;0,COUNTIF($H$16:H1192,"&gt;0"),"")</f>
        <v/>
      </c>
    </row>
    <row r="1193" spans="1:9" s="56" customFormat="1">
      <c r="A1193" s="69" t="s">
        <v>2352</v>
      </c>
      <c r="B1193" s="69" t="s">
        <v>2353</v>
      </c>
      <c r="C1193" s="69" t="s">
        <v>2354</v>
      </c>
      <c r="D1193" s="69">
        <v>6295199800010</v>
      </c>
      <c r="E1193" s="69" t="s">
        <v>17</v>
      </c>
      <c r="F1193" s="69" t="s">
        <v>14</v>
      </c>
      <c r="G1193" s="83">
        <v>6180</v>
      </c>
      <c r="I1193" s="38" t="str">
        <f>IF(H1193&gt;0,COUNTIF($H$16:H1193,"&gt;0"),"")</f>
        <v/>
      </c>
    </row>
    <row r="1194" spans="1:9" s="56" customFormat="1">
      <c r="A1194" s="69" t="s">
        <v>2352</v>
      </c>
      <c r="B1194" s="69" t="s">
        <v>2355</v>
      </c>
      <c r="C1194" s="69" t="s">
        <v>2356</v>
      </c>
      <c r="D1194" s="69">
        <v>6295199800065</v>
      </c>
      <c r="E1194" s="69" t="s">
        <v>17</v>
      </c>
      <c r="F1194" s="69" t="s">
        <v>14</v>
      </c>
      <c r="G1194" s="83">
        <v>6180</v>
      </c>
      <c r="I1194" s="38" t="str">
        <f>IF(H1194&gt;0,COUNTIF($H$16:H1194,"&gt;0"),"")</f>
        <v/>
      </c>
    </row>
    <row r="1195" spans="1:9" s="56" customFormat="1">
      <c r="A1195" s="69" t="s">
        <v>2352</v>
      </c>
      <c r="B1195" s="69" t="s">
        <v>2357</v>
      </c>
      <c r="C1195" s="69" t="s">
        <v>2358</v>
      </c>
      <c r="D1195" s="69">
        <v>6295199800058</v>
      </c>
      <c r="E1195" s="69" t="s">
        <v>17</v>
      </c>
      <c r="F1195" s="69" t="s">
        <v>14</v>
      </c>
      <c r="G1195" s="83">
        <v>6180</v>
      </c>
      <c r="I1195" s="38" t="str">
        <f>IF(H1195&gt;0,COUNTIF($H$16:H1195,"&gt;0"),"")</f>
        <v/>
      </c>
    </row>
    <row r="1196" spans="1:9" s="56" customFormat="1">
      <c r="A1196" s="69" t="s">
        <v>2352</v>
      </c>
      <c r="B1196" s="69" t="s">
        <v>2359</v>
      </c>
      <c r="C1196" s="69" t="s">
        <v>2360</v>
      </c>
      <c r="D1196" s="69">
        <v>6295199800041</v>
      </c>
      <c r="E1196" s="69" t="s">
        <v>17</v>
      </c>
      <c r="F1196" s="69" t="s">
        <v>14</v>
      </c>
      <c r="G1196" s="83">
        <v>6267</v>
      </c>
      <c r="I1196" s="38" t="str">
        <f>IF(H1196&gt;0,COUNTIF($H$16:H1196,"&gt;0"),"")</f>
        <v/>
      </c>
    </row>
    <row r="1197" spans="1:9" s="56" customFormat="1">
      <c r="A1197" s="69" t="s">
        <v>2352</v>
      </c>
      <c r="B1197" s="69" t="s">
        <v>2361</v>
      </c>
      <c r="C1197" s="69" t="s">
        <v>2362</v>
      </c>
      <c r="D1197" s="69">
        <v>6295199800027</v>
      </c>
      <c r="E1197" s="69" t="s">
        <v>17</v>
      </c>
      <c r="F1197" s="69" t="s">
        <v>14</v>
      </c>
      <c r="G1197" s="83">
        <v>6267</v>
      </c>
      <c r="I1197" s="38" t="str">
        <f>IF(H1197&gt;0,COUNTIF($H$16:H1197,"&gt;0"),"")</f>
        <v/>
      </c>
    </row>
    <row r="1198" spans="1:9" s="56" customFormat="1">
      <c r="A1198" s="69" t="s">
        <v>2352</v>
      </c>
      <c r="B1198" s="69" t="s">
        <v>2363</v>
      </c>
      <c r="C1198" s="69" t="s">
        <v>2364</v>
      </c>
      <c r="D1198" s="69">
        <v>6294015182514</v>
      </c>
      <c r="E1198" s="69" t="s">
        <v>17</v>
      </c>
      <c r="F1198" s="69" t="s">
        <v>14</v>
      </c>
      <c r="G1198" s="83">
        <v>11979</v>
      </c>
      <c r="I1198" s="38" t="str">
        <f>IF(H1198&gt;0,COUNTIF($H$16:H1198,"&gt;0"),"")</f>
        <v/>
      </c>
    </row>
    <row r="1199" spans="1:9" s="56" customFormat="1">
      <c r="A1199" s="69" t="s">
        <v>2352</v>
      </c>
      <c r="B1199" s="69" t="s">
        <v>2365</v>
      </c>
      <c r="C1199" s="69" t="s">
        <v>2366</v>
      </c>
      <c r="D1199" s="69">
        <v>6294015184204</v>
      </c>
      <c r="E1199" s="69" t="s">
        <v>17</v>
      </c>
      <c r="F1199" s="69" t="s">
        <v>14</v>
      </c>
      <c r="G1199" s="83">
        <v>10681</v>
      </c>
      <c r="I1199" s="38" t="str">
        <f>IF(H1199&gt;0,COUNTIF($H$16:H1199,"&gt;0"),"")</f>
        <v/>
      </c>
    </row>
    <row r="1200" spans="1:9" s="56" customFormat="1">
      <c r="A1200" s="69" t="s">
        <v>2352</v>
      </c>
      <c r="B1200" s="69" t="s">
        <v>2367</v>
      </c>
      <c r="C1200" s="69" t="s">
        <v>2368</v>
      </c>
      <c r="D1200" s="69">
        <v>6294015192254</v>
      </c>
      <c r="E1200" s="69" t="s">
        <v>17</v>
      </c>
      <c r="F1200" s="69" t="s">
        <v>14</v>
      </c>
      <c r="G1200" s="83">
        <v>11114</v>
      </c>
      <c r="I1200" s="38" t="str">
        <f>IF(H1200&gt;0,COUNTIF($H$16:H1200,"&gt;0"),"")</f>
        <v/>
      </c>
    </row>
    <row r="1201" spans="1:9" s="56" customFormat="1">
      <c r="A1201" s="69" t="s">
        <v>2352</v>
      </c>
      <c r="B1201" s="69" t="s">
        <v>2369</v>
      </c>
      <c r="C1201" s="69" t="s">
        <v>2370</v>
      </c>
      <c r="D1201" s="69">
        <v>6294015167801</v>
      </c>
      <c r="E1201" s="69" t="s">
        <v>17</v>
      </c>
      <c r="F1201" s="69" t="s">
        <v>14</v>
      </c>
      <c r="G1201" s="83">
        <v>11114</v>
      </c>
      <c r="I1201" s="38" t="str">
        <f>IF(H1201&gt;0,COUNTIF($H$16:H1201,"&gt;0"),"")</f>
        <v/>
      </c>
    </row>
    <row r="1202" spans="1:9" s="56" customFormat="1">
      <c r="A1202" s="69" t="s">
        <v>2352</v>
      </c>
      <c r="B1202" s="69" t="s">
        <v>2371</v>
      </c>
      <c r="C1202" s="69" t="s">
        <v>2372</v>
      </c>
      <c r="D1202" s="69">
        <v>6294015199253</v>
      </c>
      <c r="E1202" s="69" t="s">
        <v>17</v>
      </c>
      <c r="F1202" s="69" t="s">
        <v>14</v>
      </c>
      <c r="G1202" s="83">
        <v>11546</v>
      </c>
      <c r="I1202" s="38" t="str">
        <f>IF(H1202&gt;0,COUNTIF($H$16:H1202,"&gt;0"),"")</f>
        <v/>
      </c>
    </row>
    <row r="1203" spans="1:9" s="56" customFormat="1">
      <c r="A1203" s="69" t="s">
        <v>2352</v>
      </c>
      <c r="B1203" s="69" t="s">
        <v>2373</v>
      </c>
      <c r="C1203" s="69" t="s">
        <v>2374</v>
      </c>
      <c r="D1203" s="69">
        <v>6294015199222</v>
      </c>
      <c r="E1203" s="69" t="s">
        <v>42</v>
      </c>
      <c r="F1203" s="69" t="s">
        <v>14</v>
      </c>
      <c r="G1203" s="83">
        <v>12932</v>
      </c>
      <c r="I1203" s="38" t="str">
        <f>IF(H1203&gt;0,COUNTIF($H$16:H1203,"&gt;0"),"")</f>
        <v/>
      </c>
    </row>
    <row r="1204" spans="1:9" s="56" customFormat="1">
      <c r="A1204" s="69" t="s">
        <v>2352</v>
      </c>
      <c r="B1204" s="69" t="s">
        <v>2375</v>
      </c>
      <c r="C1204" s="69" t="s">
        <v>2376</v>
      </c>
      <c r="D1204" s="69">
        <v>6294015185096</v>
      </c>
      <c r="E1204" s="69" t="s">
        <v>17</v>
      </c>
      <c r="F1204" s="69" t="s">
        <v>14</v>
      </c>
      <c r="G1204" s="83">
        <v>10681</v>
      </c>
      <c r="I1204" s="38" t="str">
        <f>IF(H1204&gt;0,COUNTIF($H$16:H1204,"&gt;0"),"")</f>
        <v/>
      </c>
    </row>
    <row r="1205" spans="1:9" s="56" customFormat="1">
      <c r="A1205" s="69" t="s">
        <v>2352</v>
      </c>
      <c r="B1205" s="69" t="s">
        <v>2377</v>
      </c>
      <c r="C1205" s="69" t="s">
        <v>2378</v>
      </c>
      <c r="D1205" s="69">
        <v>6294015184150</v>
      </c>
      <c r="E1205" s="69" t="s">
        <v>17</v>
      </c>
      <c r="F1205" s="69" t="s">
        <v>14</v>
      </c>
      <c r="G1205" s="83">
        <v>11546</v>
      </c>
      <c r="I1205" s="38" t="str">
        <f>IF(H1205&gt;0,COUNTIF($H$16:H1205,"&gt;0"),"")</f>
        <v/>
      </c>
    </row>
    <row r="1206" spans="1:9" s="56" customFormat="1">
      <c r="A1206" s="69" t="s">
        <v>2352</v>
      </c>
      <c r="B1206" s="69" t="s">
        <v>2379</v>
      </c>
      <c r="C1206" s="69" t="s">
        <v>2380</v>
      </c>
      <c r="D1206" s="69">
        <v>6294015190618</v>
      </c>
      <c r="E1206" s="69" t="s">
        <v>17</v>
      </c>
      <c r="F1206" s="69" t="s">
        <v>14</v>
      </c>
      <c r="G1206" s="83">
        <v>12152</v>
      </c>
      <c r="I1206" s="38" t="str">
        <f>IF(H1206&gt;0,COUNTIF($H$16:H1206,"&gt;0"),"")</f>
        <v/>
      </c>
    </row>
    <row r="1207" spans="1:9" s="56" customFormat="1">
      <c r="A1207" s="69" t="s">
        <v>2352</v>
      </c>
      <c r="B1207" s="69" t="s">
        <v>2381</v>
      </c>
      <c r="C1207" s="69" t="s">
        <v>2382</v>
      </c>
      <c r="D1207" s="69">
        <v>6294015184143</v>
      </c>
      <c r="E1207" s="69" t="s">
        <v>17</v>
      </c>
      <c r="F1207" s="69" t="s">
        <v>14</v>
      </c>
      <c r="G1207" s="83">
        <v>11287</v>
      </c>
      <c r="I1207" s="38" t="str">
        <f>IF(H1207&gt;0,COUNTIF($H$16:H1207,"&gt;0"),"")</f>
        <v/>
      </c>
    </row>
    <row r="1208" spans="1:9" s="56" customFormat="1">
      <c r="A1208" s="69" t="s">
        <v>2352</v>
      </c>
      <c r="B1208" s="69" t="s">
        <v>2383</v>
      </c>
      <c r="C1208" s="69" t="s">
        <v>2384</v>
      </c>
      <c r="D1208" s="69">
        <v>6294015185119</v>
      </c>
      <c r="E1208" s="69" t="s">
        <v>17</v>
      </c>
      <c r="F1208" s="69" t="s">
        <v>14</v>
      </c>
      <c r="G1208" s="83">
        <v>11114</v>
      </c>
      <c r="I1208" s="38" t="str">
        <f>IF(H1208&gt;0,COUNTIF($H$16:H1208,"&gt;0"),"")</f>
        <v/>
      </c>
    </row>
    <row r="1209" spans="1:9" s="56" customFormat="1">
      <c r="A1209" s="69" t="s">
        <v>2352</v>
      </c>
      <c r="B1209" s="69" t="s">
        <v>2385</v>
      </c>
      <c r="C1209" s="69" t="s">
        <v>2386</v>
      </c>
      <c r="D1209" s="69">
        <v>6294015190601</v>
      </c>
      <c r="E1209" s="69" t="s">
        <v>17</v>
      </c>
      <c r="F1209" s="69" t="s">
        <v>14</v>
      </c>
      <c r="G1209" s="83">
        <v>11027</v>
      </c>
      <c r="I1209" s="38" t="str">
        <f>IF(H1209&gt;0,COUNTIF($H$16:H1209,"&gt;0"),"")</f>
        <v/>
      </c>
    </row>
    <row r="1210" spans="1:9" s="56" customFormat="1">
      <c r="A1210" s="69" t="s">
        <v>2352</v>
      </c>
      <c r="B1210" s="69" t="s">
        <v>2387</v>
      </c>
      <c r="C1210" s="69" t="s">
        <v>2388</v>
      </c>
      <c r="D1210" s="69">
        <v>6294015167641</v>
      </c>
      <c r="E1210" s="69" t="s">
        <v>17</v>
      </c>
      <c r="F1210" s="69" t="s">
        <v>14</v>
      </c>
      <c r="G1210" s="83">
        <v>10335</v>
      </c>
      <c r="I1210" s="38" t="str">
        <f>IF(H1210&gt;0,COUNTIF($H$16:H1210,"&gt;0"),"")</f>
        <v/>
      </c>
    </row>
    <row r="1211" spans="1:9" s="56" customFormat="1">
      <c r="A1211" s="69" t="s">
        <v>2352</v>
      </c>
      <c r="B1211" s="69" t="s">
        <v>2389</v>
      </c>
      <c r="C1211" s="69" t="s">
        <v>2390</v>
      </c>
      <c r="D1211" s="69">
        <v>6294015185065</v>
      </c>
      <c r="E1211" s="69" t="s">
        <v>17</v>
      </c>
      <c r="F1211" s="69" t="s">
        <v>14</v>
      </c>
      <c r="G1211" s="83">
        <v>11373</v>
      </c>
      <c r="I1211" s="38" t="str">
        <f>IF(H1211&gt;0,COUNTIF($H$16:H1211,"&gt;0"),"")</f>
        <v/>
      </c>
    </row>
    <row r="1212" spans="1:9" s="56" customFormat="1">
      <c r="A1212" s="69" t="s">
        <v>2352</v>
      </c>
      <c r="B1212" s="69" t="s">
        <v>2391</v>
      </c>
      <c r="C1212" s="69" t="s">
        <v>2392</v>
      </c>
      <c r="D1212" s="69">
        <v>6294015184174</v>
      </c>
      <c r="E1212" s="69" t="s">
        <v>17</v>
      </c>
      <c r="F1212" s="69" t="s">
        <v>14</v>
      </c>
      <c r="G1212" s="83">
        <v>11979</v>
      </c>
      <c r="I1212" s="38" t="str">
        <f>IF(H1212&gt;0,COUNTIF($H$16:H1212,"&gt;0"),"")</f>
        <v/>
      </c>
    </row>
    <row r="1213" spans="1:9" s="56" customFormat="1">
      <c r="A1213" s="69" t="s">
        <v>2352</v>
      </c>
      <c r="B1213" s="69" t="s">
        <v>2393</v>
      </c>
      <c r="C1213" s="69" t="s">
        <v>2394</v>
      </c>
      <c r="D1213" s="69">
        <v>6294015185027</v>
      </c>
      <c r="E1213" s="69" t="s">
        <v>17</v>
      </c>
      <c r="F1213" s="69" t="s">
        <v>14</v>
      </c>
      <c r="G1213" s="83">
        <v>11460</v>
      </c>
      <c r="I1213" s="38" t="str">
        <f>IF(H1213&gt;0,COUNTIF($H$16:H1213,"&gt;0"),"")</f>
        <v/>
      </c>
    </row>
    <row r="1214" spans="1:9" s="56" customFormat="1">
      <c r="A1214" s="69" t="s">
        <v>2352</v>
      </c>
      <c r="B1214" s="69" t="s">
        <v>2395</v>
      </c>
      <c r="C1214" s="69" t="s">
        <v>2396</v>
      </c>
      <c r="D1214" s="69">
        <v>6294015184167</v>
      </c>
      <c r="E1214" s="69" t="s">
        <v>17</v>
      </c>
      <c r="F1214" s="69" t="s">
        <v>14</v>
      </c>
      <c r="G1214" s="83">
        <v>13105</v>
      </c>
      <c r="I1214" s="38" t="str">
        <f>IF(H1214&gt;0,COUNTIF($H$16:H1214,"&gt;0"),"")</f>
        <v/>
      </c>
    </row>
    <row r="1215" spans="1:9" s="56" customFormat="1">
      <c r="A1215" s="69" t="s">
        <v>2352</v>
      </c>
      <c r="B1215" s="69" t="s">
        <v>2397</v>
      </c>
      <c r="C1215" s="69" t="s">
        <v>2398</v>
      </c>
      <c r="D1215" s="69">
        <v>6294015185041</v>
      </c>
      <c r="E1215" s="69" t="s">
        <v>17</v>
      </c>
      <c r="F1215" s="69" t="s">
        <v>14</v>
      </c>
      <c r="G1215" s="83">
        <v>11979</v>
      </c>
      <c r="I1215" s="38" t="str">
        <f>IF(H1215&gt;0,COUNTIF($H$16:H1215,"&gt;0"),"")</f>
        <v/>
      </c>
    </row>
    <row r="1216" spans="1:9" s="56" customFormat="1">
      <c r="A1216" s="69" t="s">
        <v>2352</v>
      </c>
      <c r="B1216" s="69" t="s">
        <v>2399</v>
      </c>
      <c r="C1216" s="69" t="s">
        <v>2400</v>
      </c>
      <c r="D1216" s="69">
        <v>6294015185058</v>
      </c>
      <c r="E1216" s="69" t="s">
        <v>17</v>
      </c>
      <c r="F1216" s="69" t="s">
        <v>14</v>
      </c>
      <c r="G1216" s="83">
        <v>11979</v>
      </c>
      <c r="I1216" s="38" t="str">
        <f>IF(H1216&gt;0,COUNTIF($H$16:H1216,"&gt;0"),"")</f>
        <v/>
      </c>
    </row>
    <row r="1217" spans="1:9" s="56" customFormat="1">
      <c r="A1217" s="69" t="s">
        <v>2352</v>
      </c>
      <c r="B1217" s="69" t="s">
        <v>2401</v>
      </c>
      <c r="C1217" s="69" t="s">
        <v>2402</v>
      </c>
      <c r="D1217" s="69">
        <v>6294015185034</v>
      </c>
      <c r="E1217" s="69" t="s">
        <v>17</v>
      </c>
      <c r="F1217" s="69" t="s">
        <v>14</v>
      </c>
      <c r="G1217" s="83">
        <v>11373</v>
      </c>
      <c r="I1217" s="38" t="str">
        <f>IF(H1217&gt;0,COUNTIF($H$16:H1217,"&gt;0"),"")</f>
        <v/>
      </c>
    </row>
    <row r="1218" spans="1:9" s="56" customFormat="1">
      <c r="A1218" s="69" t="s">
        <v>2352</v>
      </c>
      <c r="B1218" s="69" t="s">
        <v>2403</v>
      </c>
      <c r="C1218" s="69" t="s">
        <v>2404</v>
      </c>
      <c r="D1218" s="69">
        <v>6294015196672</v>
      </c>
      <c r="E1218" s="69" t="s">
        <v>17</v>
      </c>
      <c r="F1218" s="69" t="s">
        <v>14</v>
      </c>
      <c r="G1218" s="83">
        <v>11546</v>
      </c>
      <c r="I1218" s="38" t="str">
        <f>IF(H1218&gt;0,COUNTIF($H$16:H1218,"&gt;0"),"")</f>
        <v/>
      </c>
    </row>
    <row r="1219" spans="1:9" s="56" customFormat="1">
      <c r="A1219" s="69" t="s">
        <v>2352</v>
      </c>
      <c r="B1219" s="69" t="s">
        <v>2405</v>
      </c>
      <c r="C1219" s="69" t="s">
        <v>2406</v>
      </c>
      <c r="D1219" s="69">
        <v>6294015196689</v>
      </c>
      <c r="E1219" s="69" t="s">
        <v>17</v>
      </c>
      <c r="F1219" s="69" t="s">
        <v>14</v>
      </c>
      <c r="G1219" s="83">
        <v>11806</v>
      </c>
      <c r="I1219" s="38" t="str">
        <f>IF(H1219&gt;0,COUNTIF($H$16:H1219,"&gt;0"),"")</f>
        <v/>
      </c>
    </row>
    <row r="1220" spans="1:9" s="56" customFormat="1">
      <c r="A1220" s="69" t="s">
        <v>2352</v>
      </c>
      <c r="B1220" s="69" t="s">
        <v>2407</v>
      </c>
      <c r="C1220" s="69" t="s">
        <v>2408</v>
      </c>
      <c r="D1220" s="69">
        <v>6294015190595</v>
      </c>
      <c r="E1220" s="69" t="s">
        <v>13</v>
      </c>
      <c r="F1220" s="69" t="s">
        <v>14</v>
      </c>
      <c r="G1220" s="83">
        <v>11460</v>
      </c>
      <c r="I1220" s="38" t="str">
        <f>IF(H1220&gt;0,COUNTIF($H$16:H1220,"&gt;0"),"")</f>
        <v/>
      </c>
    </row>
    <row r="1221" spans="1:9" s="56" customFormat="1">
      <c r="A1221" s="69" t="s">
        <v>2352</v>
      </c>
      <c r="B1221" s="69" t="s">
        <v>2409</v>
      </c>
      <c r="C1221" s="69" t="s">
        <v>2410</v>
      </c>
      <c r="D1221" s="69">
        <v>6294015190625</v>
      </c>
      <c r="E1221" s="69" t="s">
        <v>17</v>
      </c>
      <c r="F1221" s="69" t="s">
        <v>14</v>
      </c>
      <c r="G1221" s="83">
        <v>12325</v>
      </c>
      <c r="I1221" s="38" t="str">
        <f>IF(H1221&gt;0,COUNTIF($H$16:H1221,"&gt;0"),"")</f>
        <v/>
      </c>
    </row>
    <row r="1222" spans="1:9" s="56" customFormat="1">
      <c r="A1222" s="69" t="s">
        <v>2352</v>
      </c>
      <c r="B1222" s="69" t="s">
        <v>2411</v>
      </c>
      <c r="C1222" s="69" t="s">
        <v>2412</v>
      </c>
      <c r="D1222" s="69">
        <v>6294015190632</v>
      </c>
      <c r="E1222" s="69" t="s">
        <v>17</v>
      </c>
      <c r="F1222" s="69" t="s">
        <v>14</v>
      </c>
      <c r="G1222" s="83">
        <v>11287</v>
      </c>
      <c r="I1222" s="38" t="str">
        <f>IF(H1222&gt;0,COUNTIF($H$16:H1222,"&gt;0"),"")</f>
        <v/>
      </c>
    </row>
    <row r="1223" spans="1:9" s="56" customFormat="1">
      <c r="A1223" s="69" t="s">
        <v>2413</v>
      </c>
      <c r="B1223" s="69" t="s">
        <v>2414</v>
      </c>
      <c r="C1223" s="69" t="s">
        <v>2415</v>
      </c>
      <c r="D1223" s="69">
        <v>6290362160137</v>
      </c>
      <c r="E1223" s="69" t="s">
        <v>13</v>
      </c>
      <c r="F1223" s="69" t="s">
        <v>14</v>
      </c>
      <c r="G1223" s="83">
        <v>10854</v>
      </c>
      <c r="I1223" s="38" t="str">
        <f>IF(H1223&gt;0,COUNTIF($H$16:H1223,"&gt;0"),"")</f>
        <v/>
      </c>
    </row>
    <row r="1224" spans="1:9" s="56" customFormat="1">
      <c r="A1224" s="69" t="s">
        <v>2413</v>
      </c>
      <c r="B1224" s="69" t="s">
        <v>2416</v>
      </c>
      <c r="C1224" s="69" t="s">
        <v>2417</v>
      </c>
      <c r="D1224" s="69">
        <v>6290362160090</v>
      </c>
      <c r="E1224" s="69" t="s">
        <v>42</v>
      </c>
      <c r="F1224" s="69" t="s">
        <v>14</v>
      </c>
      <c r="G1224" s="83">
        <v>10854</v>
      </c>
      <c r="I1224" s="38" t="str">
        <f>IF(H1224&gt;0,COUNTIF($H$16:H1224,"&gt;0"),"")</f>
        <v/>
      </c>
    </row>
    <row r="1225" spans="1:9" s="56" customFormat="1">
      <c r="A1225" s="69" t="s">
        <v>2413</v>
      </c>
      <c r="B1225" s="69" t="s">
        <v>2418</v>
      </c>
      <c r="C1225" s="69" t="s">
        <v>2419</v>
      </c>
      <c r="D1225" s="69">
        <v>6290362160007</v>
      </c>
      <c r="E1225" s="69" t="s">
        <v>42</v>
      </c>
      <c r="F1225" s="69" t="s">
        <v>14</v>
      </c>
      <c r="G1225" s="83">
        <v>10854</v>
      </c>
      <c r="I1225" s="38" t="str">
        <f>IF(H1225&gt;0,COUNTIF($H$16:H1225,"&gt;0"),"")</f>
        <v/>
      </c>
    </row>
    <row r="1226" spans="1:9" s="56" customFormat="1">
      <c r="A1226" s="69" t="s">
        <v>2413</v>
      </c>
      <c r="B1226" s="69" t="s">
        <v>2420</v>
      </c>
      <c r="C1226" s="69" t="s">
        <v>2421</v>
      </c>
      <c r="D1226" s="69">
        <v>6290362160212</v>
      </c>
      <c r="E1226" s="69" t="s">
        <v>42</v>
      </c>
      <c r="F1226" s="69" t="s">
        <v>14</v>
      </c>
      <c r="G1226" s="83">
        <v>10854</v>
      </c>
      <c r="I1226" s="38" t="str">
        <f>IF(H1226&gt;0,COUNTIF($H$16:H1226,"&gt;0"),"")</f>
        <v/>
      </c>
    </row>
    <row r="1227" spans="1:9" s="56" customFormat="1">
      <c r="A1227" s="69" t="s">
        <v>2413</v>
      </c>
      <c r="B1227" s="69" t="s">
        <v>2422</v>
      </c>
      <c r="C1227" s="69" t="s">
        <v>2423</v>
      </c>
      <c r="D1227" s="69">
        <v>6291107019987</v>
      </c>
      <c r="E1227" s="69" t="s">
        <v>42</v>
      </c>
      <c r="F1227" s="69" t="s">
        <v>14</v>
      </c>
      <c r="G1227" s="83">
        <v>10854</v>
      </c>
      <c r="I1227" s="38" t="str">
        <f>IF(H1227&gt;0,COUNTIF($H$16:H1227,"&gt;0"),"")</f>
        <v/>
      </c>
    </row>
    <row r="1228" spans="1:9" s="56" customFormat="1">
      <c r="A1228" s="69" t="s">
        <v>2413</v>
      </c>
      <c r="B1228" s="69" t="s">
        <v>2424</v>
      </c>
      <c r="C1228" s="69" t="s">
        <v>2425</v>
      </c>
      <c r="D1228" s="69">
        <v>6290362160021</v>
      </c>
      <c r="E1228" s="69" t="s">
        <v>42</v>
      </c>
      <c r="F1228" s="69" t="s">
        <v>14</v>
      </c>
      <c r="G1228" s="83">
        <v>10854</v>
      </c>
      <c r="I1228" s="38" t="str">
        <f>IF(H1228&gt;0,COUNTIF($H$16:H1228,"&gt;0"),"")</f>
        <v/>
      </c>
    </row>
    <row r="1229" spans="1:9" s="56" customFormat="1">
      <c r="A1229" s="69" t="s">
        <v>2413</v>
      </c>
      <c r="B1229" s="69" t="s">
        <v>2426</v>
      </c>
      <c r="C1229" s="69" t="s">
        <v>2427</v>
      </c>
      <c r="D1229" s="69">
        <v>6290362160045</v>
      </c>
      <c r="E1229" s="69" t="s">
        <v>42</v>
      </c>
      <c r="F1229" s="69" t="s">
        <v>14</v>
      </c>
      <c r="G1229" s="83">
        <v>10854</v>
      </c>
      <c r="I1229" s="38" t="str">
        <f>IF(H1229&gt;0,COUNTIF($H$16:H1229,"&gt;0"),"")</f>
        <v/>
      </c>
    </row>
    <row r="1230" spans="1:9" s="56" customFormat="1">
      <c r="A1230" s="69" t="s">
        <v>2413</v>
      </c>
      <c r="B1230" s="69" t="s">
        <v>2428</v>
      </c>
      <c r="C1230" s="69" t="s">
        <v>2429</v>
      </c>
      <c r="D1230" s="69">
        <v>6290362160205</v>
      </c>
      <c r="E1230" s="69" t="s">
        <v>13</v>
      </c>
      <c r="F1230" s="69" t="s">
        <v>14</v>
      </c>
      <c r="G1230" s="83">
        <v>10854</v>
      </c>
      <c r="I1230" s="38" t="str">
        <f>IF(H1230&gt;0,COUNTIF($H$16:H1230,"&gt;0"),"")</f>
        <v/>
      </c>
    </row>
    <row r="1231" spans="1:9" s="56" customFormat="1">
      <c r="A1231" s="69" t="s">
        <v>158</v>
      </c>
      <c r="B1231" s="69" t="s">
        <v>159</v>
      </c>
      <c r="C1231" s="69" t="s">
        <v>160</v>
      </c>
      <c r="D1231" s="69">
        <v>810023677451</v>
      </c>
      <c r="E1231" s="69" t="s">
        <v>42</v>
      </c>
      <c r="F1231" s="69" t="s">
        <v>14</v>
      </c>
      <c r="G1231" s="83">
        <v>26092</v>
      </c>
      <c r="I1231" s="38" t="str">
        <f>IF(H1231&gt;0,COUNTIF($H$16:H1231,"&gt;0"),"")</f>
        <v/>
      </c>
    </row>
    <row r="1232" spans="1:9" s="56" customFormat="1">
      <c r="A1232" s="69" t="s">
        <v>158</v>
      </c>
      <c r="B1232" s="69" t="s">
        <v>161</v>
      </c>
      <c r="C1232" s="69" t="s">
        <v>162</v>
      </c>
      <c r="D1232" s="69">
        <v>810023677345</v>
      </c>
      <c r="E1232" s="69" t="s">
        <v>42</v>
      </c>
      <c r="F1232" s="69" t="s">
        <v>14</v>
      </c>
      <c r="G1232" s="83">
        <v>27822</v>
      </c>
      <c r="I1232" s="38" t="str">
        <f>IF(H1232&gt;0,COUNTIF($H$16:H1232,"&gt;0"),"")</f>
        <v/>
      </c>
    </row>
    <row r="1233" spans="1:9" s="56" customFormat="1">
      <c r="A1233" s="69" t="s">
        <v>158</v>
      </c>
      <c r="B1233" s="69" t="s">
        <v>163</v>
      </c>
      <c r="C1233" s="69" t="s">
        <v>164</v>
      </c>
      <c r="D1233" s="69">
        <v>810023672913</v>
      </c>
      <c r="E1233" s="69" t="s">
        <v>42</v>
      </c>
      <c r="F1233" s="69" t="s">
        <v>14</v>
      </c>
      <c r="G1233" s="83">
        <v>27822</v>
      </c>
      <c r="I1233" s="38" t="str">
        <f>IF(H1233&gt;0,COUNTIF($H$16:H1233,"&gt;0"),"")</f>
        <v/>
      </c>
    </row>
    <row r="1234" spans="1:9" s="56" customFormat="1">
      <c r="A1234" s="69" t="s">
        <v>158</v>
      </c>
      <c r="B1234" s="69" t="s">
        <v>2430</v>
      </c>
      <c r="C1234" s="69" t="s">
        <v>2431</v>
      </c>
      <c r="D1234" s="69">
        <v>810023678649</v>
      </c>
      <c r="E1234" s="69" t="s">
        <v>42</v>
      </c>
      <c r="F1234" s="69" t="s">
        <v>14</v>
      </c>
      <c r="G1234" s="83">
        <v>26092</v>
      </c>
      <c r="I1234" s="38" t="str">
        <f>IF(H1234&gt;0,COUNTIF($H$16:H1234,"&gt;0"),"")</f>
        <v/>
      </c>
    </row>
    <row r="1235" spans="1:9" s="56" customFormat="1" ht="30">
      <c r="A1235" s="69" t="s">
        <v>2432</v>
      </c>
      <c r="B1235" s="69" t="s">
        <v>2433</v>
      </c>
      <c r="C1235" s="69" t="s">
        <v>2434</v>
      </c>
      <c r="D1235" s="69">
        <v>42254</v>
      </c>
      <c r="E1235" s="69" t="s">
        <v>42</v>
      </c>
      <c r="F1235" s="69" t="s">
        <v>63</v>
      </c>
      <c r="G1235" s="83">
        <v>18038</v>
      </c>
      <c r="I1235" s="38" t="str">
        <f>IF(H1235&gt;0,COUNTIF($H$16:H1235,"&gt;0"),"")</f>
        <v/>
      </c>
    </row>
    <row r="1236" spans="1:9" s="56" customFormat="1">
      <c r="A1236" s="69" t="s">
        <v>2435</v>
      </c>
      <c r="B1236" s="69" t="s">
        <v>2436</v>
      </c>
      <c r="C1236" s="69" t="s">
        <v>2437</v>
      </c>
      <c r="D1236" s="69">
        <v>8411061823026</v>
      </c>
      <c r="E1236" s="69" t="s">
        <v>42</v>
      </c>
      <c r="F1236" s="69" t="s">
        <v>14</v>
      </c>
      <c r="G1236" s="83">
        <v>15181</v>
      </c>
      <c r="I1236" s="38" t="str">
        <f>IF(H1236&gt;0,COUNTIF($H$16:H1236,"&gt;0"),"")</f>
        <v/>
      </c>
    </row>
    <row r="1237" spans="1:9" s="56" customFormat="1">
      <c r="A1237" s="69" t="s">
        <v>2435</v>
      </c>
      <c r="B1237" s="69" t="s">
        <v>2438</v>
      </c>
      <c r="C1237" s="69" t="s">
        <v>2439</v>
      </c>
      <c r="D1237" s="69">
        <v>8411061105344</v>
      </c>
      <c r="E1237" s="69" t="s">
        <v>42</v>
      </c>
      <c r="F1237" s="69" t="s">
        <v>14</v>
      </c>
      <c r="G1237" s="83">
        <v>15961</v>
      </c>
      <c r="I1237" s="38" t="str">
        <f>IF(H1237&gt;0,COUNTIF($H$16:H1237,"&gt;0"),"")</f>
        <v/>
      </c>
    </row>
    <row r="1238" spans="1:9" s="56" customFormat="1">
      <c r="A1238" s="69" t="s">
        <v>2435</v>
      </c>
      <c r="B1238" s="69" t="s">
        <v>2440</v>
      </c>
      <c r="C1238" s="69" t="s">
        <v>2441</v>
      </c>
      <c r="D1238" s="69">
        <v>8411061029619</v>
      </c>
      <c r="E1238" s="69" t="s">
        <v>42</v>
      </c>
      <c r="F1238" s="69" t="s">
        <v>14</v>
      </c>
      <c r="G1238" s="83">
        <v>14749</v>
      </c>
      <c r="I1238" s="38" t="str">
        <f>IF(H1238&gt;0,COUNTIF($H$16:H1238,"&gt;0"),"")</f>
        <v/>
      </c>
    </row>
    <row r="1239" spans="1:9" s="56" customFormat="1">
      <c r="A1239" s="69" t="s">
        <v>2435</v>
      </c>
      <c r="B1239" s="69" t="s">
        <v>2442</v>
      </c>
      <c r="C1239" s="69" t="s">
        <v>2443</v>
      </c>
      <c r="D1239" s="69">
        <v>8411061085301</v>
      </c>
      <c r="E1239" s="69" t="s">
        <v>42</v>
      </c>
      <c r="F1239" s="69" t="s">
        <v>14</v>
      </c>
      <c r="G1239" s="83">
        <v>14143</v>
      </c>
      <c r="I1239" s="38" t="str">
        <f>IF(H1239&gt;0,COUNTIF($H$16:H1239,"&gt;0"),"")</f>
        <v/>
      </c>
    </row>
    <row r="1240" spans="1:9" s="56" customFormat="1">
      <c r="A1240" s="69" t="s">
        <v>2435</v>
      </c>
      <c r="B1240" s="69" t="s">
        <v>2444</v>
      </c>
      <c r="C1240" s="69" t="s">
        <v>2445</v>
      </c>
      <c r="D1240" s="69">
        <v>8411061783368</v>
      </c>
      <c r="E1240" s="69" t="s">
        <v>42</v>
      </c>
      <c r="F1240" s="69" t="s">
        <v>14</v>
      </c>
      <c r="G1240" s="83">
        <v>16826</v>
      </c>
      <c r="I1240" s="38" t="str">
        <f>IF(H1240&gt;0,COUNTIF($H$16:H1240,"&gt;0"),"")</f>
        <v/>
      </c>
    </row>
    <row r="1241" spans="1:9" s="56" customFormat="1">
      <c r="A1241" s="69" t="s">
        <v>2435</v>
      </c>
      <c r="B1241" s="69" t="s">
        <v>2446</v>
      </c>
      <c r="C1241" s="69" t="s">
        <v>2447</v>
      </c>
      <c r="D1241" s="69">
        <v>8411061128046</v>
      </c>
      <c r="E1241" s="69" t="s">
        <v>42</v>
      </c>
      <c r="F1241" s="69" t="s">
        <v>69</v>
      </c>
      <c r="G1241" s="83">
        <v>18904</v>
      </c>
      <c r="I1241" s="38" t="str">
        <f>IF(H1241&gt;0,COUNTIF($H$16:H1241,"&gt;0"),"")</f>
        <v/>
      </c>
    </row>
    <row r="1242" spans="1:9" s="56" customFormat="1">
      <c r="A1242" s="69" t="s">
        <v>2435</v>
      </c>
      <c r="B1242" s="69" t="s">
        <v>2448</v>
      </c>
      <c r="C1242" s="69" t="s">
        <v>2449</v>
      </c>
      <c r="D1242" s="69">
        <v>8411061091340</v>
      </c>
      <c r="E1242" s="69" t="s">
        <v>42</v>
      </c>
      <c r="F1242" s="69" t="s">
        <v>69</v>
      </c>
      <c r="G1242" s="83">
        <v>17259</v>
      </c>
      <c r="I1242" s="38" t="str">
        <f>IF(H1242&gt;0,COUNTIF($H$16:H1242,"&gt;0"),"")</f>
        <v/>
      </c>
    </row>
    <row r="1243" spans="1:9" s="56" customFormat="1">
      <c r="A1243" s="69" t="s">
        <v>2435</v>
      </c>
      <c r="B1243" s="69" t="s">
        <v>2450</v>
      </c>
      <c r="C1243" s="69" t="s">
        <v>2451</v>
      </c>
      <c r="D1243" s="69">
        <v>8411061105092</v>
      </c>
      <c r="E1243" s="69" t="s">
        <v>42</v>
      </c>
      <c r="F1243" s="69" t="s">
        <v>69</v>
      </c>
      <c r="G1243" s="83">
        <v>15701</v>
      </c>
      <c r="I1243" s="38" t="str">
        <f>IF(H1243&gt;0,COUNTIF($H$16:H1243,"&gt;0"),"")</f>
        <v/>
      </c>
    </row>
    <row r="1244" spans="1:9" s="56" customFormat="1">
      <c r="A1244" s="69" t="s">
        <v>2435</v>
      </c>
      <c r="B1244" s="69" t="s">
        <v>2452</v>
      </c>
      <c r="C1244" s="69" t="s">
        <v>2453</v>
      </c>
      <c r="D1244" s="69">
        <v>8411061972212</v>
      </c>
      <c r="E1244" s="69" t="s">
        <v>42</v>
      </c>
      <c r="F1244" s="69" t="s">
        <v>14</v>
      </c>
      <c r="G1244" s="83">
        <v>14749</v>
      </c>
      <c r="I1244" s="38" t="str">
        <f>IF(H1244&gt;0,COUNTIF($H$16:H1244,"&gt;0"),"")</f>
        <v/>
      </c>
    </row>
    <row r="1245" spans="1:9" s="56" customFormat="1">
      <c r="A1245" s="69" t="s">
        <v>2435</v>
      </c>
      <c r="B1245" s="69" t="s">
        <v>2454</v>
      </c>
      <c r="C1245" s="69" t="s">
        <v>2455</v>
      </c>
      <c r="D1245" s="69">
        <v>8411061000915</v>
      </c>
      <c r="E1245" s="69" t="s">
        <v>42</v>
      </c>
      <c r="F1245" s="69" t="s">
        <v>14</v>
      </c>
      <c r="G1245" s="83">
        <v>15528</v>
      </c>
      <c r="I1245" s="38" t="str">
        <f>IF(H1245&gt;0,COUNTIF($H$16:H1245,"&gt;0"),"")</f>
        <v/>
      </c>
    </row>
    <row r="1246" spans="1:9" s="56" customFormat="1">
      <c r="A1246" s="69" t="s">
        <v>2435</v>
      </c>
      <c r="B1246" s="69" t="s">
        <v>2456</v>
      </c>
      <c r="C1246" s="69" t="s">
        <v>2457</v>
      </c>
      <c r="D1246" s="69">
        <v>8411061085639</v>
      </c>
      <c r="E1246" s="69" t="s">
        <v>42</v>
      </c>
      <c r="F1246" s="69" t="s">
        <v>14</v>
      </c>
      <c r="G1246" s="83">
        <v>15701</v>
      </c>
      <c r="I1246" s="38" t="str">
        <f>IF(H1246&gt;0,COUNTIF($H$16:H1246,"&gt;0"),"")</f>
        <v/>
      </c>
    </row>
    <row r="1247" spans="1:9" s="56" customFormat="1">
      <c r="A1247" s="69" t="s">
        <v>2435</v>
      </c>
      <c r="B1247" s="69" t="s">
        <v>2458</v>
      </c>
      <c r="C1247" s="69" t="s">
        <v>2459</v>
      </c>
      <c r="D1247" s="69">
        <v>8411061058190</v>
      </c>
      <c r="E1247" s="69" t="s">
        <v>42</v>
      </c>
      <c r="F1247" s="69" t="s">
        <v>14</v>
      </c>
      <c r="G1247" s="83">
        <v>12152</v>
      </c>
      <c r="I1247" s="38" t="str">
        <f>IF(H1247&gt;0,COUNTIF($H$16:H1247,"&gt;0"),"")</f>
        <v/>
      </c>
    </row>
    <row r="1248" spans="1:9" s="56" customFormat="1">
      <c r="A1248" s="69" t="s">
        <v>2435</v>
      </c>
      <c r="B1248" s="69" t="s">
        <v>2460</v>
      </c>
      <c r="C1248" s="69" t="s">
        <v>2461</v>
      </c>
      <c r="D1248" s="69">
        <v>8411061058183</v>
      </c>
      <c r="E1248" s="69" t="s">
        <v>42</v>
      </c>
      <c r="F1248" s="69" t="s">
        <v>14</v>
      </c>
      <c r="G1248" s="83">
        <v>17691</v>
      </c>
      <c r="I1248" s="38" t="str">
        <f>IF(H1248&gt;0,COUNTIF($H$16:H1248,"&gt;0"),"")</f>
        <v/>
      </c>
    </row>
    <row r="1249" spans="1:9" s="56" customFormat="1">
      <c r="A1249" s="69" t="s">
        <v>2462</v>
      </c>
      <c r="B1249" s="69" t="s">
        <v>2463</v>
      </c>
      <c r="C1249" s="69" t="s">
        <v>2464</v>
      </c>
      <c r="D1249" s="69">
        <v>3700583501372</v>
      </c>
      <c r="E1249" s="69" t="s">
        <v>17</v>
      </c>
      <c r="F1249" s="69" t="s">
        <v>14</v>
      </c>
      <c r="G1249" s="83">
        <v>280973</v>
      </c>
      <c r="I1249" s="38" t="str">
        <f>IF(H1249&gt;0,COUNTIF($H$16:H1249,"&gt;0"),"")</f>
        <v/>
      </c>
    </row>
    <row r="1250" spans="1:9" s="56" customFormat="1">
      <c r="A1250" s="69" t="s">
        <v>2462</v>
      </c>
      <c r="B1250" s="69" t="s">
        <v>2465</v>
      </c>
      <c r="C1250" s="69" t="s">
        <v>2466</v>
      </c>
      <c r="D1250" s="69">
        <v>3700583501358</v>
      </c>
      <c r="E1250" s="69" t="s">
        <v>17</v>
      </c>
      <c r="F1250" s="69" t="s">
        <v>14</v>
      </c>
      <c r="G1250" s="83">
        <v>291359</v>
      </c>
      <c r="I1250" s="38" t="str">
        <f>IF(H1250&gt;0,COUNTIF($H$16:H1250,"&gt;0"),"")</f>
        <v/>
      </c>
    </row>
    <row r="1251" spans="1:9" s="56" customFormat="1">
      <c r="A1251" s="69" t="s">
        <v>2462</v>
      </c>
      <c r="B1251" s="69" t="s">
        <v>2467</v>
      </c>
      <c r="C1251" s="69" t="s">
        <v>2468</v>
      </c>
      <c r="D1251" s="69">
        <v>3700583501419</v>
      </c>
      <c r="E1251" s="69" t="s">
        <v>17</v>
      </c>
      <c r="F1251" s="69" t="s">
        <v>14</v>
      </c>
      <c r="G1251" s="83">
        <v>242888</v>
      </c>
      <c r="I1251" s="38" t="str">
        <f>IF(H1251&gt;0,COUNTIF($H$16:H1251,"&gt;0"),"")</f>
        <v/>
      </c>
    </row>
    <row r="1252" spans="1:9" s="56" customFormat="1">
      <c r="A1252" s="69" t="s">
        <v>2462</v>
      </c>
      <c r="B1252" s="69" t="s">
        <v>2469</v>
      </c>
      <c r="C1252" s="69" t="s">
        <v>2470</v>
      </c>
      <c r="D1252" s="69">
        <v>3700583502096</v>
      </c>
      <c r="E1252" s="69" t="s">
        <v>17</v>
      </c>
      <c r="F1252" s="69" t="s">
        <v>14</v>
      </c>
      <c r="G1252" s="83">
        <v>291359</v>
      </c>
      <c r="I1252" s="38" t="str">
        <f>IF(H1252&gt;0,COUNTIF($H$16:H1252,"&gt;0"),"")</f>
        <v/>
      </c>
    </row>
    <row r="1253" spans="1:9" s="56" customFormat="1">
      <c r="A1253" s="69" t="s">
        <v>2462</v>
      </c>
      <c r="B1253" s="69" t="s">
        <v>2471</v>
      </c>
      <c r="C1253" s="69" t="s">
        <v>2472</v>
      </c>
      <c r="D1253" s="69">
        <v>3700583503291</v>
      </c>
      <c r="E1253" s="69" t="s">
        <v>17</v>
      </c>
      <c r="F1253" s="69" t="s">
        <v>14</v>
      </c>
      <c r="G1253" s="83">
        <v>291359</v>
      </c>
      <c r="I1253" s="38" t="str">
        <f>IF(H1253&gt;0,COUNTIF($H$16:H1253,"&gt;0"),"")</f>
        <v/>
      </c>
    </row>
    <row r="1254" spans="1:9" s="56" customFormat="1">
      <c r="A1254" s="69" t="s">
        <v>2473</v>
      </c>
      <c r="B1254" s="69" t="s">
        <v>2474</v>
      </c>
      <c r="C1254" s="69" t="s">
        <v>2475</v>
      </c>
      <c r="D1254" s="69">
        <v>7640171195674</v>
      </c>
      <c r="E1254" s="69" t="s">
        <v>13</v>
      </c>
      <c r="F1254" s="69" t="s">
        <v>14</v>
      </c>
      <c r="G1254" s="83">
        <v>17691</v>
      </c>
      <c r="I1254" s="38" t="str">
        <f>IF(H1254&gt;0,COUNTIF($H$16:H1254,"&gt;0"),"")</f>
        <v/>
      </c>
    </row>
    <row r="1255" spans="1:9" s="56" customFormat="1">
      <c r="A1255" s="69" t="s">
        <v>2473</v>
      </c>
      <c r="B1255" s="69" t="s">
        <v>2476</v>
      </c>
      <c r="C1255" s="69" t="s">
        <v>2477</v>
      </c>
      <c r="D1255" s="69">
        <v>7640171195681</v>
      </c>
      <c r="E1255" s="69" t="s">
        <v>42</v>
      </c>
      <c r="F1255" s="69" t="s">
        <v>14</v>
      </c>
      <c r="G1255" s="83">
        <v>17691</v>
      </c>
      <c r="I1255" s="38" t="str">
        <f>IF(H1255&gt;0,COUNTIF($H$16:H1255,"&gt;0"),"")</f>
        <v/>
      </c>
    </row>
    <row r="1256" spans="1:9" s="56" customFormat="1">
      <c r="A1256" s="69" t="s">
        <v>2473</v>
      </c>
      <c r="B1256" s="69" t="s">
        <v>2478</v>
      </c>
      <c r="C1256" s="69" t="s">
        <v>2479</v>
      </c>
      <c r="D1256" s="69">
        <v>7640171195735</v>
      </c>
      <c r="E1256" s="69" t="s">
        <v>13</v>
      </c>
      <c r="F1256" s="69" t="s">
        <v>63</v>
      </c>
      <c r="G1256" s="83">
        <v>17259</v>
      </c>
      <c r="I1256" s="38" t="str">
        <f>IF(H1256&gt;0,COUNTIF($H$16:H1256,"&gt;0"),"")</f>
        <v/>
      </c>
    </row>
    <row r="1257" spans="1:9" s="56" customFormat="1">
      <c r="A1257" s="69" t="s">
        <v>2473</v>
      </c>
      <c r="B1257" s="69" t="s">
        <v>2480</v>
      </c>
      <c r="C1257" s="69" t="s">
        <v>2481</v>
      </c>
      <c r="D1257" s="69">
        <v>7640171195742</v>
      </c>
      <c r="E1257" s="69" t="s">
        <v>42</v>
      </c>
      <c r="F1257" s="69" t="s">
        <v>63</v>
      </c>
      <c r="G1257" s="83">
        <v>17259</v>
      </c>
      <c r="I1257" s="38" t="str">
        <f>IF(H1257&gt;0,COUNTIF($H$16:H1257,"&gt;0"),"")</f>
        <v/>
      </c>
    </row>
    <row r="1258" spans="1:9" s="48" customFormat="1" ht="15" customHeight="1">
      <c r="A1258" s="69" t="s">
        <v>2482</v>
      </c>
      <c r="B1258" s="69" t="s">
        <v>2483</v>
      </c>
      <c r="C1258" s="69" t="s">
        <v>2484</v>
      </c>
      <c r="D1258" s="69">
        <v>6295124046216</v>
      </c>
      <c r="E1258" s="69" t="s">
        <v>42</v>
      </c>
      <c r="F1258" s="69" t="s">
        <v>14</v>
      </c>
      <c r="G1258" s="83">
        <v>20375</v>
      </c>
      <c r="H1258" s="47"/>
      <c r="I1258" s="47" t="str">
        <f>IF(H1258&gt;0,COUNTIF($H$16:H1258,"&gt;0"),"")</f>
        <v/>
      </c>
    </row>
    <row r="1259" spans="1:9" s="48" customFormat="1" ht="15" customHeight="1">
      <c r="A1259" s="69" t="s">
        <v>2482</v>
      </c>
      <c r="B1259" s="69" t="s">
        <v>2485</v>
      </c>
      <c r="C1259" s="69" t="s">
        <v>2486</v>
      </c>
      <c r="D1259" s="69">
        <v>6295124046254</v>
      </c>
      <c r="E1259" s="69" t="s">
        <v>13</v>
      </c>
      <c r="F1259" s="69" t="s">
        <v>14</v>
      </c>
      <c r="G1259" s="83">
        <v>20375</v>
      </c>
      <c r="H1259" s="47"/>
      <c r="I1259" s="47" t="str">
        <f>IF(H1259&gt;0,COUNTIF($H$16:H1259,"&gt;0"),"")</f>
        <v/>
      </c>
    </row>
    <row r="1260" spans="1:9" s="56" customFormat="1">
      <c r="A1260" s="69" t="s">
        <v>2482</v>
      </c>
      <c r="B1260" s="69" t="s">
        <v>2487</v>
      </c>
      <c r="C1260" s="69" t="s">
        <v>2488</v>
      </c>
      <c r="D1260" s="69">
        <v>6295124024290</v>
      </c>
      <c r="E1260" s="69" t="s">
        <v>17</v>
      </c>
      <c r="F1260" s="69" t="s">
        <v>14</v>
      </c>
      <c r="G1260" s="83">
        <v>28515</v>
      </c>
      <c r="I1260" s="38" t="str">
        <f>IF(H1260&gt;0,COUNTIF($H$16:H1260,"&gt;0"),"")</f>
        <v/>
      </c>
    </row>
    <row r="1261" spans="1:9" s="56" customFormat="1">
      <c r="A1261" s="69" t="s">
        <v>2482</v>
      </c>
      <c r="B1261" s="69" t="s">
        <v>2489</v>
      </c>
      <c r="C1261" s="69" t="s">
        <v>2490</v>
      </c>
      <c r="D1261" s="69">
        <v>6295124050275</v>
      </c>
      <c r="E1261" s="69" t="s">
        <v>17</v>
      </c>
      <c r="F1261" s="69" t="s">
        <v>14</v>
      </c>
      <c r="G1261" s="83">
        <v>45977</v>
      </c>
      <c r="I1261" s="38" t="str">
        <f>IF(H1261&gt;0,COUNTIF($H$16:H1261,"&gt;0"),"")</f>
        <v/>
      </c>
    </row>
    <row r="1262" spans="1:9" s="56" customFormat="1">
      <c r="A1262" s="69" t="s">
        <v>2482</v>
      </c>
      <c r="B1262" s="69" t="s">
        <v>2491</v>
      </c>
      <c r="C1262" s="69" t="s">
        <v>2492</v>
      </c>
      <c r="D1262" s="69">
        <v>6295124042768</v>
      </c>
      <c r="E1262" s="69" t="s">
        <v>17</v>
      </c>
      <c r="F1262" s="69" t="s">
        <v>14</v>
      </c>
      <c r="G1262" s="83">
        <v>45977</v>
      </c>
      <c r="I1262" s="38" t="str">
        <f>IF(H1262&gt;0,COUNTIF($H$16:H1262,"&gt;0"),"")</f>
        <v/>
      </c>
    </row>
    <row r="1263" spans="1:9" s="56" customFormat="1">
      <c r="A1263" s="69" t="s">
        <v>2482</v>
      </c>
      <c r="B1263" s="69" t="s">
        <v>2493</v>
      </c>
      <c r="C1263" s="69" t="s">
        <v>2494</v>
      </c>
      <c r="D1263" s="69">
        <v>6295124047763</v>
      </c>
      <c r="E1263" s="69" t="s">
        <v>17</v>
      </c>
      <c r="F1263" s="69" t="s">
        <v>14</v>
      </c>
      <c r="G1263" s="83">
        <v>35572</v>
      </c>
      <c r="I1263" s="38" t="str">
        <f>IF(H1263&gt;0,COUNTIF($H$16:H1263,"&gt;0"),"")</f>
        <v/>
      </c>
    </row>
    <row r="1264" spans="1:9" s="56" customFormat="1">
      <c r="A1264" s="69" t="s">
        <v>2482</v>
      </c>
      <c r="B1264" s="69" t="s">
        <v>2495</v>
      </c>
      <c r="C1264" s="69" t="s">
        <v>2496</v>
      </c>
      <c r="D1264" s="69">
        <v>6295124046629</v>
      </c>
      <c r="E1264" s="69" t="s">
        <v>17</v>
      </c>
      <c r="F1264" s="69" t="s">
        <v>14</v>
      </c>
      <c r="G1264" s="83">
        <v>20375</v>
      </c>
      <c r="I1264" s="38" t="str">
        <f>IF(H1264&gt;0,COUNTIF($H$16:H1264,"&gt;0"),"")</f>
        <v/>
      </c>
    </row>
    <row r="1265" spans="1:9" s="56" customFormat="1">
      <c r="A1265" s="69" t="s">
        <v>2482</v>
      </c>
      <c r="B1265" s="69" t="s">
        <v>2497</v>
      </c>
      <c r="C1265" s="69" t="s">
        <v>2498</v>
      </c>
      <c r="D1265" s="69">
        <v>6295124017469</v>
      </c>
      <c r="E1265" s="69" t="s">
        <v>42</v>
      </c>
      <c r="F1265" s="69" t="s">
        <v>14</v>
      </c>
      <c r="G1265" s="83">
        <v>18298</v>
      </c>
      <c r="I1265" s="38" t="str">
        <f>IF(H1265&gt;0,COUNTIF($H$16:H1265,"&gt;0"),"")</f>
        <v/>
      </c>
    </row>
    <row r="1266" spans="1:9" s="56" customFormat="1">
      <c r="A1266" s="69" t="s">
        <v>2482</v>
      </c>
      <c r="B1266" s="69" t="s">
        <v>2499</v>
      </c>
      <c r="C1266" s="69" t="s">
        <v>2500</v>
      </c>
      <c r="D1266" s="69">
        <v>6295124036804</v>
      </c>
      <c r="E1266" s="69" t="s">
        <v>17</v>
      </c>
      <c r="F1266" s="69" t="s">
        <v>14</v>
      </c>
      <c r="G1266" s="83">
        <v>35572</v>
      </c>
      <c r="I1266" s="38" t="str">
        <f>IF(H1266&gt;0,COUNTIF($H$16:H1266,"&gt;0"),"")</f>
        <v/>
      </c>
    </row>
    <row r="1267" spans="1:9" s="56" customFormat="1" ht="13.5" customHeight="1">
      <c r="A1267" s="69" t="s">
        <v>2482</v>
      </c>
      <c r="B1267" s="69" t="s">
        <v>2501</v>
      </c>
      <c r="C1267" s="69" t="s">
        <v>2502</v>
      </c>
      <c r="D1267" s="69">
        <v>6295124042775</v>
      </c>
      <c r="E1267" s="69" t="s">
        <v>17</v>
      </c>
      <c r="F1267" s="69" t="s">
        <v>14</v>
      </c>
      <c r="G1267" s="83">
        <v>45977</v>
      </c>
      <c r="I1267" s="38" t="str">
        <f>IF(H1267&gt;0,COUNTIF($H$16:H1267,"&gt;0"),"")</f>
        <v/>
      </c>
    </row>
    <row r="1268" spans="1:9" s="56" customFormat="1">
      <c r="A1268" s="69" t="s">
        <v>2482</v>
      </c>
      <c r="B1268" s="69" t="s">
        <v>2503</v>
      </c>
      <c r="C1268" s="69" t="s">
        <v>2504</v>
      </c>
      <c r="D1268" s="69">
        <v>6295124036811</v>
      </c>
      <c r="E1268" s="69" t="s">
        <v>17</v>
      </c>
      <c r="F1268" s="69" t="s">
        <v>14</v>
      </c>
      <c r="G1268" s="83">
        <v>35572</v>
      </c>
      <c r="I1268" s="38" t="str">
        <f>IF(H1268&gt;0,COUNTIF($H$16:H1268,"&gt;0"),"")</f>
        <v/>
      </c>
    </row>
    <row r="1269" spans="1:9" s="56" customFormat="1">
      <c r="A1269" s="69" t="s">
        <v>2482</v>
      </c>
      <c r="B1269" s="69" t="s">
        <v>2505</v>
      </c>
      <c r="C1269" s="69" t="s">
        <v>2506</v>
      </c>
      <c r="D1269" s="69">
        <v>6295124051456</v>
      </c>
      <c r="E1269" s="69" t="s">
        <v>17</v>
      </c>
      <c r="F1269" s="69" t="s">
        <v>14</v>
      </c>
      <c r="G1269" s="83">
        <v>35572</v>
      </c>
      <c r="I1269" s="38" t="str">
        <f>IF(H1269&gt;0,COUNTIF($H$16:H1269,"&gt;0"),"")</f>
        <v/>
      </c>
    </row>
    <row r="1270" spans="1:9" s="56" customFormat="1">
      <c r="A1270" s="69" t="s">
        <v>2482</v>
      </c>
      <c r="B1270" s="69" t="s">
        <v>2507</v>
      </c>
      <c r="C1270" s="69" t="s">
        <v>2508</v>
      </c>
      <c r="D1270" s="69">
        <v>6295124037931</v>
      </c>
      <c r="E1270" s="69" t="s">
        <v>17</v>
      </c>
      <c r="F1270" s="69" t="s">
        <v>14</v>
      </c>
      <c r="G1270" s="83">
        <v>35572</v>
      </c>
      <c r="I1270" s="38" t="str">
        <f>IF(H1270&gt;0,COUNTIF($H$16:H1270,"&gt;0"),"")</f>
        <v/>
      </c>
    </row>
    <row r="1271" spans="1:9" s="56" customFormat="1">
      <c r="A1271" s="69" t="s">
        <v>2482</v>
      </c>
      <c r="B1271" s="69" t="s">
        <v>2509</v>
      </c>
      <c r="C1271" s="69" t="s">
        <v>2510</v>
      </c>
      <c r="D1271" s="69">
        <v>6295124046346</v>
      </c>
      <c r="E1271" s="69" t="s">
        <v>42</v>
      </c>
      <c r="F1271" s="69" t="s">
        <v>14</v>
      </c>
      <c r="G1271" s="83">
        <v>20375</v>
      </c>
      <c r="I1271" s="38" t="str">
        <f>IF(H1271&gt;0,COUNTIF($H$16:H1271,"&gt;0"),"")</f>
        <v/>
      </c>
    </row>
    <row r="1272" spans="1:9" s="56" customFormat="1">
      <c r="A1272" s="69" t="s">
        <v>2482</v>
      </c>
      <c r="B1272" s="69" t="s">
        <v>2511</v>
      </c>
      <c r="C1272" s="69" t="s">
        <v>2512</v>
      </c>
      <c r="D1272" s="69">
        <v>6295124050329</v>
      </c>
      <c r="E1272" s="69" t="s">
        <v>17</v>
      </c>
      <c r="F1272" s="69" t="s">
        <v>14</v>
      </c>
      <c r="G1272" s="83">
        <v>37562</v>
      </c>
      <c r="I1272" s="38" t="str">
        <f>IF(H1272&gt;0,COUNTIF($H$16:H1272,"&gt;0"),"")</f>
        <v/>
      </c>
    </row>
    <row r="1273" spans="1:9" s="56" customFormat="1">
      <c r="A1273" s="69" t="s">
        <v>2482</v>
      </c>
      <c r="B1273" s="69" t="s">
        <v>2513</v>
      </c>
      <c r="C1273" s="69" t="s">
        <v>2514</v>
      </c>
      <c r="D1273" s="69">
        <v>6295124016875</v>
      </c>
      <c r="E1273" s="69" t="s">
        <v>13</v>
      </c>
      <c r="F1273" s="69" t="s">
        <v>14</v>
      </c>
      <c r="G1273" s="83">
        <v>16307</v>
      </c>
      <c r="I1273" s="38" t="str">
        <f>IF(H1273&gt;0,COUNTIF($H$16:H1273,"&gt;0"),"")</f>
        <v/>
      </c>
    </row>
    <row r="1274" spans="1:9" s="56" customFormat="1">
      <c r="A1274" s="69" t="s">
        <v>2482</v>
      </c>
      <c r="B1274" s="69" t="s">
        <v>2515</v>
      </c>
      <c r="C1274" s="69" t="s">
        <v>2516</v>
      </c>
      <c r="D1274" s="69">
        <v>6295124016882</v>
      </c>
      <c r="E1274" s="69" t="s">
        <v>42</v>
      </c>
      <c r="F1274" s="69" t="s">
        <v>14</v>
      </c>
      <c r="G1274" s="83">
        <v>16307</v>
      </c>
      <c r="I1274" s="38" t="str">
        <f>IF(H1274&gt;0,COUNTIF($H$16:H1274,"&gt;0"),"")</f>
        <v/>
      </c>
    </row>
    <row r="1275" spans="1:9" s="56" customFormat="1">
      <c r="A1275" s="69" t="s">
        <v>2482</v>
      </c>
      <c r="B1275" s="69" t="s">
        <v>2517</v>
      </c>
      <c r="C1275" s="69" t="s">
        <v>2518</v>
      </c>
      <c r="D1275" s="69">
        <v>6295124051432</v>
      </c>
      <c r="E1275" s="69" t="s">
        <v>17</v>
      </c>
      <c r="F1275" s="69" t="s">
        <v>14</v>
      </c>
      <c r="G1275" s="83">
        <v>37562</v>
      </c>
      <c r="I1275" s="38" t="str">
        <f>IF(H1275&gt;0,COUNTIF($H$16:H1275,"&gt;0"),"")</f>
        <v/>
      </c>
    </row>
    <row r="1276" spans="1:9" s="56" customFormat="1">
      <c r="A1276" s="69" t="s">
        <v>2482</v>
      </c>
      <c r="B1276" s="69" t="s">
        <v>2519</v>
      </c>
      <c r="C1276" s="69" t="s">
        <v>2520</v>
      </c>
      <c r="D1276" s="69">
        <v>6295124042836</v>
      </c>
      <c r="E1276" s="69" t="s">
        <v>17</v>
      </c>
      <c r="F1276" s="69" t="s">
        <v>14</v>
      </c>
      <c r="G1276" s="83">
        <v>37562</v>
      </c>
      <c r="I1276" s="38" t="str">
        <f>IF(H1276&gt;0,COUNTIF($H$16:H1276,"&gt;0"),"")</f>
        <v/>
      </c>
    </row>
    <row r="1277" spans="1:9" s="56" customFormat="1">
      <c r="A1277" s="69" t="s">
        <v>2482</v>
      </c>
      <c r="B1277" s="69" t="s">
        <v>2521</v>
      </c>
      <c r="C1277" s="69" t="s">
        <v>2522</v>
      </c>
      <c r="D1277" s="69">
        <v>6295124041266</v>
      </c>
      <c r="E1277" s="69" t="s">
        <v>17</v>
      </c>
      <c r="F1277" s="69" t="s">
        <v>14</v>
      </c>
      <c r="G1277" s="83">
        <v>37562</v>
      </c>
      <c r="I1277" s="38" t="str">
        <f>IF(H1277&gt;0,COUNTIF($H$16:H1277,"&gt;0"),"")</f>
        <v/>
      </c>
    </row>
    <row r="1278" spans="1:9" s="56" customFormat="1">
      <c r="A1278" s="69" t="s">
        <v>2482</v>
      </c>
      <c r="B1278" s="69" t="s">
        <v>2523</v>
      </c>
      <c r="C1278" s="69" t="s">
        <v>2524</v>
      </c>
      <c r="D1278" s="69">
        <v>6295124024832</v>
      </c>
      <c r="E1278" s="69" t="s">
        <v>17</v>
      </c>
      <c r="F1278" s="69" t="s">
        <v>14</v>
      </c>
      <c r="G1278" s="83">
        <v>25399</v>
      </c>
      <c r="I1278" s="38" t="str">
        <f>IF(H1278&gt;0,COUNTIF($H$16:H1278,"&gt;0"),"")</f>
        <v/>
      </c>
    </row>
    <row r="1279" spans="1:9" s="56" customFormat="1">
      <c r="A1279" s="69" t="s">
        <v>2482</v>
      </c>
      <c r="B1279" s="69" t="s">
        <v>2525</v>
      </c>
      <c r="C1279" s="69" t="s">
        <v>2526</v>
      </c>
      <c r="D1279" s="69">
        <v>6295124045783</v>
      </c>
      <c r="E1279" s="69" t="s">
        <v>17</v>
      </c>
      <c r="F1279" s="69" t="s">
        <v>14</v>
      </c>
      <c r="G1279" s="83">
        <v>37562</v>
      </c>
      <c r="I1279" s="38" t="str">
        <f>IF(H1279&gt;0,COUNTIF($H$16:H1279,"&gt;0"),"")</f>
        <v/>
      </c>
    </row>
    <row r="1280" spans="1:9" s="56" customFormat="1">
      <c r="A1280" s="69" t="s">
        <v>2482</v>
      </c>
      <c r="B1280" s="69" t="s">
        <v>2527</v>
      </c>
      <c r="C1280" s="69" t="s">
        <v>2528</v>
      </c>
      <c r="D1280" s="69">
        <v>6295124046667</v>
      </c>
      <c r="E1280" s="69" t="s">
        <v>17</v>
      </c>
      <c r="F1280" s="69" t="s">
        <v>14</v>
      </c>
      <c r="G1280" s="83">
        <v>22456</v>
      </c>
      <c r="I1280" s="38" t="str">
        <f>IF(H1280&gt;0,COUNTIF($H$16:H1280,"&gt;0"),"")</f>
        <v/>
      </c>
    </row>
    <row r="1281" spans="1:9" s="56" customFormat="1">
      <c r="A1281" s="69" t="s">
        <v>2482</v>
      </c>
      <c r="B1281" s="69" t="s">
        <v>2529</v>
      </c>
      <c r="C1281" s="69" t="s">
        <v>2530</v>
      </c>
      <c r="D1281" s="69">
        <v>6295124045578</v>
      </c>
      <c r="E1281" s="69" t="s">
        <v>17</v>
      </c>
      <c r="F1281" s="69" t="s">
        <v>14</v>
      </c>
      <c r="G1281" s="83">
        <v>37562</v>
      </c>
      <c r="I1281" s="38" t="str">
        <f>IF(H1281&gt;0,COUNTIF($H$16:H1281,"&gt;0"),"")</f>
        <v/>
      </c>
    </row>
    <row r="1282" spans="1:9" s="56" customFormat="1">
      <c r="A1282" s="69" t="s">
        <v>2482</v>
      </c>
      <c r="B1282" s="69" t="s">
        <v>2531</v>
      </c>
      <c r="C1282" s="69" t="s">
        <v>2532</v>
      </c>
      <c r="D1282" s="69">
        <v>6295124047817</v>
      </c>
      <c r="E1282" s="69" t="s">
        <v>17</v>
      </c>
      <c r="F1282" s="69" t="s">
        <v>14</v>
      </c>
      <c r="G1282" s="83">
        <v>37562</v>
      </c>
      <c r="I1282" s="38" t="str">
        <f>IF(H1282&gt;0,COUNTIF($H$16:H1282,"&gt;0"),"")</f>
        <v/>
      </c>
    </row>
    <row r="1283" spans="1:9" s="39" customFormat="1" ht="15" customHeight="1">
      <c r="A1283" s="69" t="s">
        <v>2482</v>
      </c>
      <c r="B1283" s="69" t="s">
        <v>2533</v>
      </c>
      <c r="C1283" s="69" t="s">
        <v>2534</v>
      </c>
      <c r="D1283" s="69">
        <v>6295124048494</v>
      </c>
      <c r="E1283" s="69" t="s">
        <v>17</v>
      </c>
      <c r="F1283" s="69" t="s">
        <v>14</v>
      </c>
      <c r="G1283" s="83">
        <v>45977</v>
      </c>
      <c r="H1283" s="52"/>
      <c r="I1283" s="38" t="str">
        <f>IF(H1283&gt;0,COUNTIF($H$16:H1283,"&gt;0"),"")</f>
        <v/>
      </c>
    </row>
    <row r="1284" spans="1:9" s="56" customFormat="1">
      <c r="A1284" s="69" t="s">
        <v>2482</v>
      </c>
      <c r="B1284" s="69" t="s">
        <v>2535</v>
      </c>
      <c r="C1284" s="69" t="s">
        <v>2536</v>
      </c>
      <c r="D1284" s="69">
        <v>6295124046926</v>
      </c>
      <c r="E1284" s="69" t="s">
        <v>17</v>
      </c>
      <c r="F1284" s="69" t="s">
        <v>14</v>
      </c>
      <c r="G1284" s="83">
        <v>35572</v>
      </c>
      <c r="I1284" s="38" t="str">
        <f>IF(H1284&gt;0,COUNTIF($H$16:H1284,"&gt;0"),"")</f>
        <v/>
      </c>
    </row>
    <row r="1285" spans="1:9" s="56" customFormat="1">
      <c r="A1285" s="69" t="s">
        <v>2482</v>
      </c>
      <c r="B1285" s="69" t="s">
        <v>2537</v>
      </c>
      <c r="C1285" s="69" t="s">
        <v>2538</v>
      </c>
      <c r="D1285" s="69">
        <v>6295124027710</v>
      </c>
      <c r="E1285" s="69" t="s">
        <v>17</v>
      </c>
      <c r="F1285" s="69" t="s">
        <v>14</v>
      </c>
      <c r="G1285" s="83">
        <v>28515</v>
      </c>
      <c r="I1285" s="38" t="str">
        <f>IF(H1285&gt;0,COUNTIF($H$16:H1285,"&gt;0"),"")</f>
        <v/>
      </c>
    </row>
    <row r="1286" spans="1:9" s="56" customFormat="1">
      <c r="A1286" s="69" t="s">
        <v>2482</v>
      </c>
      <c r="B1286" s="69" t="s">
        <v>2539</v>
      </c>
      <c r="C1286" s="69" t="s">
        <v>2540</v>
      </c>
      <c r="D1286" s="69">
        <v>6295124049910</v>
      </c>
      <c r="E1286" s="69" t="s">
        <v>42</v>
      </c>
      <c r="F1286" s="69" t="s">
        <v>14</v>
      </c>
      <c r="G1286" s="83">
        <v>35572</v>
      </c>
      <c r="I1286" s="38" t="str">
        <f>IF(H1286&gt;0,COUNTIF($H$16:H1286,"&gt;0"),"")</f>
        <v/>
      </c>
    </row>
    <row r="1287" spans="1:9" s="56" customFormat="1">
      <c r="A1287" s="69" t="s">
        <v>165</v>
      </c>
      <c r="B1287" s="69" t="s">
        <v>2541</v>
      </c>
      <c r="C1287" s="69" t="s">
        <v>2542</v>
      </c>
      <c r="D1287" s="69">
        <v>3614274503197</v>
      </c>
      <c r="E1287" s="69" t="s">
        <v>42</v>
      </c>
      <c r="F1287" s="69" t="s">
        <v>14</v>
      </c>
      <c r="G1287" s="83">
        <v>72203</v>
      </c>
      <c r="I1287" s="38" t="str">
        <f>IF(H1287&gt;0,COUNTIF($H$16:H1287,"&gt;0"),"")</f>
        <v/>
      </c>
    </row>
    <row r="1288" spans="1:9" s="56" customFormat="1">
      <c r="A1288" s="69" t="s">
        <v>165</v>
      </c>
      <c r="B1288" s="69" t="s">
        <v>166</v>
      </c>
      <c r="C1288" s="69" t="s">
        <v>167</v>
      </c>
      <c r="D1288" s="69">
        <v>3439600055726</v>
      </c>
      <c r="E1288" s="69" t="s">
        <v>13</v>
      </c>
      <c r="F1288" s="69" t="s">
        <v>14</v>
      </c>
      <c r="G1288" s="83">
        <v>45458</v>
      </c>
      <c r="I1288" s="38" t="str">
        <f>IF(H1288&gt;0,COUNTIF($H$16:H1288,"&gt;0"),"")</f>
        <v/>
      </c>
    </row>
    <row r="1289" spans="1:9" s="56" customFormat="1">
      <c r="A1289" s="69" t="s">
        <v>165</v>
      </c>
      <c r="B1289" s="69" t="s">
        <v>2543</v>
      </c>
      <c r="C1289" s="69" t="s">
        <v>2544</v>
      </c>
      <c r="D1289" s="69">
        <v>3614274205640</v>
      </c>
      <c r="E1289" s="69" t="s">
        <v>42</v>
      </c>
      <c r="F1289" s="69" t="s">
        <v>14</v>
      </c>
      <c r="G1289" s="83">
        <v>36524</v>
      </c>
      <c r="I1289" s="38" t="str">
        <f>IF(H1289&gt;0,COUNTIF($H$16:H1289,"&gt;0"),"")</f>
        <v/>
      </c>
    </row>
    <row r="1290" spans="1:9" s="56" customFormat="1">
      <c r="A1290" s="69" t="s">
        <v>165</v>
      </c>
      <c r="B1290" s="69" t="s">
        <v>2545</v>
      </c>
      <c r="C1290" s="69" t="s">
        <v>2546</v>
      </c>
      <c r="D1290" s="69">
        <v>3614274292237</v>
      </c>
      <c r="E1290" s="69" t="s">
        <v>42</v>
      </c>
      <c r="F1290" s="69" t="s">
        <v>14</v>
      </c>
      <c r="G1290" s="83">
        <v>57056</v>
      </c>
      <c r="I1290" s="38" t="str">
        <f>IF(H1290&gt;0,COUNTIF($H$16:H1290,"&gt;0"),"")</f>
        <v/>
      </c>
    </row>
    <row r="1291" spans="1:9" s="56" customFormat="1">
      <c r="A1291" s="69" t="s">
        <v>168</v>
      </c>
      <c r="B1291" s="69" t="s">
        <v>169</v>
      </c>
      <c r="C1291" s="69" t="s">
        <v>170</v>
      </c>
      <c r="D1291" s="69">
        <v>7640496670160</v>
      </c>
      <c r="E1291" s="69" t="s">
        <v>13</v>
      </c>
      <c r="F1291" s="69" t="s">
        <v>14</v>
      </c>
      <c r="G1291" s="83">
        <v>21591</v>
      </c>
      <c r="I1291" s="38" t="str">
        <f>IF(H1291&gt;0,COUNTIF($H$16:H1291,"&gt;0"),"")</f>
        <v/>
      </c>
    </row>
    <row r="1292" spans="1:9" s="56" customFormat="1">
      <c r="A1292" s="69" t="s">
        <v>168</v>
      </c>
      <c r="B1292" s="69" t="s">
        <v>171</v>
      </c>
      <c r="C1292" s="69" t="s">
        <v>172</v>
      </c>
      <c r="D1292" s="69">
        <v>7640496670139</v>
      </c>
      <c r="E1292" s="69" t="s">
        <v>42</v>
      </c>
      <c r="F1292" s="69" t="s">
        <v>14</v>
      </c>
      <c r="G1292" s="83">
        <v>21591</v>
      </c>
      <c r="I1292" s="38" t="str">
        <f>IF(H1292&gt;0,COUNTIF($H$16:H1292,"&gt;0"),"")</f>
        <v/>
      </c>
    </row>
    <row r="1293" spans="1:9" s="56" customFormat="1">
      <c r="A1293" s="69" t="s">
        <v>2547</v>
      </c>
      <c r="B1293" s="69" t="s">
        <v>2548</v>
      </c>
      <c r="C1293" s="69" t="s">
        <v>2549</v>
      </c>
      <c r="D1293" s="69">
        <v>8436038834416</v>
      </c>
      <c r="E1293" s="69" t="s">
        <v>13</v>
      </c>
      <c r="F1293" s="69" t="s">
        <v>14</v>
      </c>
      <c r="G1293" s="83">
        <v>22542</v>
      </c>
      <c r="I1293" s="38" t="str">
        <f>IF(H1293&gt;0,COUNTIF($H$16:H1293,"&gt;0"),"")</f>
        <v/>
      </c>
    </row>
    <row r="1294" spans="1:9" s="56" customFormat="1">
      <c r="A1294" s="69" t="s">
        <v>2547</v>
      </c>
      <c r="B1294" s="69" t="s">
        <v>2550</v>
      </c>
      <c r="C1294" s="69" t="s">
        <v>2551</v>
      </c>
      <c r="D1294" s="69">
        <v>8437002997427</v>
      </c>
      <c r="E1294" s="69" t="s">
        <v>13</v>
      </c>
      <c r="F1294" s="69" t="s">
        <v>14</v>
      </c>
      <c r="G1294" s="83">
        <v>23495</v>
      </c>
      <c r="I1294" s="38" t="str">
        <f>IF(H1294&gt;0,COUNTIF($H$16:H1294,"&gt;0"),"")</f>
        <v/>
      </c>
    </row>
    <row r="1295" spans="1:9" s="56" customFormat="1">
      <c r="A1295" s="69" t="s">
        <v>173</v>
      </c>
      <c r="B1295" s="69" t="s">
        <v>2552</v>
      </c>
      <c r="C1295" s="69" t="s">
        <v>2553</v>
      </c>
      <c r="D1295" s="69">
        <v>5055810099503</v>
      </c>
      <c r="E1295" s="69" t="s">
        <v>17</v>
      </c>
      <c r="F1295" s="69" t="s">
        <v>14</v>
      </c>
      <c r="G1295" s="83">
        <v>8171</v>
      </c>
      <c r="I1295" s="38" t="str">
        <f>IF(H1295&gt;0,COUNTIF($H$16:H1295,"&gt;0"),"")</f>
        <v/>
      </c>
    </row>
    <row r="1296" spans="1:9" s="56" customFormat="1">
      <c r="A1296" s="69" t="s">
        <v>173</v>
      </c>
      <c r="B1296" s="69" t="s">
        <v>2554</v>
      </c>
      <c r="C1296" s="69" t="s">
        <v>2555</v>
      </c>
      <c r="D1296" s="69">
        <v>5055810056896</v>
      </c>
      <c r="E1296" s="69" t="s">
        <v>17</v>
      </c>
      <c r="F1296" s="69" t="s">
        <v>14</v>
      </c>
      <c r="G1296" s="83">
        <v>9123</v>
      </c>
      <c r="I1296" s="38" t="str">
        <f>IF(H1296&gt;0,COUNTIF($H$16:H1296,"&gt;0"),"")</f>
        <v/>
      </c>
    </row>
    <row r="1297" spans="1:9" s="56" customFormat="1">
      <c r="A1297" s="69" t="s">
        <v>173</v>
      </c>
      <c r="B1297" s="69" t="s">
        <v>2556</v>
      </c>
      <c r="C1297" s="69" t="s">
        <v>2557</v>
      </c>
      <c r="D1297" s="69">
        <v>5055810056902</v>
      </c>
      <c r="E1297" s="69" t="s">
        <v>17</v>
      </c>
      <c r="F1297" s="69" t="s">
        <v>14</v>
      </c>
      <c r="G1297" s="83">
        <v>9123</v>
      </c>
      <c r="I1297" s="38" t="str">
        <f>IF(H1297&gt;0,COUNTIF($H$16:H1297,"&gt;0"),"")</f>
        <v/>
      </c>
    </row>
    <row r="1298" spans="1:9" s="56" customFormat="1">
      <c r="A1298" s="69" t="s">
        <v>173</v>
      </c>
      <c r="B1298" s="69" t="s">
        <v>2558</v>
      </c>
      <c r="C1298" s="69" t="s">
        <v>2559</v>
      </c>
      <c r="D1298" s="69">
        <v>5055810039196</v>
      </c>
      <c r="E1298" s="69" t="s">
        <v>17</v>
      </c>
      <c r="F1298" s="69" t="s">
        <v>14</v>
      </c>
      <c r="G1298" s="83">
        <v>8344</v>
      </c>
      <c r="I1298" s="38" t="str">
        <f>IF(H1298&gt;0,COUNTIF($H$16:H1298,"&gt;0"),"")</f>
        <v/>
      </c>
    </row>
    <row r="1299" spans="1:9" s="56" customFormat="1">
      <c r="A1299" s="69" t="s">
        <v>173</v>
      </c>
      <c r="B1299" s="69" t="s">
        <v>174</v>
      </c>
      <c r="C1299" s="69" t="s">
        <v>175</v>
      </c>
      <c r="D1299" s="69">
        <v>5055810056919</v>
      </c>
      <c r="E1299" s="69" t="s">
        <v>17</v>
      </c>
      <c r="F1299" s="69" t="s">
        <v>14</v>
      </c>
      <c r="G1299" s="83">
        <v>9123</v>
      </c>
      <c r="I1299" s="38" t="str">
        <f>IF(H1299&gt;0,COUNTIF($H$16:H1299,"&gt;0"),"")</f>
        <v/>
      </c>
    </row>
    <row r="1300" spans="1:9" s="56" customFormat="1">
      <c r="A1300" s="69" t="s">
        <v>173</v>
      </c>
      <c r="B1300" s="69" t="s">
        <v>2560</v>
      </c>
      <c r="C1300" s="69" t="s">
        <v>2561</v>
      </c>
      <c r="D1300" s="69">
        <v>5055810099435</v>
      </c>
      <c r="E1300" s="69" t="s">
        <v>17</v>
      </c>
      <c r="F1300" s="69" t="s">
        <v>14</v>
      </c>
      <c r="G1300" s="83">
        <v>8517</v>
      </c>
      <c r="I1300" s="38" t="str">
        <f>IF(H1300&gt;0,COUNTIF($H$16:H1300,"&gt;0"),"")</f>
        <v/>
      </c>
    </row>
    <row r="1301" spans="1:9" s="56" customFormat="1">
      <c r="A1301" s="69" t="s">
        <v>173</v>
      </c>
      <c r="B1301" s="69" t="s">
        <v>2562</v>
      </c>
      <c r="C1301" s="69" t="s">
        <v>2563</v>
      </c>
      <c r="D1301" s="69">
        <v>5055810099411</v>
      </c>
      <c r="E1301" s="69" t="s">
        <v>17</v>
      </c>
      <c r="F1301" s="69" t="s">
        <v>14</v>
      </c>
      <c r="G1301" s="83">
        <v>8344</v>
      </c>
      <c r="I1301" s="38" t="str">
        <f>IF(H1301&gt;0,COUNTIF($H$16:H1301,"&gt;0"),"")</f>
        <v/>
      </c>
    </row>
    <row r="1302" spans="1:9" s="56" customFormat="1">
      <c r="A1302" s="69" t="s">
        <v>173</v>
      </c>
      <c r="B1302" s="69" t="s">
        <v>2564</v>
      </c>
      <c r="C1302" s="69" t="s">
        <v>2565</v>
      </c>
      <c r="D1302" s="69">
        <v>5055810039172</v>
      </c>
      <c r="E1302" s="69" t="s">
        <v>17</v>
      </c>
      <c r="F1302" s="69" t="s">
        <v>14</v>
      </c>
      <c r="G1302" s="83">
        <v>8344</v>
      </c>
      <c r="I1302" s="38" t="str">
        <f>IF(H1302&gt;0,COUNTIF($H$16:H1302,"&gt;0"),"")</f>
        <v/>
      </c>
    </row>
    <row r="1303" spans="1:9" s="56" customFormat="1" ht="27.75" customHeight="1">
      <c r="A1303" s="69" t="s">
        <v>173</v>
      </c>
      <c r="B1303" s="69" t="s">
        <v>2566</v>
      </c>
      <c r="C1303" s="69" t="s">
        <v>2567</v>
      </c>
      <c r="D1303" s="69">
        <v>5055810039158</v>
      </c>
      <c r="E1303" s="69" t="s">
        <v>17</v>
      </c>
      <c r="F1303" s="69" t="s">
        <v>14</v>
      </c>
      <c r="G1303" s="83">
        <v>8431</v>
      </c>
      <c r="I1303" s="38" t="str">
        <f>IF(H1303&gt;0,COUNTIF($H$16:H1303,"&gt;0"),"")</f>
        <v/>
      </c>
    </row>
    <row r="1304" spans="1:9" s="56" customFormat="1">
      <c r="A1304" s="69" t="s">
        <v>173</v>
      </c>
      <c r="B1304" s="69" t="s">
        <v>2568</v>
      </c>
      <c r="C1304" s="69" t="s">
        <v>2569</v>
      </c>
      <c r="D1304" s="69">
        <v>5055810039189</v>
      </c>
      <c r="E1304" s="69" t="s">
        <v>17</v>
      </c>
      <c r="F1304" s="69" t="s">
        <v>14</v>
      </c>
      <c r="G1304" s="83">
        <v>8344</v>
      </c>
      <c r="I1304" s="38" t="str">
        <f>IF(H1304&gt;0,COUNTIF($H$16:H1304,"&gt;0"),"")</f>
        <v/>
      </c>
    </row>
    <row r="1305" spans="1:9" s="56" customFormat="1">
      <c r="A1305" s="69" t="s">
        <v>173</v>
      </c>
      <c r="B1305" s="69" t="s">
        <v>2570</v>
      </c>
      <c r="C1305" s="69" t="s">
        <v>2571</v>
      </c>
      <c r="D1305" s="69">
        <v>5055810099466</v>
      </c>
      <c r="E1305" s="69" t="s">
        <v>17</v>
      </c>
      <c r="F1305" s="69" t="s">
        <v>14</v>
      </c>
      <c r="G1305" s="83">
        <v>8084</v>
      </c>
      <c r="I1305" s="38" t="str">
        <f>IF(H1305&gt;0,COUNTIF($H$16:H1305,"&gt;0"),"")</f>
        <v/>
      </c>
    </row>
    <row r="1306" spans="1:9" s="56" customFormat="1">
      <c r="A1306" s="69" t="s">
        <v>173</v>
      </c>
      <c r="B1306" s="69" t="s">
        <v>2572</v>
      </c>
      <c r="C1306" s="69" t="s">
        <v>2573</v>
      </c>
      <c r="D1306" s="69">
        <v>5055810056926</v>
      </c>
      <c r="E1306" s="69" t="s">
        <v>17</v>
      </c>
      <c r="F1306" s="69" t="s">
        <v>14</v>
      </c>
      <c r="G1306" s="83">
        <v>9123</v>
      </c>
      <c r="I1306" s="38" t="str">
        <f>IF(H1306&gt;0,COUNTIF($H$16:H1306,"&gt;0"),"")</f>
        <v/>
      </c>
    </row>
    <row r="1307" spans="1:9" s="56" customFormat="1">
      <c r="A1307" s="69" t="s">
        <v>173</v>
      </c>
      <c r="B1307" s="69" t="s">
        <v>2574</v>
      </c>
      <c r="C1307" s="69" t="s">
        <v>2575</v>
      </c>
      <c r="D1307" s="69">
        <v>5055810056933</v>
      </c>
      <c r="E1307" s="69" t="s">
        <v>17</v>
      </c>
      <c r="F1307" s="69" t="s">
        <v>14</v>
      </c>
      <c r="G1307" s="83">
        <v>9123</v>
      </c>
      <c r="I1307" s="38" t="str">
        <f>IF(H1307&gt;0,COUNTIF($H$16:H1307,"&gt;0"),"")</f>
        <v/>
      </c>
    </row>
    <row r="1308" spans="1:9" s="56" customFormat="1">
      <c r="A1308" s="69" t="s">
        <v>173</v>
      </c>
      <c r="B1308" s="69" t="s">
        <v>2576</v>
      </c>
      <c r="C1308" s="69" t="s">
        <v>2577</v>
      </c>
      <c r="D1308" s="69">
        <v>5055810099657</v>
      </c>
      <c r="E1308" s="69" t="s">
        <v>42</v>
      </c>
      <c r="F1308" s="69" t="s">
        <v>14</v>
      </c>
      <c r="G1308" s="83">
        <v>7911</v>
      </c>
      <c r="I1308" s="38" t="str">
        <f>IF(H1308&gt;0,COUNTIF($H$16:H1308,"&gt;0"),"")</f>
        <v/>
      </c>
    </row>
    <row r="1309" spans="1:9" s="56" customFormat="1">
      <c r="A1309" s="69" t="s">
        <v>173</v>
      </c>
      <c r="B1309" s="69" t="s">
        <v>2578</v>
      </c>
      <c r="C1309" s="69" t="s">
        <v>2579</v>
      </c>
      <c r="D1309" s="69">
        <v>5055810056940</v>
      </c>
      <c r="E1309" s="69" t="s">
        <v>17</v>
      </c>
      <c r="F1309" s="69" t="s">
        <v>14</v>
      </c>
      <c r="G1309" s="83">
        <v>9123</v>
      </c>
      <c r="I1309" s="38" t="str">
        <f>IF(H1309&gt;0,COUNTIF($H$16:H1309,"&gt;0"),"")</f>
        <v/>
      </c>
    </row>
    <row r="1310" spans="1:9" s="56" customFormat="1">
      <c r="A1310" s="69" t="s">
        <v>173</v>
      </c>
      <c r="B1310" s="69" t="s">
        <v>2580</v>
      </c>
      <c r="C1310" s="69" t="s">
        <v>2581</v>
      </c>
      <c r="D1310" s="69">
        <v>5055810056957</v>
      </c>
      <c r="E1310" s="69" t="s">
        <v>17</v>
      </c>
      <c r="F1310" s="69" t="s">
        <v>14</v>
      </c>
      <c r="G1310" s="83">
        <v>9123</v>
      </c>
      <c r="I1310" s="38" t="str">
        <f>IF(H1310&gt;0,COUNTIF($H$16:H1310,"&gt;0"),"")</f>
        <v/>
      </c>
    </row>
    <row r="1311" spans="1:9" s="56" customFormat="1">
      <c r="A1311" s="69" t="s">
        <v>173</v>
      </c>
      <c r="B1311" s="69" t="s">
        <v>2582</v>
      </c>
      <c r="C1311" s="69" t="s">
        <v>2583</v>
      </c>
      <c r="D1311" s="69">
        <v>5055810099404</v>
      </c>
      <c r="E1311" s="69" t="s">
        <v>17</v>
      </c>
      <c r="F1311" s="69" t="s">
        <v>14</v>
      </c>
      <c r="G1311" s="83">
        <v>8431</v>
      </c>
      <c r="I1311" s="38" t="str">
        <f>IF(H1311&gt;0,COUNTIF($H$16:H1311,"&gt;0"),"")</f>
        <v/>
      </c>
    </row>
    <row r="1312" spans="1:9" s="56" customFormat="1">
      <c r="A1312" s="69" t="s">
        <v>173</v>
      </c>
      <c r="B1312" s="69" t="s">
        <v>2584</v>
      </c>
      <c r="C1312" s="69" t="s">
        <v>2585</v>
      </c>
      <c r="D1312" s="69">
        <v>5055810099640</v>
      </c>
      <c r="E1312" s="69" t="s">
        <v>42</v>
      </c>
      <c r="F1312" s="69" t="s">
        <v>14</v>
      </c>
      <c r="G1312" s="83">
        <v>8258</v>
      </c>
      <c r="I1312" s="38" t="str">
        <f>IF(H1312&gt;0,COUNTIF($H$16:H1312,"&gt;0"),"")</f>
        <v/>
      </c>
    </row>
    <row r="1313" spans="1:9" s="56" customFormat="1">
      <c r="A1313" s="69" t="s">
        <v>173</v>
      </c>
      <c r="B1313" s="69" t="s">
        <v>2586</v>
      </c>
      <c r="C1313" s="69" t="s">
        <v>2587</v>
      </c>
      <c r="D1313" s="69">
        <v>5055810039141</v>
      </c>
      <c r="E1313" s="69" t="s">
        <v>17</v>
      </c>
      <c r="F1313" s="69" t="s">
        <v>14</v>
      </c>
      <c r="G1313" s="83">
        <v>8258</v>
      </c>
      <c r="I1313" s="38" t="str">
        <f>IF(H1313&gt;0,COUNTIF($H$16:H1313,"&gt;0"),"")</f>
        <v/>
      </c>
    </row>
    <row r="1314" spans="1:9" s="56" customFormat="1">
      <c r="A1314" s="69" t="s">
        <v>173</v>
      </c>
      <c r="B1314" s="69" t="s">
        <v>2588</v>
      </c>
      <c r="C1314" s="69" t="s">
        <v>2589</v>
      </c>
      <c r="D1314" s="69">
        <v>5055810099428</v>
      </c>
      <c r="E1314" s="69" t="s">
        <v>17</v>
      </c>
      <c r="F1314" s="69" t="s">
        <v>14</v>
      </c>
      <c r="G1314" s="83">
        <v>8431</v>
      </c>
      <c r="I1314" s="38" t="str">
        <f>IF(H1314&gt;0,COUNTIF($H$16:H1314,"&gt;0"),"")</f>
        <v/>
      </c>
    </row>
    <row r="1315" spans="1:9" s="56" customFormat="1">
      <c r="A1315" s="69" t="s">
        <v>173</v>
      </c>
      <c r="B1315" s="69" t="s">
        <v>2590</v>
      </c>
      <c r="C1315" s="69" t="s">
        <v>2591</v>
      </c>
      <c r="D1315" s="69">
        <v>5055810056964</v>
      </c>
      <c r="E1315" s="69" t="s">
        <v>17</v>
      </c>
      <c r="F1315" s="69" t="s">
        <v>14</v>
      </c>
      <c r="G1315" s="83">
        <v>9123</v>
      </c>
      <c r="I1315" s="38" t="str">
        <f>IF(H1315&gt;0,COUNTIF($H$16:H1315,"&gt;0"),"")</f>
        <v/>
      </c>
    </row>
    <row r="1316" spans="1:9" s="56" customFormat="1">
      <c r="A1316" s="69" t="s">
        <v>173</v>
      </c>
      <c r="B1316" s="69" t="s">
        <v>2592</v>
      </c>
      <c r="C1316" s="69" t="s">
        <v>2593</v>
      </c>
      <c r="D1316" s="69">
        <v>5055810056971</v>
      </c>
      <c r="E1316" s="69" t="s">
        <v>17</v>
      </c>
      <c r="F1316" s="69" t="s">
        <v>14</v>
      </c>
      <c r="G1316" s="83">
        <v>9123</v>
      </c>
      <c r="I1316" s="38" t="str">
        <f>IF(H1316&gt;0,COUNTIF($H$16:H1316,"&gt;0"),"")</f>
        <v/>
      </c>
    </row>
    <row r="1317" spans="1:9" s="56" customFormat="1">
      <c r="A1317" s="69" t="s">
        <v>173</v>
      </c>
      <c r="B1317" s="69" t="s">
        <v>2594</v>
      </c>
      <c r="C1317" s="69" t="s">
        <v>2595</v>
      </c>
      <c r="D1317" s="69">
        <v>5055810056988</v>
      </c>
      <c r="E1317" s="69" t="s">
        <v>17</v>
      </c>
      <c r="F1317" s="69" t="s">
        <v>14</v>
      </c>
      <c r="G1317" s="83">
        <v>9123</v>
      </c>
      <c r="I1317" s="38" t="str">
        <f>IF(H1317&gt;0,COUNTIF($H$16:H1317,"&gt;0"),"")</f>
        <v/>
      </c>
    </row>
    <row r="1318" spans="1:9" s="56" customFormat="1">
      <c r="A1318" s="69" t="s">
        <v>173</v>
      </c>
      <c r="B1318" s="69" t="s">
        <v>2596</v>
      </c>
      <c r="C1318" s="69" t="s">
        <v>2597</v>
      </c>
      <c r="D1318" s="69">
        <v>5055810039165</v>
      </c>
      <c r="E1318" s="69" t="s">
        <v>17</v>
      </c>
      <c r="F1318" s="69" t="s">
        <v>14</v>
      </c>
      <c r="G1318" s="83">
        <v>8431</v>
      </c>
      <c r="I1318" s="38" t="str">
        <f>IF(H1318&gt;0,COUNTIF($H$16:H1318,"&gt;0"),"")</f>
        <v/>
      </c>
    </row>
    <row r="1319" spans="1:9" ht="15" customHeight="1">
      <c r="A1319" s="69" t="s">
        <v>176</v>
      </c>
      <c r="B1319" s="69" t="s">
        <v>2598</v>
      </c>
      <c r="C1319" s="69" t="s">
        <v>2599</v>
      </c>
      <c r="D1319" s="69">
        <v>3614272732308</v>
      </c>
      <c r="E1319" s="69" t="s">
        <v>42</v>
      </c>
      <c r="F1319" s="69" t="s">
        <v>14</v>
      </c>
      <c r="G1319" s="83">
        <v>85532</v>
      </c>
    </row>
    <row r="1320" spans="1:9" ht="15" customHeight="1">
      <c r="A1320" s="69" t="s">
        <v>176</v>
      </c>
      <c r="B1320" s="69" t="s">
        <v>177</v>
      </c>
      <c r="C1320" s="69" t="s">
        <v>178</v>
      </c>
      <c r="D1320" s="69">
        <v>3614272732209</v>
      </c>
      <c r="E1320" s="69" t="s">
        <v>13</v>
      </c>
      <c r="F1320" s="69" t="s">
        <v>14</v>
      </c>
      <c r="G1320" s="83">
        <v>85532</v>
      </c>
    </row>
    <row r="1321" spans="1:9" ht="15" customHeight="1">
      <c r="A1321" s="69" t="s">
        <v>176</v>
      </c>
      <c r="B1321" s="69" t="s">
        <v>179</v>
      </c>
      <c r="C1321" s="69" t="s">
        <v>180</v>
      </c>
      <c r="D1321" s="69">
        <v>3614272732230</v>
      </c>
      <c r="E1321" s="69" t="s">
        <v>13</v>
      </c>
      <c r="F1321" s="69" t="s">
        <v>14</v>
      </c>
      <c r="G1321" s="83">
        <v>62941</v>
      </c>
    </row>
    <row r="1322" spans="1:9" ht="15" customHeight="1">
      <c r="A1322" s="69" t="s">
        <v>181</v>
      </c>
      <c r="B1322" s="69" t="s">
        <v>182</v>
      </c>
      <c r="C1322" s="69" t="s">
        <v>183</v>
      </c>
      <c r="D1322" s="69">
        <v>2212241600003</v>
      </c>
      <c r="E1322" s="69" t="s">
        <v>17</v>
      </c>
      <c r="F1322" s="69" t="s">
        <v>14</v>
      </c>
      <c r="G1322" s="83">
        <v>34792</v>
      </c>
    </row>
    <row r="1323" spans="1:9" ht="15" customHeight="1">
      <c r="A1323" s="69" t="s">
        <v>184</v>
      </c>
      <c r="B1323" s="69" t="s">
        <v>2600</v>
      </c>
      <c r="C1323" s="69" t="s">
        <v>2601</v>
      </c>
      <c r="D1323" s="69">
        <v>8011003993826</v>
      </c>
      <c r="E1323" s="69" t="s">
        <v>42</v>
      </c>
      <c r="F1323" s="69" t="s">
        <v>14</v>
      </c>
      <c r="G1323" s="83">
        <v>52988</v>
      </c>
    </row>
    <row r="1324" spans="1:9" ht="15" customHeight="1">
      <c r="A1324" s="69" t="s">
        <v>184</v>
      </c>
      <c r="B1324" s="69" t="s">
        <v>2602</v>
      </c>
      <c r="C1324" s="69" t="s">
        <v>2603</v>
      </c>
      <c r="D1324" s="69">
        <v>8011003891061</v>
      </c>
      <c r="E1324" s="69" t="s">
        <v>42</v>
      </c>
      <c r="F1324" s="69" t="s">
        <v>14</v>
      </c>
      <c r="G1324" s="83">
        <v>66750</v>
      </c>
    </row>
    <row r="1325" spans="1:9" ht="15" customHeight="1">
      <c r="A1325" s="69" t="s">
        <v>184</v>
      </c>
      <c r="B1325" s="69" t="s">
        <v>2604</v>
      </c>
      <c r="C1325" s="69" t="s">
        <v>2605</v>
      </c>
      <c r="D1325" s="69">
        <v>8011003861224</v>
      </c>
      <c r="E1325" s="69" t="s">
        <v>13</v>
      </c>
      <c r="F1325" s="69" t="s">
        <v>14</v>
      </c>
      <c r="G1325" s="83">
        <v>53248</v>
      </c>
    </row>
    <row r="1326" spans="1:9" s="48" customFormat="1" ht="15" customHeight="1">
      <c r="A1326" s="69" t="s">
        <v>184</v>
      </c>
      <c r="B1326" s="69" t="s">
        <v>2606</v>
      </c>
      <c r="C1326" s="69" t="s">
        <v>2607</v>
      </c>
      <c r="D1326" s="69">
        <v>8011003809219</v>
      </c>
      <c r="E1326" s="69" t="s">
        <v>13</v>
      </c>
      <c r="F1326" s="69" t="s">
        <v>14</v>
      </c>
      <c r="G1326" s="83">
        <v>49785</v>
      </c>
      <c r="H1326" s="47"/>
      <c r="I1326" s="47" t="str">
        <f>IF(H1326&gt;0,COUNTIF($H$16:H1326,"&gt;0"),"")</f>
        <v/>
      </c>
    </row>
    <row r="1327" spans="1:9" ht="15" customHeight="1">
      <c r="A1327" s="69" t="s">
        <v>184</v>
      </c>
      <c r="B1327" s="69" t="s">
        <v>2608</v>
      </c>
      <c r="C1327" s="69" t="s">
        <v>2609</v>
      </c>
      <c r="D1327" s="69">
        <v>8011003890804</v>
      </c>
      <c r="E1327" s="69" t="s">
        <v>13</v>
      </c>
      <c r="F1327" s="69" t="s">
        <v>14</v>
      </c>
      <c r="G1327" s="83">
        <v>54546</v>
      </c>
    </row>
    <row r="1328" spans="1:9" ht="15" customHeight="1">
      <c r="A1328" s="69" t="s">
        <v>184</v>
      </c>
      <c r="B1328" s="69" t="s">
        <v>2610</v>
      </c>
      <c r="C1328" s="69" t="s">
        <v>2611</v>
      </c>
      <c r="D1328" s="69">
        <v>8011003890811</v>
      </c>
      <c r="E1328" s="69" t="s">
        <v>13</v>
      </c>
      <c r="F1328" s="69" t="s">
        <v>14</v>
      </c>
      <c r="G1328" s="83">
        <v>67875</v>
      </c>
    </row>
    <row r="1329" spans="1:7" ht="15" customHeight="1">
      <c r="A1329" s="69" t="s">
        <v>184</v>
      </c>
      <c r="B1329" s="69" t="s">
        <v>2612</v>
      </c>
      <c r="C1329" s="69" t="s">
        <v>2613</v>
      </c>
      <c r="D1329" s="69">
        <v>8011003845354</v>
      </c>
      <c r="E1329" s="69" t="s">
        <v>13</v>
      </c>
      <c r="F1329" s="69" t="s">
        <v>14</v>
      </c>
      <c r="G1329" s="83">
        <v>54546</v>
      </c>
    </row>
    <row r="1330" spans="1:7" ht="15" customHeight="1">
      <c r="A1330" s="69" t="s">
        <v>184</v>
      </c>
      <c r="B1330" s="69" t="s">
        <v>2614</v>
      </c>
      <c r="C1330" s="69" t="s">
        <v>2615</v>
      </c>
      <c r="D1330" s="69">
        <v>8011003895755</v>
      </c>
      <c r="E1330" s="69" t="s">
        <v>13</v>
      </c>
      <c r="F1330" s="69" t="s">
        <v>14</v>
      </c>
      <c r="G1330" s="83">
        <v>63375</v>
      </c>
    </row>
    <row r="1331" spans="1:7" ht="15" customHeight="1">
      <c r="A1331" s="69" t="s">
        <v>184</v>
      </c>
      <c r="B1331" s="69" t="s">
        <v>2616</v>
      </c>
      <c r="C1331" s="69" t="s">
        <v>2617</v>
      </c>
      <c r="D1331" s="69">
        <v>8011003872077</v>
      </c>
      <c r="E1331" s="69" t="s">
        <v>13</v>
      </c>
      <c r="F1331" s="69" t="s">
        <v>14</v>
      </c>
      <c r="G1331" s="83">
        <v>63375</v>
      </c>
    </row>
    <row r="1332" spans="1:7" ht="15" customHeight="1">
      <c r="A1332" s="69" t="s">
        <v>184</v>
      </c>
      <c r="B1332" s="69" t="s">
        <v>2618</v>
      </c>
      <c r="C1332" s="69" t="s">
        <v>2619</v>
      </c>
      <c r="D1332" s="69">
        <v>8011003877904</v>
      </c>
      <c r="E1332" s="69" t="s">
        <v>13</v>
      </c>
      <c r="F1332" s="69" t="s">
        <v>14</v>
      </c>
      <c r="G1332" s="83">
        <v>80339</v>
      </c>
    </row>
    <row r="1333" spans="1:7" ht="15" customHeight="1">
      <c r="A1333" s="69" t="s">
        <v>184</v>
      </c>
      <c r="B1333" s="69" t="s">
        <v>2620</v>
      </c>
      <c r="C1333" s="69" t="s">
        <v>2621</v>
      </c>
      <c r="D1333" s="69">
        <v>8011003832286</v>
      </c>
      <c r="E1333" s="69" t="s">
        <v>42</v>
      </c>
      <c r="F1333" s="69" t="s">
        <v>14</v>
      </c>
      <c r="G1333" s="83">
        <v>66750</v>
      </c>
    </row>
    <row r="1334" spans="1:7" ht="15" customHeight="1">
      <c r="A1334" s="69" t="s">
        <v>184</v>
      </c>
      <c r="B1334" s="69" t="s">
        <v>185</v>
      </c>
      <c r="C1334" s="69" t="s">
        <v>186</v>
      </c>
      <c r="D1334" s="69">
        <v>8011003907052</v>
      </c>
      <c r="E1334" s="69" t="s">
        <v>13</v>
      </c>
      <c r="F1334" s="69" t="s">
        <v>69</v>
      </c>
      <c r="G1334" s="83">
        <v>65538</v>
      </c>
    </row>
    <row r="1335" spans="1:7" ht="15" customHeight="1">
      <c r="A1335" s="69" t="s">
        <v>184</v>
      </c>
      <c r="B1335" s="69" t="s">
        <v>187</v>
      </c>
      <c r="C1335" s="69" t="s">
        <v>188</v>
      </c>
      <c r="D1335" s="69">
        <v>8011003907106</v>
      </c>
      <c r="E1335" s="69" t="s">
        <v>13</v>
      </c>
      <c r="F1335" s="69" t="s">
        <v>69</v>
      </c>
      <c r="G1335" s="83">
        <v>72982</v>
      </c>
    </row>
    <row r="1336" spans="1:7" ht="15" customHeight="1">
      <c r="A1336" s="69" t="s">
        <v>184</v>
      </c>
      <c r="B1336" s="69" t="s">
        <v>2622</v>
      </c>
      <c r="C1336" s="69" t="s">
        <v>2623</v>
      </c>
      <c r="D1336" s="69">
        <v>8011003907069</v>
      </c>
      <c r="E1336" s="69" t="s">
        <v>13</v>
      </c>
      <c r="F1336" s="69" t="s">
        <v>69</v>
      </c>
      <c r="G1336" s="83">
        <v>69260</v>
      </c>
    </row>
    <row r="1337" spans="1:7" ht="15" customHeight="1">
      <c r="A1337" s="69" t="s">
        <v>184</v>
      </c>
      <c r="B1337" s="69" t="s">
        <v>2624</v>
      </c>
      <c r="C1337" s="69" t="s">
        <v>2625</v>
      </c>
      <c r="D1337" s="69">
        <v>8011003819423</v>
      </c>
      <c r="E1337" s="69" t="s">
        <v>42</v>
      </c>
      <c r="F1337" s="69" t="s">
        <v>14</v>
      </c>
      <c r="G1337" s="83">
        <v>33841</v>
      </c>
    </row>
    <row r="1338" spans="1:7" ht="15" customHeight="1">
      <c r="A1338" s="69" t="s">
        <v>184</v>
      </c>
      <c r="B1338" s="69" t="s">
        <v>2626</v>
      </c>
      <c r="C1338" s="69" t="s">
        <v>2627</v>
      </c>
      <c r="D1338" s="69">
        <v>8011003803132</v>
      </c>
      <c r="E1338" s="69" t="s">
        <v>13</v>
      </c>
      <c r="F1338" s="69" t="s">
        <v>14</v>
      </c>
      <c r="G1338" s="83">
        <v>63375</v>
      </c>
    </row>
    <row r="1339" spans="1:7" ht="15" customHeight="1">
      <c r="A1339" s="69" t="s">
        <v>184</v>
      </c>
      <c r="B1339" s="69" t="s">
        <v>2628</v>
      </c>
      <c r="C1339" s="69" t="s">
        <v>2629</v>
      </c>
      <c r="D1339" s="69">
        <v>8011003813858</v>
      </c>
      <c r="E1339" s="69" t="s">
        <v>13</v>
      </c>
      <c r="F1339" s="69" t="s">
        <v>14</v>
      </c>
      <c r="G1339" s="83">
        <v>63375</v>
      </c>
    </row>
    <row r="1340" spans="1:7" ht="15" customHeight="1">
      <c r="A1340" s="69" t="s">
        <v>184</v>
      </c>
      <c r="B1340" s="69" t="s">
        <v>2630</v>
      </c>
      <c r="C1340" s="69" t="s">
        <v>2631</v>
      </c>
      <c r="D1340" s="69">
        <v>8011003861910</v>
      </c>
      <c r="E1340" s="69" t="s">
        <v>13</v>
      </c>
      <c r="F1340" s="69" t="s">
        <v>14</v>
      </c>
      <c r="G1340" s="83">
        <v>66750</v>
      </c>
    </row>
    <row r="1341" spans="1:7">
      <c r="A1341" s="69" t="s">
        <v>184</v>
      </c>
      <c r="B1341" s="69" t="s">
        <v>2632</v>
      </c>
      <c r="C1341" s="69" t="s">
        <v>2633</v>
      </c>
      <c r="D1341" s="69">
        <v>8018365500037</v>
      </c>
      <c r="E1341" s="69" t="s">
        <v>13</v>
      </c>
      <c r="F1341" s="69" t="s">
        <v>14</v>
      </c>
      <c r="G1341" s="83">
        <v>49439</v>
      </c>
    </row>
    <row r="1342" spans="1:7">
      <c r="A1342" s="69" t="s">
        <v>184</v>
      </c>
      <c r="B1342" s="69" t="s">
        <v>2634</v>
      </c>
      <c r="C1342" s="69" t="s">
        <v>2635</v>
      </c>
      <c r="D1342" s="69">
        <v>8011003801619</v>
      </c>
      <c r="E1342" s="69" t="s">
        <v>13</v>
      </c>
      <c r="F1342" s="69" t="s">
        <v>14</v>
      </c>
      <c r="G1342" s="83">
        <v>63375</v>
      </c>
    </row>
    <row r="1343" spans="1:7">
      <c r="A1343" s="69" t="s">
        <v>184</v>
      </c>
      <c r="B1343" s="69" t="s">
        <v>2636</v>
      </c>
      <c r="C1343" s="69" t="s">
        <v>2637</v>
      </c>
      <c r="D1343" s="69">
        <v>8011003825745</v>
      </c>
      <c r="E1343" s="69" t="s">
        <v>13</v>
      </c>
      <c r="F1343" s="69" t="s">
        <v>14</v>
      </c>
      <c r="G1343" s="83">
        <v>50131</v>
      </c>
    </row>
    <row r="1344" spans="1:7">
      <c r="A1344" s="69" t="s">
        <v>184</v>
      </c>
      <c r="B1344" s="69" t="s">
        <v>2638</v>
      </c>
      <c r="C1344" s="69" t="s">
        <v>2639</v>
      </c>
      <c r="D1344" s="69">
        <v>8011003826490</v>
      </c>
      <c r="E1344" s="69" t="s">
        <v>13</v>
      </c>
      <c r="F1344" s="69" t="s">
        <v>14</v>
      </c>
      <c r="G1344" s="83">
        <v>63375</v>
      </c>
    </row>
    <row r="1345" spans="1:9">
      <c r="A1345" s="69" t="s">
        <v>184</v>
      </c>
      <c r="B1345" s="69" t="s">
        <v>2640</v>
      </c>
      <c r="C1345" s="69" t="s">
        <v>2641</v>
      </c>
      <c r="D1345" s="69">
        <v>8011003995967</v>
      </c>
      <c r="E1345" s="69" t="s">
        <v>13</v>
      </c>
      <c r="F1345" s="69" t="s">
        <v>14</v>
      </c>
      <c r="G1345" s="83">
        <v>50131</v>
      </c>
    </row>
    <row r="1346" spans="1:9">
      <c r="A1346" s="69" t="s">
        <v>184</v>
      </c>
      <c r="B1346" s="69" t="s">
        <v>2642</v>
      </c>
      <c r="C1346" s="69" t="s">
        <v>2643</v>
      </c>
      <c r="D1346" s="69">
        <v>15914957174556</v>
      </c>
      <c r="E1346" s="69" t="s">
        <v>42</v>
      </c>
      <c r="F1346" s="69" t="s">
        <v>14</v>
      </c>
      <c r="G1346" s="83">
        <v>59999</v>
      </c>
    </row>
    <row r="1347" spans="1:9">
      <c r="A1347" s="69" t="s">
        <v>2644</v>
      </c>
      <c r="B1347" s="69" t="s">
        <v>2645</v>
      </c>
      <c r="C1347" s="69" t="s">
        <v>2646</v>
      </c>
      <c r="D1347" s="69">
        <v>3614274158113</v>
      </c>
      <c r="E1347" s="69" t="s">
        <v>13</v>
      </c>
      <c r="F1347" s="69" t="s">
        <v>14</v>
      </c>
      <c r="G1347" s="83">
        <v>61903</v>
      </c>
    </row>
    <row r="1348" spans="1:9">
      <c r="A1348" s="69" t="s">
        <v>189</v>
      </c>
      <c r="B1348" s="69" t="s">
        <v>2647</v>
      </c>
      <c r="C1348" s="69" t="s">
        <v>2648</v>
      </c>
      <c r="D1348" s="69">
        <v>8054320902553</v>
      </c>
      <c r="E1348" s="69" t="s">
        <v>17</v>
      </c>
      <c r="F1348" s="69" t="s">
        <v>14</v>
      </c>
      <c r="G1348" s="83">
        <v>156854</v>
      </c>
    </row>
    <row r="1349" spans="1:9">
      <c r="A1349" s="69" t="s">
        <v>189</v>
      </c>
      <c r="B1349" s="69" t="s">
        <v>190</v>
      </c>
      <c r="C1349" s="69" t="s">
        <v>191</v>
      </c>
      <c r="D1349" s="69">
        <v>8054320902584</v>
      </c>
      <c r="E1349" s="69" t="s">
        <v>17</v>
      </c>
      <c r="F1349" s="69" t="s">
        <v>14</v>
      </c>
      <c r="G1349" s="83">
        <v>147611</v>
      </c>
    </row>
    <row r="1350" spans="1:9">
      <c r="A1350" s="69" t="s">
        <v>189</v>
      </c>
      <c r="B1350" s="69" t="s">
        <v>192</v>
      </c>
      <c r="C1350" s="69" t="s">
        <v>193</v>
      </c>
      <c r="D1350" s="69">
        <v>8033488155070</v>
      </c>
      <c r="E1350" s="69" t="s">
        <v>17</v>
      </c>
      <c r="F1350" s="69" t="s">
        <v>14</v>
      </c>
      <c r="G1350" s="83">
        <v>147611</v>
      </c>
    </row>
    <row r="1351" spans="1:9">
      <c r="A1351" s="69" t="s">
        <v>189</v>
      </c>
      <c r="B1351" s="69" t="s">
        <v>2649</v>
      </c>
      <c r="C1351" s="69" t="s">
        <v>2650</v>
      </c>
      <c r="D1351" s="69">
        <v>8054320903093</v>
      </c>
      <c r="E1351" s="69" t="s">
        <v>17</v>
      </c>
      <c r="F1351" s="69" t="s">
        <v>14</v>
      </c>
      <c r="G1351" s="83">
        <v>114355</v>
      </c>
    </row>
    <row r="1352" spans="1:9">
      <c r="A1352" s="69" t="s">
        <v>194</v>
      </c>
      <c r="B1352" s="69" t="s">
        <v>2651</v>
      </c>
      <c r="C1352" s="69" t="s">
        <v>2652</v>
      </c>
      <c r="D1352" s="69">
        <v>3365440787971</v>
      </c>
      <c r="E1352" s="69" t="s">
        <v>42</v>
      </c>
      <c r="F1352" s="69" t="s">
        <v>14</v>
      </c>
      <c r="G1352" s="83">
        <v>87956</v>
      </c>
    </row>
    <row r="1353" spans="1:9">
      <c r="A1353" s="69" t="s">
        <v>194</v>
      </c>
      <c r="B1353" s="69" t="s">
        <v>2653</v>
      </c>
      <c r="C1353" s="69" t="s">
        <v>2654</v>
      </c>
      <c r="D1353" s="69">
        <v>3365440787919</v>
      </c>
      <c r="E1353" s="69" t="s">
        <v>42</v>
      </c>
      <c r="F1353" s="69" t="s">
        <v>14</v>
      </c>
      <c r="G1353" s="83">
        <v>61384</v>
      </c>
    </row>
    <row r="1354" spans="1:9">
      <c r="A1354" s="69" t="s">
        <v>194</v>
      </c>
      <c r="B1354" s="69" t="s">
        <v>2655</v>
      </c>
      <c r="C1354" s="69" t="s">
        <v>2656</v>
      </c>
      <c r="D1354" s="69">
        <v>3365440316560</v>
      </c>
      <c r="E1354" s="69" t="s">
        <v>13</v>
      </c>
      <c r="F1354" s="69" t="s">
        <v>14</v>
      </c>
      <c r="G1354" s="83">
        <v>65712</v>
      </c>
    </row>
    <row r="1355" spans="1:9" s="48" customFormat="1" ht="15" customHeight="1">
      <c r="A1355" s="44" t="s">
        <v>194</v>
      </c>
      <c r="B1355" s="44" t="s">
        <v>195</v>
      </c>
      <c r="C1355" s="45" t="s">
        <v>196</v>
      </c>
      <c r="D1355" s="46">
        <v>3365440328624</v>
      </c>
      <c r="E1355" s="44" t="s">
        <v>13</v>
      </c>
      <c r="F1355" s="44" t="s">
        <v>14</v>
      </c>
      <c r="G1355" s="85">
        <v>92460</v>
      </c>
      <c r="H1355" s="47"/>
      <c r="I1355" s="47" t="str">
        <f>IF(H1355&gt;0,COUNTIF($H$16:H1355,"&gt;0"),"")</f>
        <v/>
      </c>
    </row>
    <row r="1356" spans="1:9">
      <c r="A1356" s="69" t="s">
        <v>194</v>
      </c>
      <c r="B1356" s="69" t="s">
        <v>2657</v>
      </c>
      <c r="C1356" s="69" t="s">
        <v>2658</v>
      </c>
      <c r="D1356" s="69">
        <v>3614272648425</v>
      </c>
      <c r="E1356" s="69" t="s">
        <v>42</v>
      </c>
      <c r="F1356" s="69" t="s">
        <v>14</v>
      </c>
      <c r="G1356" s="83">
        <v>90726</v>
      </c>
    </row>
    <row r="1357" spans="1:9">
      <c r="A1357" s="69" t="s">
        <v>194</v>
      </c>
      <c r="B1357" s="69" t="s">
        <v>2659</v>
      </c>
      <c r="C1357" s="69" t="s">
        <v>2660</v>
      </c>
      <c r="D1357" s="69">
        <v>3614273069557</v>
      </c>
      <c r="E1357" s="69" t="s">
        <v>42</v>
      </c>
      <c r="F1357" s="69" t="s">
        <v>14</v>
      </c>
      <c r="G1357" s="83">
        <v>97218</v>
      </c>
    </row>
    <row r="1358" spans="1:9">
      <c r="A1358" s="69" t="s">
        <v>194</v>
      </c>
      <c r="B1358" s="69" t="s">
        <v>2661</v>
      </c>
      <c r="C1358" s="69">
        <v>3614272050341</v>
      </c>
      <c r="D1358" s="69">
        <v>3614272050341</v>
      </c>
      <c r="E1358" s="69" t="s">
        <v>13</v>
      </c>
      <c r="F1358" s="69" t="s">
        <v>14</v>
      </c>
      <c r="G1358" s="83">
        <v>67442</v>
      </c>
    </row>
    <row r="1359" spans="1:9">
      <c r="A1359" s="69" t="s">
        <v>194</v>
      </c>
      <c r="B1359" s="69" t="s">
        <v>2662</v>
      </c>
      <c r="C1359" s="69" t="s">
        <v>2663</v>
      </c>
      <c r="D1359" s="69">
        <v>3614274185317</v>
      </c>
      <c r="E1359" s="69" t="s">
        <v>42</v>
      </c>
      <c r="F1359" s="69" t="s">
        <v>14</v>
      </c>
      <c r="G1359" s="83">
        <v>39899</v>
      </c>
    </row>
    <row r="1360" spans="1:9">
      <c r="A1360" s="69" t="s">
        <v>194</v>
      </c>
      <c r="B1360" s="69" t="s">
        <v>2664</v>
      </c>
      <c r="C1360" s="69" t="s">
        <v>2665</v>
      </c>
      <c r="D1360" s="69">
        <v>3614274185300</v>
      </c>
      <c r="E1360" s="69" t="s">
        <v>42</v>
      </c>
      <c r="F1360" s="69" t="s">
        <v>14</v>
      </c>
      <c r="G1360" s="83">
        <v>59652</v>
      </c>
    </row>
    <row r="1361" spans="1:7">
      <c r="A1361" s="69" t="s">
        <v>194</v>
      </c>
      <c r="B1361" s="69" t="s">
        <v>2666</v>
      </c>
      <c r="C1361" s="69" t="s">
        <v>2667</v>
      </c>
      <c r="D1361" s="69">
        <v>3614274185294</v>
      </c>
      <c r="E1361" s="69" t="s">
        <v>42</v>
      </c>
      <c r="F1361" s="69" t="s">
        <v>14</v>
      </c>
      <c r="G1361" s="83">
        <v>81465</v>
      </c>
    </row>
    <row r="1362" spans="1:7">
      <c r="A1362" s="69" t="s">
        <v>194</v>
      </c>
      <c r="B1362" s="69" t="s">
        <v>2668</v>
      </c>
      <c r="C1362" s="69" t="s">
        <v>2669</v>
      </c>
      <c r="D1362" s="69">
        <v>3614274076585</v>
      </c>
      <c r="E1362" s="69" t="s">
        <v>42</v>
      </c>
      <c r="F1362" s="69" t="s">
        <v>14</v>
      </c>
      <c r="G1362" s="83">
        <v>47015</v>
      </c>
    </row>
    <row r="1363" spans="1:7">
      <c r="A1363" s="69" t="s">
        <v>194</v>
      </c>
      <c r="B1363" s="69" t="s">
        <v>2670</v>
      </c>
      <c r="C1363" s="69" t="s">
        <v>2671</v>
      </c>
      <c r="D1363" s="69">
        <v>3614274076202</v>
      </c>
      <c r="E1363" s="69" t="s">
        <v>42</v>
      </c>
      <c r="F1363" s="69" t="s">
        <v>14</v>
      </c>
      <c r="G1363" s="83">
        <v>99555</v>
      </c>
    </row>
    <row r="1364" spans="1:7">
      <c r="A1364" s="69" t="s">
        <v>194</v>
      </c>
      <c r="B1364" s="69" t="s">
        <v>2672</v>
      </c>
      <c r="C1364" s="69" t="s">
        <v>2673</v>
      </c>
      <c r="D1364" s="69">
        <v>3614274492330</v>
      </c>
      <c r="E1364" s="69" t="s">
        <v>13</v>
      </c>
      <c r="F1364" s="69" t="s">
        <v>14</v>
      </c>
      <c r="G1364" s="83">
        <v>69260</v>
      </c>
    </row>
    <row r="1365" spans="1:7">
      <c r="A1365" s="69" t="s">
        <v>194</v>
      </c>
      <c r="B1365" s="69" t="s">
        <v>2674</v>
      </c>
      <c r="C1365" s="69" t="s">
        <v>2675</v>
      </c>
      <c r="D1365" s="69">
        <v>3614274521368</v>
      </c>
      <c r="E1365" s="69" t="s">
        <v>42</v>
      </c>
      <c r="F1365" s="69" t="s">
        <v>14</v>
      </c>
      <c r="G1365" s="83">
        <v>58182</v>
      </c>
    </row>
    <row r="1366" spans="1:7">
      <c r="A1366" s="69" t="s">
        <v>194</v>
      </c>
      <c r="B1366" s="69" t="s">
        <v>2676</v>
      </c>
      <c r="C1366" s="69" t="s">
        <v>2677</v>
      </c>
      <c r="D1366" s="69">
        <v>3614274521245</v>
      </c>
      <c r="E1366" s="69" t="s">
        <v>42</v>
      </c>
      <c r="F1366" s="69" t="s">
        <v>14</v>
      </c>
      <c r="G1366" s="83">
        <v>79733</v>
      </c>
    </row>
    <row r="1367" spans="1:7">
      <c r="A1367" s="69" t="s">
        <v>194</v>
      </c>
      <c r="B1367" s="69" t="s">
        <v>2678</v>
      </c>
      <c r="C1367" s="69" t="s">
        <v>2679</v>
      </c>
      <c r="D1367" s="69">
        <v>3614274521238</v>
      </c>
      <c r="E1367" s="69" t="s">
        <v>42</v>
      </c>
      <c r="F1367" s="69" t="s">
        <v>14</v>
      </c>
      <c r="G1367" s="83">
        <v>108210</v>
      </c>
    </row>
    <row r="1368" spans="1:7">
      <c r="A1368" s="69" t="s">
        <v>194</v>
      </c>
      <c r="B1368" s="69" t="s">
        <v>2680</v>
      </c>
      <c r="C1368" s="69" t="s">
        <v>2681</v>
      </c>
      <c r="D1368" s="69">
        <v>3614274151145</v>
      </c>
      <c r="E1368" s="69" t="s">
        <v>42</v>
      </c>
      <c r="F1368" s="69" t="s">
        <v>14</v>
      </c>
      <c r="G1368" s="83">
        <v>52036</v>
      </c>
    </row>
    <row r="1369" spans="1:7">
      <c r="A1369" s="69" t="s">
        <v>194</v>
      </c>
      <c r="B1369" s="69" t="s">
        <v>2682</v>
      </c>
      <c r="C1369" s="69" t="s">
        <v>2683</v>
      </c>
      <c r="D1369" s="69">
        <v>3614274151701</v>
      </c>
      <c r="E1369" s="69" t="s">
        <v>42</v>
      </c>
      <c r="F1369" s="69" t="s">
        <v>14</v>
      </c>
      <c r="G1369" s="83">
        <v>96265</v>
      </c>
    </row>
    <row r="1370" spans="1:7">
      <c r="A1370" s="69" t="s">
        <v>194</v>
      </c>
      <c r="B1370" s="69" t="s">
        <v>2684</v>
      </c>
      <c r="C1370" s="69" t="s">
        <v>2685</v>
      </c>
      <c r="D1370" s="69">
        <v>3614274293845</v>
      </c>
      <c r="E1370" s="69" t="s">
        <v>42</v>
      </c>
      <c r="F1370" s="69" t="s">
        <v>14</v>
      </c>
      <c r="G1370" s="83">
        <v>71424</v>
      </c>
    </row>
    <row r="1371" spans="1:7">
      <c r="A1371" s="69" t="s">
        <v>194</v>
      </c>
      <c r="B1371" s="69" t="s">
        <v>2686</v>
      </c>
      <c r="C1371" s="69" t="s">
        <v>2687</v>
      </c>
      <c r="D1371" s="69">
        <v>3614274241006</v>
      </c>
      <c r="E1371" s="69" t="s">
        <v>42</v>
      </c>
      <c r="F1371" s="69" t="s">
        <v>14</v>
      </c>
      <c r="G1371" s="83">
        <v>96612</v>
      </c>
    </row>
    <row r="1372" spans="1:7">
      <c r="A1372" s="69" t="s">
        <v>194</v>
      </c>
      <c r="B1372" s="69" t="s">
        <v>2688</v>
      </c>
      <c r="C1372" s="69" t="s">
        <v>2689</v>
      </c>
      <c r="D1372" s="69">
        <v>3614273863360</v>
      </c>
      <c r="E1372" s="69" t="s">
        <v>42</v>
      </c>
      <c r="F1372" s="69" t="s">
        <v>14</v>
      </c>
      <c r="G1372" s="83">
        <v>95832</v>
      </c>
    </row>
    <row r="1373" spans="1:7">
      <c r="A1373" s="69" t="s">
        <v>194</v>
      </c>
      <c r="B1373" s="69" t="s">
        <v>2690</v>
      </c>
      <c r="C1373" s="69" t="s">
        <v>2691</v>
      </c>
      <c r="D1373" s="69">
        <v>3614272648401</v>
      </c>
      <c r="E1373" s="69" t="s">
        <v>42</v>
      </c>
      <c r="F1373" s="69" t="s">
        <v>14</v>
      </c>
      <c r="G1373" s="83">
        <v>49266</v>
      </c>
    </row>
    <row r="1374" spans="1:7">
      <c r="A1374" s="69" t="s">
        <v>194</v>
      </c>
      <c r="B1374" s="69" t="s">
        <v>2692</v>
      </c>
      <c r="C1374" s="69" t="s">
        <v>2693</v>
      </c>
      <c r="D1374" s="69">
        <v>3614273069540</v>
      </c>
      <c r="E1374" s="69" t="s">
        <v>42</v>
      </c>
      <c r="F1374" s="69" t="s">
        <v>14</v>
      </c>
      <c r="G1374" s="83">
        <v>77829</v>
      </c>
    </row>
    <row r="1375" spans="1:7">
      <c r="A1375" s="69" t="s">
        <v>194</v>
      </c>
      <c r="B1375" s="69" t="s">
        <v>2694</v>
      </c>
      <c r="C1375" s="69" t="s">
        <v>2695</v>
      </c>
      <c r="D1375" s="69">
        <v>3614273776134</v>
      </c>
      <c r="E1375" s="69" t="s">
        <v>42</v>
      </c>
      <c r="F1375" s="69" t="s">
        <v>14</v>
      </c>
      <c r="G1375" s="83">
        <v>56623</v>
      </c>
    </row>
    <row r="1376" spans="1:7">
      <c r="A1376" s="69" t="s">
        <v>194</v>
      </c>
      <c r="B1376" s="69" t="s">
        <v>2696</v>
      </c>
      <c r="C1376" s="69" t="s">
        <v>2697</v>
      </c>
      <c r="D1376" s="69">
        <v>3614273852814</v>
      </c>
      <c r="E1376" s="69" t="s">
        <v>13</v>
      </c>
      <c r="F1376" s="69" t="s">
        <v>14</v>
      </c>
      <c r="G1376" s="83">
        <v>96612</v>
      </c>
    </row>
    <row r="1377" spans="1:9">
      <c r="A1377" s="69" t="s">
        <v>194</v>
      </c>
      <c r="B1377" s="69" t="s">
        <v>2698</v>
      </c>
      <c r="C1377" s="69" t="s">
        <v>2699</v>
      </c>
      <c r="D1377" s="69">
        <v>3614273852821</v>
      </c>
      <c r="E1377" s="69" t="s">
        <v>13</v>
      </c>
      <c r="F1377" s="69" t="s">
        <v>14</v>
      </c>
      <c r="G1377" s="83">
        <v>70039</v>
      </c>
    </row>
    <row r="1378" spans="1:9" s="48" customFormat="1" ht="15" customHeight="1">
      <c r="A1378" s="69" t="s">
        <v>194</v>
      </c>
      <c r="B1378" s="69" t="s">
        <v>197</v>
      </c>
      <c r="C1378" s="69">
        <v>3614272050358</v>
      </c>
      <c r="D1378" s="69">
        <v>3614272050358</v>
      </c>
      <c r="E1378" s="69" t="s">
        <v>13</v>
      </c>
      <c r="F1378" s="69" t="s">
        <v>14</v>
      </c>
      <c r="G1378" s="83">
        <v>89168</v>
      </c>
      <c r="H1378" s="47"/>
      <c r="I1378" s="47" t="str">
        <f>IF(H1378&gt;0,COUNTIF($H$16:H1378,"&gt;0"),"")</f>
        <v/>
      </c>
    </row>
    <row r="1379" spans="1:9">
      <c r="A1379" s="69" t="s">
        <v>2700</v>
      </c>
      <c r="B1379" s="69" t="s">
        <v>2701</v>
      </c>
      <c r="C1379" s="69" t="s">
        <v>2702</v>
      </c>
      <c r="D1379" s="69">
        <v>6290362711292</v>
      </c>
      <c r="E1379" s="69" t="s">
        <v>17</v>
      </c>
      <c r="F1379" s="69" t="s">
        <v>14</v>
      </c>
      <c r="G1379" s="83">
        <v>47188</v>
      </c>
    </row>
    <row r="1380" spans="1:9">
      <c r="A1380" s="69" t="s">
        <v>2700</v>
      </c>
      <c r="B1380" s="69" t="s">
        <v>2703</v>
      </c>
      <c r="C1380" s="69" t="s">
        <v>2704</v>
      </c>
      <c r="D1380" s="69">
        <v>6290362711308</v>
      </c>
      <c r="E1380" s="69" t="s">
        <v>17</v>
      </c>
      <c r="F1380" s="69" t="s">
        <v>14</v>
      </c>
      <c r="G1380" s="83">
        <v>47188</v>
      </c>
    </row>
    <row r="1381" spans="1:9">
      <c r="A1381" s="69" t="s">
        <v>2705</v>
      </c>
      <c r="B1381" s="69" t="s">
        <v>2706</v>
      </c>
      <c r="C1381" s="69" t="s">
        <v>2707</v>
      </c>
      <c r="D1381" s="69">
        <v>6290171074892</v>
      </c>
      <c r="E1381" s="69" t="s">
        <v>17</v>
      </c>
      <c r="F1381" s="69" t="s">
        <v>14</v>
      </c>
      <c r="G1381" s="83">
        <v>14402</v>
      </c>
    </row>
    <row r="1382" spans="1:9">
      <c r="A1382" s="69" t="s">
        <v>2705</v>
      </c>
      <c r="B1382" s="69" t="s">
        <v>2708</v>
      </c>
      <c r="C1382" s="69" t="s">
        <v>2709</v>
      </c>
      <c r="D1382" s="69">
        <v>6290171074885</v>
      </c>
      <c r="E1382" s="69" t="s">
        <v>17</v>
      </c>
      <c r="F1382" s="69" t="s">
        <v>14</v>
      </c>
      <c r="G1382" s="83">
        <v>14402</v>
      </c>
    </row>
    <row r="1383" spans="1:9">
      <c r="A1383" s="69" t="s">
        <v>2705</v>
      </c>
      <c r="B1383" s="69" t="s">
        <v>2710</v>
      </c>
      <c r="C1383" s="69" t="s">
        <v>2711</v>
      </c>
      <c r="D1383" s="69">
        <v>6290171072874</v>
      </c>
      <c r="E1383" s="69" t="s">
        <v>17</v>
      </c>
      <c r="F1383" s="69" t="s">
        <v>14</v>
      </c>
      <c r="G1383" s="83">
        <v>13624</v>
      </c>
    </row>
    <row r="1384" spans="1:9">
      <c r="A1384" s="69" t="s">
        <v>2705</v>
      </c>
      <c r="B1384" s="69" t="s">
        <v>2712</v>
      </c>
      <c r="C1384" s="69" t="s">
        <v>2713</v>
      </c>
      <c r="D1384" s="69">
        <v>6290171074458</v>
      </c>
      <c r="E1384" s="69" t="s">
        <v>17</v>
      </c>
      <c r="F1384" s="69" t="s">
        <v>14</v>
      </c>
      <c r="G1384" s="83">
        <v>13624</v>
      </c>
    </row>
    <row r="1385" spans="1:9">
      <c r="A1385" s="69" t="s">
        <v>2705</v>
      </c>
      <c r="B1385" s="69" t="s">
        <v>2714</v>
      </c>
      <c r="C1385" s="69" t="s">
        <v>2715</v>
      </c>
      <c r="D1385" s="69">
        <v>6290171075189</v>
      </c>
      <c r="E1385" s="69" t="s">
        <v>17</v>
      </c>
      <c r="F1385" s="69" t="s">
        <v>14</v>
      </c>
      <c r="G1385" s="83">
        <v>14402</v>
      </c>
    </row>
    <row r="1386" spans="1:9">
      <c r="A1386" s="69" t="s">
        <v>2705</v>
      </c>
      <c r="B1386" s="69" t="s">
        <v>2716</v>
      </c>
      <c r="C1386" s="69" t="s">
        <v>2717</v>
      </c>
      <c r="D1386" s="69">
        <v>6290171075295</v>
      </c>
      <c r="E1386" s="69" t="s">
        <v>42</v>
      </c>
      <c r="F1386" s="69" t="s">
        <v>14</v>
      </c>
      <c r="G1386" s="83">
        <v>15701</v>
      </c>
    </row>
    <row r="1387" spans="1:9">
      <c r="A1387" s="69" t="s">
        <v>2705</v>
      </c>
      <c r="B1387" s="69" t="s">
        <v>2718</v>
      </c>
      <c r="C1387" s="69" t="s">
        <v>2719</v>
      </c>
      <c r="D1387" s="69">
        <v>6290171075301</v>
      </c>
      <c r="E1387" s="69" t="s">
        <v>17</v>
      </c>
      <c r="F1387" s="69" t="s">
        <v>14</v>
      </c>
      <c r="G1387" s="83">
        <v>15701</v>
      </c>
    </row>
    <row r="1388" spans="1:9">
      <c r="A1388" s="69" t="s">
        <v>2705</v>
      </c>
      <c r="B1388" s="69" t="s">
        <v>2720</v>
      </c>
      <c r="C1388" s="69" t="s">
        <v>2721</v>
      </c>
      <c r="D1388" s="69">
        <v>6290171072850</v>
      </c>
      <c r="E1388" s="69" t="s">
        <v>17</v>
      </c>
      <c r="F1388" s="69" t="s">
        <v>14</v>
      </c>
      <c r="G1388" s="83">
        <v>13624</v>
      </c>
    </row>
  </sheetData>
  <mergeCells count="2">
    <mergeCell ref="B3:G8"/>
    <mergeCell ref="A11:H12"/>
  </mergeCells>
  <dataValidations count="1">
    <dataValidation sqref="H537 H551:H552 H572:H573 H591 H607:H608 H1258:H1259 H1283 H1326 H1355 H1378 H14:H91" xr:uid="{00000000-0002-0000-0000-000000000000}">
      <formula1>0</formula1>
      <formula2>999</formula2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H1377"/>
  <sheetViews>
    <sheetView workbookViewId="0">
      <selection activeCell="A4" sqref="A4"/>
    </sheetView>
  </sheetViews>
  <sheetFormatPr baseColWidth="10" defaultColWidth="10.7109375" defaultRowHeight="15"/>
  <cols>
    <col min="1" max="1" width="28.140625" customWidth="1"/>
    <col min="2" max="2" width="56.7109375" customWidth="1"/>
    <col min="3" max="3" width="14" customWidth="1"/>
    <col min="4" max="4" width="16" style="67" customWidth="1"/>
    <col min="5" max="5" width="18" customWidth="1"/>
    <col min="6" max="6" width="13" customWidth="1"/>
    <col min="7" max="7" width="14" style="68" customWidth="1"/>
    <col min="8" max="8" width="12" style="67" customWidth="1"/>
    <col min="9" max="9" width="16" style="68" customWidth="1"/>
  </cols>
  <sheetData>
    <row r="1" spans="1:34">
      <c r="D1" s="66"/>
      <c r="G1" s="15"/>
    </row>
    <row r="2" spans="1:34" ht="15" customHeight="1">
      <c r="D2" s="66"/>
      <c r="G2" s="15"/>
    </row>
    <row r="3" spans="1:34" ht="31.5" customHeight="1">
      <c r="A3" s="2"/>
      <c r="B3" s="99" t="s">
        <v>2722</v>
      </c>
      <c r="C3" s="100"/>
      <c r="D3" s="100"/>
      <c r="E3" s="100"/>
      <c r="F3" s="100"/>
      <c r="G3" s="100"/>
      <c r="H3" s="101"/>
      <c r="I3"/>
    </row>
    <row r="4" spans="1:34" ht="21" customHeight="1">
      <c r="A4" s="2"/>
      <c r="B4" s="102"/>
      <c r="C4" s="103"/>
      <c r="D4" s="91"/>
      <c r="E4" s="91"/>
      <c r="F4" s="104"/>
      <c r="G4" s="103"/>
      <c r="H4" s="105"/>
      <c r="I4"/>
    </row>
    <row r="5" spans="1:34" ht="15.75" customHeight="1">
      <c r="A5" s="2"/>
      <c r="B5" s="102"/>
      <c r="C5" s="103"/>
      <c r="D5" s="91"/>
      <c r="E5" s="91"/>
      <c r="F5" s="104"/>
      <c r="G5" s="103"/>
      <c r="H5" s="105"/>
      <c r="I5"/>
    </row>
    <row r="6" spans="1:34" ht="15" customHeight="1">
      <c r="A6" s="2"/>
      <c r="B6" s="102"/>
      <c r="C6" s="103"/>
      <c r="D6" s="91"/>
      <c r="E6" s="91"/>
      <c r="F6" s="104"/>
      <c r="G6" s="103"/>
      <c r="H6" s="105"/>
      <c r="I6"/>
    </row>
    <row r="7" spans="1:34" ht="15" customHeight="1">
      <c r="A7" s="2"/>
      <c r="B7" s="102"/>
      <c r="C7" s="103"/>
      <c r="D7" s="91"/>
      <c r="E7" s="91"/>
      <c r="F7" s="104"/>
      <c r="G7" s="103"/>
      <c r="H7" s="105"/>
      <c r="I7"/>
    </row>
    <row r="8" spans="1:34" ht="15.75" customHeight="1">
      <c r="A8" s="2"/>
      <c r="B8" s="106"/>
      <c r="C8" s="107"/>
      <c r="D8" s="107"/>
      <c r="E8" s="107"/>
      <c r="F8" s="107"/>
      <c r="G8" s="107"/>
      <c r="H8" s="108"/>
      <c r="I8"/>
    </row>
    <row r="9" spans="1:34" ht="33.950000000000003" customHeight="1">
      <c r="A9" s="2"/>
      <c r="D9"/>
      <c r="G9"/>
      <c r="H9"/>
      <c r="I9"/>
    </row>
    <row r="10" spans="1:34" ht="15" customHeight="1">
      <c r="A10" s="7"/>
      <c r="B10" s="7"/>
      <c r="C10" s="7"/>
      <c r="D10" s="14"/>
      <c r="E10" s="7"/>
      <c r="F10" s="7"/>
      <c r="G10" s="16"/>
    </row>
    <row r="11" spans="1:34" ht="15" customHeight="1">
      <c r="A11" s="11" t="s">
        <v>2723</v>
      </c>
      <c r="B11" s="8"/>
      <c r="D11" s="110" t="s">
        <v>2724</v>
      </c>
      <c r="E11" s="101"/>
    </row>
    <row r="12" spans="1:34" ht="15.75" customHeight="1">
      <c r="A12" s="12" t="s">
        <v>2725</v>
      </c>
      <c r="B12" s="9"/>
      <c r="D12" s="106"/>
      <c r="E12" s="108"/>
    </row>
    <row r="13" spans="1:34" ht="15" customHeight="1">
      <c r="A13" s="12" t="s">
        <v>2726</v>
      </c>
      <c r="B13" s="9"/>
    </row>
    <row r="14" spans="1:34" ht="15.75" customHeight="1">
      <c r="A14" s="13" t="s">
        <v>2727</v>
      </c>
      <c r="B14" s="10"/>
    </row>
    <row r="15" spans="1:34" ht="15" customHeight="1">
      <c r="A15" s="17" t="s">
        <v>2</v>
      </c>
      <c r="B15" s="18" t="s">
        <v>3</v>
      </c>
      <c r="C15" s="18" t="s">
        <v>4</v>
      </c>
      <c r="D15" s="19" t="s">
        <v>5</v>
      </c>
      <c r="E15" s="18" t="s">
        <v>6</v>
      </c>
      <c r="F15" s="18" t="s">
        <v>7</v>
      </c>
      <c r="G15" s="20" t="s">
        <v>8</v>
      </c>
      <c r="H15" s="19" t="s">
        <v>9</v>
      </c>
      <c r="I15" s="21" t="s">
        <v>2728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>
      <c r="A16" s="22" t="str">
        <f>IFERROR(INDEX('LISTA DE PRECIOS'!A$16:A$1318,MATCH(1,'LISTA DE PRECIOS'!$I$16:$I$1318,0)),"")</f>
        <v/>
      </c>
      <c r="B16" s="23" t="str">
        <f>IFERROR(INDEX('LISTA DE PRECIOS'!B$16:B$1318,MATCH(1,'LISTA DE PRECIOS'!$I$16:$I$1318,0)),"")</f>
        <v/>
      </c>
      <c r="C16" s="23" t="str">
        <f>IFERROR(INDEX('LISTA DE PRECIOS'!C$16:C$1318,MATCH(1,'LISTA DE PRECIOS'!$I$16:$I$1318,0)),"")</f>
        <v/>
      </c>
      <c r="D16" s="24" t="str">
        <f>IFERROR(INDEX('LISTA DE PRECIOS'!D$16:D$1318,MATCH(1,'LISTA DE PRECIOS'!$I$16:$I$1318,0)),"")</f>
        <v/>
      </c>
      <c r="E16" s="23" t="str">
        <f>IFERROR(INDEX('LISTA DE PRECIOS'!E$16:E$1318,MATCH(1,'LISTA DE PRECIOS'!$I$16:$I$1318,0)),"")</f>
        <v/>
      </c>
      <c r="F16" s="23" t="str">
        <f>IFERROR(INDEX('LISTA DE PRECIOS'!F$16:F$1318,MATCH(1,'LISTA DE PRECIOS'!$I$16:$I$1318,0)),"")</f>
        <v/>
      </c>
      <c r="G16" s="25" t="str">
        <f>IFERROR(INDEX('LISTA DE PRECIOS'!G$16:G$1318,MATCH(1,'LISTA DE PRECIOS'!$I$16:$I$1318,0)),"")</f>
        <v/>
      </c>
      <c r="H16" s="26" t="str">
        <f>IFERROR(INDEX('LISTA DE PRECIOS'!H$16:H$1318,MATCH(1,'LISTA DE PRECIOS'!$I$16:$I$1318,0)),"")</f>
        <v/>
      </c>
      <c r="I16" s="27" t="str">
        <f t="shared" ref="I16:I47" si="0">IF(OR(G16="",H16=""),"",G16*H16)</f>
        <v/>
      </c>
    </row>
    <row r="17" spans="1:9">
      <c r="A17" s="22" t="str">
        <f>IFERROR(INDEX('LISTA DE PRECIOS'!A$16:A$1318,MATCH(2,'LISTA DE PRECIOS'!$I$16:$I$1318,0)),"")</f>
        <v/>
      </c>
      <c r="B17" s="23" t="str">
        <f>IFERROR(INDEX('LISTA DE PRECIOS'!B$16:B$1318,MATCH(2,'LISTA DE PRECIOS'!$I$16:$I$1318,0)),"")</f>
        <v/>
      </c>
      <c r="C17" s="23" t="str">
        <f>IFERROR(INDEX('LISTA DE PRECIOS'!C$16:C$1318,MATCH(2,'LISTA DE PRECIOS'!$I$16:$I$1318,0)),"")</f>
        <v/>
      </c>
      <c r="D17" s="24" t="str">
        <f>IFERROR(INDEX('LISTA DE PRECIOS'!D$16:D$1318,MATCH(2,'LISTA DE PRECIOS'!$I$16:$I$1318,0)),"")</f>
        <v/>
      </c>
      <c r="E17" s="23" t="str">
        <f>IFERROR(INDEX('LISTA DE PRECIOS'!E$16:E$1318,MATCH(2,'LISTA DE PRECIOS'!$I$16:$I$1318,0)),"")</f>
        <v/>
      </c>
      <c r="F17" s="23" t="str">
        <f>IFERROR(INDEX('LISTA DE PRECIOS'!F$16:F$1318,MATCH(2,'LISTA DE PRECIOS'!$I$16:$I$1318,0)),"")</f>
        <v/>
      </c>
      <c r="G17" s="25" t="str">
        <f>IFERROR(INDEX('LISTA DE PRECIOS'!G$16:G$1318,MATCH(2,'LISTA DE PRECIOS'!$I$16:$I$1318,0)),"")</f>
        <v/>
      </c>
      <c r="H17" s="26" t="str">
        <f>IFERROR(INDEX('LISTA DE PRECIOS'!H$16:H$1318,MATCH(2,'LISTA DE PRECIOS'!$I$16:$I$1318,0)),"")</f>
        <v/>
      </c>
      <c r="I17" s="27" t="str">
        <f t="shared" si="0"/>
        <v/>
      </c>
    </row>
    <row r="18" spans="1:9">
      <c r="A18" s="22" t="str">
        <f>IFERROR(INDEX('LISTA DE PRECIOS'!A$16:A$1318,MATCH(3,'LISTA DE PRECIOS'!$I$16:$I$1318,0)),"")</f>
        <v/>
      </c>
      <c r="B18" s="23" t="str">
        <f>IFERROR(INDEX('LISTA DE PRECIOS'!B$16:B$1318,MATCH(3,'LISTA DE PRECIOS'!$I$16:$I$1318,0)),"")</f>
        <v/>
      </c>
      <c r="C18" s="23" t="str">
        <f>IFERROR(INDEX('LISTA DE PRECIOS'!C$16:C$1318,MATCH(3,'LISTA DE PRECIOS'!$I$16:$I$1318,0)),"")</f>
        <v/>
      </c>
      <c r="D18" s="24" t="str">
        <f>IFERROR(INDEX('LISTA DE PRECIOS'!D$16:D$1318,MATCH(3,'LISTA DE PRECIOS'!$I$16:$I$1318,0)),"")</f>
        <v/>
      </c>
      <c r="E18" s="23" t="str">
        <f>IFERROR(INDEX('LISTA DE PRECIOS'!E$16:E$1318,MATCH(3,'LISTA DE PRECIOS'!$I$16:$I$1318,0)),"")</f>
        <v/>
      </c>
      <c r="F18" s="23" t="str">
        <f>IFERROR(INDEX('LISTA DE PRECIOS'!F$16:F$1318,MATCH(3,'LISTA DE PRECIOS'!$I$16:$I$1318,0)),"")</f>
        <v/>
      </c>
      <c r="G18" s="25" t="str">
        <f>IFERROR(INDEX('LISTA DE PRECIOS'!G$16:G$1318,MATCH(3,'LISTA DE PRECIOS'!$I$16:$I$1318,0)),"")</f>
        <v/>
      </c>
      <c r="H18" s="26" t="str">
        <f>IFERROR(INDEX('LISTA DE PRECIOS'!H$16:H$1318,MATCH(3,'LISTA DE PRECIOS'!$I$16:$I$1318,0)),"")</f>
        <v/>
      </c>
      <c r="I18" s="27" t="str">
        <f t="shared" si="0"/>
        <v/>
      </c>
    </row>
    <row r="19" spans="1:9">
      <c r="A19" s="22" t="str">
        <f>IFERROR(INDEX('LISTA DE PRECIOS'!A$16:A$1318,MATCH(4,'LISTA DE PRECIOS'!$I$16:$I$1318,0)),"")</f>
        <v/>
      </c>
      <c r="B19" s="23" t="str">
        <f>IFERROR(INDEX('LISTA DE PRECIOS'!B$16:B$1318,MATCH(4,'LISTA DE PRECIOS'!$I$16:$I$1318,0)),"")</f>
        <v/>
      </c>
      <c r="C19" s="23" t="str">
        <f>IFERROR(INDEX('LISTA DE PRECIOS'!C$16:C$1318,MATCH(4,'LISTA DE PRECIOS'!$I$16:$I$1318,0)),"")</f>
        <v/>
      </c>
      <c r="D19" s="24" t="str">
        <f>IFERROR(INDEX('LISTA DE PRECIOS'!D$16:D$1318,MATCH(4,'LISTA DE PRECIOS'!$I$16:$I$1318,0)),"")</f>
        <v/>
      </c>
      <c r="E19" s="23" t="str">
        <f>IFERROR(INDEX('LISTA DE PRECIOS'!E$16:E$1318,MATCH(4,'LISTA DE PRECIOS'!$I$16:$I$1318,0)),"")</f>
        <v/>
      </c>
      <c r="F19" s="23" t="str">
        <f>IFERROR(INDEX('LISTA DE PRECIOS'!F$16:F$1318,MATCH(4,'LISTA DE PRECIOS'!$I$16:$I$1318,0)),"")</f>
        <v/>
      </c>
      <c r="G19" s="25" t="str">
        <f>IFERROR(INDEX('LISTA DE PRECIOS'!G$16:G$1318,MATCH(4,'LISTA DE PRECIOS'!$I$16:$I$1318,0)),"")</f>
        <v/>
      </c>
      <c r="H19" s="26" t="str">
        <f>IFERROR(INDEX('LISTA DE PRECIOS'!H$16:H$1318,MATCH(4,'LISTA DE PRECIOS'!$I$16:$I$1318,0)),"")</f>
        <v/>
      </c>
      <c r="I19" s="27" t="str">
        <f t="shared" si="0"/>
        <v/>
      </c>
    </row>
    <row r="20" spans="1:9">
      <c r="A20" s="22" t="str">
        <f>IFERROR(INDEX('LISTA DE PRECIOS'!A$16:A$1318,MATCH(5,'LISTA DE PRECIOS'!$I$16:$I$1318,0)),"")</f>
        <v/>
      </c>
      <c r="B20" s="23" t="str">
        <f>IFERROR(INDEX('LISTA DE PRECIOS'!B$16:B$1318,MATCH(5,'LISTA DE PRECIOS'!$I$16:$I$1318,0)),"")</f>
        <v/>
      </c>
      <c r="C20" s="23" t="str">
        <f>IFERROR(INDEX('LISTA DE PRECIOS'!C$16:C$1318,MATCH(5,'LISTA DE PRECIOS'!$I$16:$I$1318,0)),"")</f>
        <v/>
      </c>
      <c r="D20" s="24" t="str">
        <f>IFERROR(INDEX('LISTA DE PRECIOS'!D$16:D$1318,MATCH(5,'LISTA DE PRECIOS'!$I$16:$I$1318,0)),"")</f>
        <v/>
      </c>
      <c r="E20" s="23" t="str">
        <f>IFERROR(INDEX('LISTA DE PRECIOS'!E$16:E$1318,MATCH(5,'LISTA DE PRECIOS'!$I$16:$I$1318,0)),"")</f>
        <v/>
      </c>
      <c r="F20" s="23" t="str">
        <f>IFERROR(INDEX('LISTA DE PRECIOS'!F$16:F$1318,MATCH(5,'LISTA DE PRECIOS'!$I$16:$I$1318,0)),"")</f>
        <v/>
      </c>
      <c r="G20" s="25" t="str">
        <f>IFERROR(INDEX('LISTA DE PRECIOS'!G$16:G$1318,MATCH(5,'LISTA DE PRECIOS'!$I$16:$I$1318,0)),"")</f>
        <v/>
      </c>
      <c r="H20" s="26" t="str">
        <f>IFERROR(INDEX('LISTA DE PRECIOS'!H$16:H$1318,MATCH(5,'LISTA DE PRECIOS'!$I$16:$I$1318,0)),"")</f>
        <v/>
      </c>
      <c r="I20" s="27" t="str">
        <f t="shared" si="0"/>
        <v/>
      </c>
    </row>
    <row r="21" spans="1:9">
      <c r="A21" s="22" t="str">
        <f>IFERROR(INDEX('LISTA DE PRECIOS'!A$16:A$1318,MATCH(6,'LISTA DE PRECIOS'!$I$16:$I$1318,0)),"")</f>
        <v/>
      </c>
      <c r="B21" s="23" t="str">
        <f>IFERROR(INDEX('LISTA DE PRECIOS'!B$16:B$1318,MATCH(6,'LISTA DE PRECIOS'!$I$16:$I$1318,0)),"")</f>
        <v/>
      </c>
      <c r="C21" s="23" t="str">
        <f>IFERROR(INDEX('LISTA DE PRECIOS'!C$16:C$1318,MATCH(6,'LISTA DE PRECIOS'!$I$16:$I$1318,0)),"")</f>
        <v/>
      </c>
      <c r="D21" s="24" t="str">
        <f>IFERROR(INDEX('LISTA DE PRECIOS'!D$16:D$1318,MATCH(6,'LISTA DE PRECIOS'!$I$16:$I$1318,0)),"")</f>
        <v/>
      </c>
      <c r="E21" s="23" t="str">
        <f>IFERROR(INDEX('LISTA DE PRECIOS'!E$16:E$1318,MATCH(6,'LISTA DE PRECIOS'!$I$16:$I$1318,0)),"")</f>
        <v/>
      </c>
      <c r="F21" s="23" t="str">
        <f>IFERROR(INDEX('LISTA DE PRECIOS'!F$16:F$1318,MATCH(6,'LISTA DE PRECIOS'!$I$16:$I$1318,0)),"")</f>
        <v/>
      </c>
      <c r="G21" s="25" t="str">
        <f>IFERROR(INDEX('LISTA DE PRECIOS'!G$16:G$1318,MATCH(6,'LISTA DE PRECIOS'!$I$16:$I$1318,0)),"")</f>
        <v/>
      </c>
      <c r="H21" s="26" t="str">
        <f>IFERROR(INDEX('LISTA DE PRECIOS'!H$16:H$1318,MATCH(6,'LISTA DE PRECIOS'!$I$16:$I$1318,0)),"")</f>
        <v/>
      </c>
      <c r="I21" s="27" t="str">
        <f t="shared" si="0"/>
        <v/>
      </c>
    </row>
    <row r="22" spans="1:9">
      <c r="A22" s="22" t="str">
        <f>IFERROR(INDEX('LISTA DE PRECIOS'!A$16:A$1318,MATCH(7,'LISTA DE PRECIOS'!$I$16:$I$1318,0)),"")</f>
        <v/>
      </c>
      <c r="B22" s="23" t="str">
        <f>IFERROR(INDEX('LISTA DE PRECIOS'!B$16:B$1318,MATCH(7,'LISTA DE PRECIOS'!$I$16:$I$1318,0)),"")</f>
        <v/>
      </c>
      <c r="C22" s="23" t="str">
        <f>IFERROR(INDEX('LISTA DE PRECIOS'!C$16:C$1318,MATCH(7,'LISTA DE PRECIOS'!$I$16:$I$1318,0)),"")</f>
        <v/>
      </c>
      <c r="D22" s="24" t="str">
        <f>IFERROR(INDEX('LISTA DE PRECIOS'!D$16:D$1318,MATCH(7,'LISTA DE PRECIOS'!$I$16:$I$1318,0)),"")</f>
        <v/>
      </c>
      <c r="E22" s="23" t="str">
        <f>IFERROR(INDEX('LISTA DE PRECIOS'!E$16:E$1318,MATCH(7,'LISTA DE PRECIOS'!$I$16:$I$1318,0)),"")</f>
        <v/>
      </c>
      <c r="F22" s="23" t="str">
        <f>IFERROR(INDEX('LISTA DE PRECIOS'!F$16:F$1318,MATCH(7,'LISTA DE PRECIOS'!$I$16:$I$1318,0)),"")</f>
        <v/>
      </c>
      <c r="G22" s="25" t="str">
        <f>IFERROR(INDEX('LISTA DE PRECIOS'!G$16:G$1318,MATCH(7,'LISTA DE PRECIOS'!$I$16:$I$1318,0)),"")</f>
        <v/>
      </c>
      <c r="H22" s="26" t="str">
        <f>IFERROR(INDEX('LISTA DE PRECIOS'!H$16:H$1318,MATCH(7,'LISTA DE PRECIOS'!$I$16:$I$1318,0)),"")</f>
        <v/>
      </c>
      <c r="I22" s="27" t="str">
        <f t="shared" si="0"/>
        <v/>
      </c>
    </row>
    <row r="23" spans="1:9">
      <c r="A23" s="22" t="str">
        <f>IFERROR(INDEX('LISTA DE PRECIOS'!A$16:A$1318,MATCH(8,'LISTA DE PRECIOS'!$I$16:$I$1318,0)),"")</f>
        <v/>
      </c>
      <c r="B23" s="23" t="str">
        <f>IFERROR(INDEX('LISTA DE PRECIOS'!B$16:B$1318,MATCH(8,'LISTA DE PRECIOS'!$I$16:$I$1318,0)),"")</f>
        <v/>
      </c>
      <c r="C23" s="23" t="str">
        <f>IFERROR(INDEX('LISTA DE PRECIOS'!C$16:C$1318,MATCH(8,'LISTA DE PRECIOS'!$I$16:$I$1318,0)),"")</f>
        <v/>
      </c>
      <c r="D23" s="24" t="str">
        <f>IFERROR(INDEX('LISTA DE PRECIOS'!D$16:D$1318,MATCH(8,'LISTA DE PRECIOS'!$I$16:$I$1318,0)),"")</f>
        <v/>
      </c>
      <c r="E23" s="23" t="str">
        <f>IFERROR(INDEX('LISTA DE PRECIOS'!E$16:E$1318,MATCH(8,'LISTA DE PRECIOS'!$I$16:$I$1318,0)),"")</f>
        <v/>
      </c>
      <c r="F23" s="23" t="str">
        <f>IFERROR(INDEX('LISTA DE PRECIOS'!F$16:F$1318,MATCH(8,'LISTA DE PRECIOS'!$I$16:$I$1318,0)),"")</f>
        <v/>
      </c>
      <c r="G23" s="25" t="str">
        <f>IFERROR(INDEX('LISTA DE PRECIOS'!G$16:G$1318,MATCH(8,'LISTA DE PRECIOS'!$I$16:$I$1318,0)),"")</f>
        <v/>
      </c>
      <c r="H23" s="26" t="str">
        <f>IFERROR(INDEX('LISTA DE PRECIOS'!H$16:H$1318,MATCH(8,'LISTA DE PRECIOS'!$I$16:$I$1318,0)),"")</f>
        <v/>
      </c>
      <c r="I23" s="27" t="str">
        <f t="shared" si="0"/>
        <v/>
      </c>
    </row>
    <row r="24" spans="1:9">
      <c r="A24" s="22" t="str">
        <f>IFERROR(INDEX('LISTA DE PRECIOS'!A$16:A$1318,MATCH(9,'LISTA DE PRECIOS'!$I$16:$I$1318,0)),"")</f>
        <v/>
      </c>
      <c r="B24" s="23" t="str">
        <f>IFERROR(INDEX('LISTA DE PRECIOS'!B$16:B$1318,MATCH(9,'LISTA DE PRECIOS'!$I$16:$I$1318,0)),"")</f>
        <v/>
      </c>
      <c r="C24" s="23" t="str">
        <f>IFERROR(INDEX('LISTA DE PRECIOS'!C$16:C$1318,MATCH(9,'LISTA DE PRECIOS'!$I$16:$I$1318,0)),"")</f>
        <v/>
      </c>
      <c r="D24" s="24" t="str">
        <f>IFERROR(INDEX('LISTA DE PRECIOS'!D$16:D$1318,MATCH(9,'LISTA DE PRECIOS'!$I$16:$I$1318,0)),"")</f>
        <v/>
      </c>
      <c r="E24" s="23" t="str">
        <f>IFERROR(INDEX('LISTA DE PRECIOS'!E$16:E$1318,MATCH(9,'LISTA DE PRECIOS'!$I$16:$I$1318,0)),"")</f>
        <v/>
      </c>
      <c r="F24" s="23" t="str">
        <f>IFERROR(INDEX('LISTA DE PRECIOS'!F$16:F$1318,MATCH(9,'LISTA DE PRECIOS'!$I$16:$I$1318,0)),"")</f>
        <v/>
      </c>
      <c r="G24" s="25" t="str">
        <f>IFERROR(INDEX('LISTA DE PRECIOS'!G$16:G$1318,MATCH(9,'LISTA DE PRECIOS'!$I$16:$I$1318,0)),"")</f>
        <v/>
      </c>
      <c r="H24" s="26" t="str">
        <f>IFERROR(INDEX('LISTA DE PRECIOS'!H$16:H$1318,MATCH(9,'LISTA DE PRECIOS'!$I$16:$I$1318,0)),"")</f>
        <v/>
      </c>
      <c r="I24" s="27" t="str">
        <f t="shared" si="0"/>
        <v/>
      </c>
    </row>
    <row r="25" spans="1:9">
      <c r="A25" s="22" t="str">
        <f>IFERROR(INDEX('LISTA DE PRECIOS'!A$16:A$1318,MATCH(10,'LISTA DE PRECIOS'!$I$16:$I$1318,0)),"")</f>
        <v/>
      </c>
      <c r="B25" s="23" t="str">
        <f>IFERROR(INDEX('LISTA DE PRECIOS'!B$16:B$1318,MATCH(10,'LISTA DE PRECIOS'!$I$16:$I$1318,0)),"")</f>
        <v/>
      </c>
      <c r="C25" s="23" t="str">
        <f>IFERROR(INDEX('LISTA DE PRECIOS'!C$16:C$1318,MATCH(10,'LISTA DE PRECIOS'!$I$16:$I$1318,0)),"")</f>
        <v/>
      </c>
      <c r="D25" s="24" t="str">
        <f>IFERROR(INDEX('LISTA DE PRECIOS'!D$16:D$1318,MATCH(10,'LISTA DE PRECIOS'!$I$16:$I$1318,0)),"")</f>
        <v/>
      </c>
      <c r="E25" s="23" t="str">
        <f>IFERROR(INDEX('LISTA DE PRECIOS'!E$16:E$1318,MATCH(10,'LISTA DE PRECIOS'!$I$16:$I$1318,0)),"")</f>
        <v/>
      </c>
      <c r="F25" s="23" t="str">
        <f>IFERROR(INDEX('LISTA DE PRECIOS'!F$16:F$1318,MATCH(10,'LISTA DE PRECIOS'!$I$16:$I$1318,0)),"")</f>
        <v/>
      </c>
      <c r="G25" s="25" t="str">
        <f>IFERROR(INDEX('LISTA DE PRECIOS'!G$16:G$1318,MATCH(10,'LISTA DE PRECIOS'!$I$16:$I$1318,0)),"")</f>
        <v/>
      </c>
      <c r="H25" s="26" t="str">
        <f>IFERROR(INDEX('LISTA DE PRECIOS'!H$16:H$1318,MATCH(10,'LISTA DE PRECIOS'!$I$16:$I$1318,0)),"")</f>
        <v/>
      </c>
      <c r="I25" s="27" t="str">
        <f t="shared" si="0"/>
        <v/>
      </c>
    </row>
    <row r="26" spans="1:9">
      <c r="A26" s="22" t="str">
        <f>IFERROR(INDEX('LISTA DE PRECIOS'!A$16:A$1318,MATCH(11,'LISTA DE PRECIOS'!$I$16:$I$1318,0)),"")</f>
        <v/>
      </c>
      <c r="B26" s="23" t="str">
        <f>IFERROR(INDEX('LISTA DE PRECIOS'!B$16:B$1318,MATCH(11,'LISTA DE PRECIOS'!$I$16:$I$1318,0)),"")</f>
        <v/>
      </c>
      <c r="C26" s="23" t="str">
        <f>IFERROR(INDEX('LISTA DE PRECIOS'!C$16:C$1318,MATCH(11,'LISTA DE PRECIOS'!$I$16:$I$1318,0)),"")</f>
        <v/>
      </c>
      <c r="D26" s="24" t="str">
        <f>IFERROR(INDEX('LISTA DE PRECIOS'!D$16:D$1318,MATCH(11,'LISTA DE PRECIOS'!$I$16:$I$1318,0)),"")</f>
        <v/>
      </c>
      <c r="E26" s="23" t="str">
        <f>IFERROR(INDEX('LISTA DE PRECIOS'!E$16:E$1318,MATCH(11,'LISTA DE PRECIOS'!$I$16:$I$1318,0)),"")</f>
        <v/>
      </c>
      <c r="F26" s="23" t="str">
        <f>IFERROR(INDEX('LISTA DE PRECIOS'!F$16:F$1318,MATCH(11,'LISTA DE PRECIOS'!$I$16:$I$1318,0)),"")</f>
        <v/>
      </c>
      <c r="G26" s="25" t="str">
        <f>IFERROR(INDEX('LISTA DE PRECIOS'!G$16:G$1318,MATCH(11,'LISTA DE PRECIOS'!$I$16:$I$1318,0)),"")</f>
        <v/>
      </c>
      <c r="H26" s="26" t="str">
        <f>IFERROR(INDEX('LISTA DE PRECIOS'!H$16:H$1318,MATCH(11,'LISTA DE PRECIOS'!$I$16:$I$1318,0)),"")</f>
        <v/>
      </c>
      <c r="I26" s="27" t="str">
        <f t="shared" si="0"/>
        <v/>
      </c>
    </row>
    <row r="27" spans="1:9">
      <c r="A27" s="22" t="str">
        <f>IFERROR(INDEX('LISTA DE PRECIOS'!A$16:A$1318,MATCH(12,'LISTA DE PRECIOS'!$I$16:$I$1318,0)),"")</f>
        <v/>
      </c>
      <c r="B27" s="23" t="str">
        <f>IFERROR(INDEX('LISTA DE PRECIOS'!B$16:B$1318,MATCH(12,'LISTA DE PRECIOS'!$I$16:$I$1318,0)),"")</f>
        <v/>
      </c>
      <c r="C27" s="23" t="str">
        <f>IFERROR(INDEX('LISTA DE PRECIOS'!C$16:C$1318,MATCH(12,'LISTA DE PRECIOS'!$I$16:$I$1318,0)),"")</f>
        <v/>
      </c>
      <c r="D27" s="24" t="str">
        <f>IFERROR(INDEX('LISTA DE PRECIOS'!D$16:D$1318,MATCH(12,'LISTA DE PRECIOS'!$I$16:$I$1318,0)),"")</f>
        <v/>
      </c>
      <c r="E27" s="23" t="str">
        <f>IFERROR(INDEX('LISTA DE PRECIOS'!E$16:E$1318,MATCH(12,'LISTA DE PRECIOS'!$I$16:$I$1318,0)),"")</f>
        <v/>
      </c>
      <c r="F27" s="23" t="str">
        <f>IFERROR(INDEX('LISTA DE PRECIOS'!F$16:F$1318,MATCH(12,'LISTA DE PRECIOS'!$I$16:$I$1318,0)),"")</f>
        <v/>
      </c>
      <c r="G27" s="25" t="str">
        <f>IFERROR(INDEX('LISTA DE PRECIOS'!G$16:G$1318,MATCH(12,'LISTA DE PRECIOS'!$I$16:$I$1318,0)),"")</f>
        <v/>
      </c>
      <c r="H27" s="26" t="str">
        <f>IFERROR(INDEX('LISTA DE PRECIOS'!H$16:H$1318,MATCH(12,'LISTA DE PRECIOS'!$I$16:$I$1318,0)),"")</f>
        <v/>
      </c>
      <c r="I27" s="27" t="str">
        <f t="shared" si="0"/>
        <v/>
      </c>
    </row>
    <row r="28" spans="1:9">
      <c r="A28" s="22" t="str">
        <f>IFERROR(INDEX('LISTA DE PRECIOS'!A$16:A$1318,MATCH(13,'LISTA DE PRECIOS'!$I$16:$I$1318,0)),"")</f>
        <v/>
      </c>
      <c r="B28" s="23" t="str">
        <f>IFERROR(INDEX('LISTA DE PRECIOS'!B$16:B$1318,MATCH(13,'LISTA DE PRECIOS'!$I$16:$I$1318,0)),"")</f>
        <v/>
      </c>
      <c r="C28" s="23" t="str">
        <f>IFERROR(INDEX('LISTA DE PRECIOS'!C$16:C$1318,MATCH(13,'LISTA DE PRECIOS'!$I$16:$I$1318,0)),"")</f>
        <v/>
      </c>
      <c r="D28" s="24" t="str">
        <f>IFERROR(INDEX('LISTA DE PRECIOS'!D$16:D$1318,MATCH(13,'LISTA DE PRECIOS'!$I$16:$I$1318,0)),"")</f>
        <v/>
      </c>
      <c r="E28" s="23" t="str">
        <f>IFERROR(INDEX('LISTA DE PRECIOS'!E$16:E$1318,MATCH(13,'LISTA DE PRECIOS'!$I$16:$I$1318,0)),"")</f>
        <v/>
      </c>
      <c r="F28" s="23" t="str">
        <f>IFERROR(INDEX('LISTA DE PRECIOS'!F$16:F$1318,MATCH(13,'LISTA DE PRECIOS'!$I$16:$I$1318,0)),"")</f>
        <v/>
      </c>
      <c r="G28" s="25" t="str">
        <f>IFERROR(INDEX('LISTA DE PRECIOS'!G$16:G$1318,MATCH(13,'LISTA DE PRECIOS'!$I$16:$I$1318,0)),"")</f>
        <v/>
      </c>
      <c r="H28" s="26" t="str">
        <f>IFERROR(INDEX('LISTA DE PRECIOS'!H$16:H$1318,MATCH(13,'LISTA DE PRECIOS'!$I$16:$I$1318,0)),"")</f>
        <v/>
      </c>
      <c r="I28" s="27" t="str">
        <f t="shared" si="0"/>
        <v/>
      </c>
    </row>
    <row r="29" spans="1:9">
      <c r="A29" s="22" t="str">
        <f>IFERROR(INDEX('LISTA DE PRECIOS'!A$16:A$1318,MATCH(14,'LISTA DE PRECIOS'!$I$16:$I$1318,0)),"")</f>
        <v/>
      </c>
      <c r="B29" s="23" t="str">
        <f>IFERROR(INDEX('LISTA DE PRECIOS'!B$16:B$1318,MATCH(14,'LISTA DE PRECIOS'!$I$16:$I$1318,0)),"")</f>
        <v/>
      </c>
      <c r="C29" s="23" t="str">
        <f>IFERROR(INDEX('LISTA DE PRECIOS'!C$16:C$1318,MATCH(14,'LISTA DE PRECIOS'!$I$16:$I$1318,0)),"")</f>
        <v/>
      </c>
      <c r="D29" s="24" t="str">
        <f>IFERROR(INDEX('LISTA DE PRECIOS'!D$16:D$1318,MATCH(14,'LISTA DE PRECIOS'!$I$16:$I$1318,0)),"")</f>
        <v/>
      </c>
      <c r="E29" s="23" t="str">
        <f>IFERROR(INDEX('LISTA DE PRECIOS'!E$16:E$1318,MATCH(14,'LISTA DE PRECIOS'!$I$16:$I$1318,0)),"")</f>
        <v/>
      </c>
      <c r="F29" s="23" t="str">
        <f>IFERROR(INDEX('LISTA DE PRECIOS'!F$16:F$1318,MATCH(14,'LISTA DE PRECIOS'!$I$16:$I$1318,0)),"")</f>
        <v/>
      </c>
      <c r="G29" s="25" t="str">
        <f>IFERROR(INDEX('LISTA DE PRECIOS'!G$16:G$1318,MATCH(14,'LISTA DE PRECIOS'!$I$16:$I$1318,0)),"")</f>
        <v/>
      </c>
      <c r="H29" s="26" t="str">
        <f>IFERROR(INDEX('LISTA DE PRECIOS'!H$16:H$1318,MATCH(14,'LISTA DE PRECIOS'!$I$16:$I$1318,0)),"")</f>
        <v/>
      </c>
      <c r="I29" s="27" t="str">
        <f t="shared" si="0"/>
        <v/>
      </c>
    </row>
    <row r="30" spans="1:9">
      <c r="A30" s="22" t="str">
        <f>IFERROR(INDEX('LISTA DE PRECIOS'!A$16:A$1318,MATCH(15,'LISTA DE PRECIOS'!$I$16:$I$1318,0)),"")</f>
        <v/>
      </c>
      <c r="B30" s="23" t="str">
        <f>IFERROR(INDEX('LISTA DE PRECIOS'!B$16:B$1318,MATCH(15,'LISTA DE PRECIOS'!$I$16:$I$1318,0)),"")</f>
        <v/>
      </c>
      <c r="C30" s="23" t="str">
        <f>IFERROR(INDEX('LISTA DE PRECIOS'!C$16:C$1318,MATCH(15,'LISTA DE PRECIOS'!$I$16:$I$1318,0)),"")</f>
        <v/>
      </c>
      <c r="D30" s="24" t="str">
        <f>IFERROR(INDEX('LISTA DE PRECIOS'!D$16:D$1318,MATCH(15,'LISTA DE PRECIOS'!$I$16:$I$1318,0)),"")</f>
        <v/>
      </c>
      <c r="E30" s="23" t="str">
        <f>IFERROR(INDEX('LISTA DE PRECIOS'!E$16:E$1318,MATCH(15,'LISTA DE PRECIOS'!$I$16:$I$1318,0)),"")</f>
        <v/>
      </c>
      <c r="F30" s="23" t="str">
        <f>IFERROR(INDEX('LISTA DE PRECIOS'!F$16:F$1318,MATCH(15,'LISTA DE PRECIOS'!$I$16:$I$1318,0)),"")</f>
        <v/>
      </c>
      <c r="G30" s="25" t="str">
        <f>IFERROR(INDEX('LISTA DE PRECIOS'!G$16:G$1318,MATCH(15,'LISTA DE PRECIOS'!$I$16:$I$1318,0)),"")</f>
        <v/>
      </c>
      <c r="H30" s="26" t="str">
        <f>IFERROR(INDEX('LISTA DE PRECIOS'!H$16:H$1318,MATCH(15,'LISTA DE PRECIOS'!$I$16:$I$1318,0)),"")</f>
        <v/>
      </c>
      <c r="I30" s="27" t="str">
        <f t="shared" si="0"/>
        <v/>
      </c>
    </row>
    <row r="31" spans="1:9">
      <c r="A31" s="22" t="str">
        <f>IFERROR(INDEX('LISTA DE PRECIOS'!A$16:A$1318,MATCH(16,'LISTA DE PRECIOS'!$I$16:$I$1318,0)),"")</f>
        <v/>
      </c>
      <c r="B31" s="23" t="str">
        <f>IFERROR(INDEX('LISTA DE PRECIOS'!B$16:B$1318,MATCH(16,'LISTA DE PRECIOS'!$I$16:$I$1318,0)),"")</f>
        <v/>
      </c>
      <c r="C31" s="23" t="str">
        <f>IFERROR(INDEX('LISTA DE PRECIOS'!C$16:C$1318,MATCH(16,'LISTA DE PRECIOS'!$I$16:$I$1318,0)),"")</f>
        <v/>
      </c>
      <c r="D31" s="24" t="str">
        <f>IFERROR(INDEX('LISTA DE PRECIOS'!D$16:D$1318,MATCH(16,'LISTA DE PRECIOS'!$I$16:$I$1318,0)),"")</f>
        <v/>
      </c>
      <c r="E31" s="23" t="str">
        <f>IFERROR(INDEX('LISTA DE PRECIOS'!E$16:E$1318,MATCH(16,'LISTA DE PRECIOS'!$I$16:$I$1318,0)),"")</f>
        <v/>
      </c>
      <c r="F31" s="23" t="str">
        <f>IFERROR(INDEX('LISTA DE PRECIOS'!F$16:F$1318,MATCH(16,'LISTA DE PRECIOS'!$I$16:$I$1318,0)),"")</f>
        <v/>
      </c>
      <c r="G31" s="25" t="str">
        <f>IFERROR(INDEX('LISTA DE PRECIOS'!G$16:G$1318,MATCH(16,'LISTA DE PRECIOS'!$I$16:$I$1318,0)),"")</f>
        <v/>
      </c>
      <c r="H31" s="26" t="str">
        <f>IFERROR(INDEX('LISTA DE PRECIOS'!H$16:H$1318,MATCH(16,'LISTA DE PRECIOS'!$I$16:$I$1318,0)),"")</f>
        <v/>
      </c>
      <c r="I31" s="27" t="str">
        <f t="shared" si="0"/>
        <v/>
      </c>
    </row>
    <row r="32" spans="1:9">
      <c r="A32" s="22" t="str">
        <f>IFERROR(INDEX('LISTA DE PRECIOS'!A$16:A$1318,MATCH(17,'LISTA DE PRECIOS'!$I$16:$I$1318,0)),"")</f>
        <v/>
      </c>
      <c r="B32" s="23" t="str">
        <f>IFERROR(INDEX('LISTA DE PRECIOS'!B$16:B$1318,MATCH(17,'LISTA DE PRECIOS'!$I$16:$I$1318,0)),"")</f>
        <v/>
      </c>
      <c r="C32" s="23" t="str">
        <f>IFERROR(INDEX('LISTA DE PRECIOS'!C$16:C$1318,MATCH(17,'LISTA DE PRECIOS'!$I$16:$I$1318,0)),"")</f>
        <v/>
      </c>
      <c r="D32" s="24" t="str">
        <f>IFERROR(INDEX('LISTA DE PRECIOS'!D$16:D$1318,MATCH(17,'LISTA DE PRECIOS'!$I$16:$I$1318,0)),"")</f>
        <v/>
      </c>
      <c r="E32" s="23" t="str">
        <f>IFERROR(INDEX('LISTA DE PRECIOS'!E$16:E$1318,MATCH(17,'LISTA DE PRECIOS'!$I$16:$I$1318,0)),"")</f>
        <v/>
      </c>
      <c r="F32" s="23" t="str">
        <f>IFERROR(INDEX('LISTA DE PRECIOS'!F$16:F$1318,MATCH(17,'LISTA DE PRECIOS'!$I$16:$I$1318,0)),"")</f>
        <v/>
      </c>
      <c r="G32" s="25" t="str">
        <f>IFERROR(INDEX('LISTA DE PRECIOS'!G$16:G$1318,MATCH(17,'LISTA DE PRECIOS'!$I$16:$I$1318,0)),"")</f>
        <v/>
      </c>
      <c r="H32" s="26" t="str">
        <f>IFERROR(INDEX('LISTA DE PRECIOS'!H$16:H$1318,MATCH(17,'LISTA DE PRECIOS'!$I$16:$I$1318,0)),"")</f>
        <v/>
      </c>
      <c r="I32" s="27" t="str">
        <f t="shared" si="0"/>
        <v/>
      </c>
    </row>
    <row r="33" spans="1:9">
      <c r="A33" s="22" t="str">
        <f>IFERROR(INDEX('LISTA DE PRECIOS'!A$16:A$1318,MATCH(18,'LISTA DE PRECIOS'!$I$16:$I$1318,0)),"")</f>
        <v/>
      </c>
      <c r="B33" s="23" t="str">
        <f>IFERROR(INDEX('LISTA DE PRECIOS'!B$16:B$1318,MATCH(18,'LISTA DE PRECIOS'!$I$16:$I$1318,0)),"")</f>
        <v/>
      </c>
      <c r="C33" s="23" t="str">
        <f>IFERROR(INDEX('LISTA DE PRECIOS'!C$16:C$1318,MATCH(18,'LISTA DE PRECIOS'!$I$16:$I$1318,0)),"")</f>
        <v/>
      </c>
      <c r="D33" s="24" t="str">
        <f>IFERROR(INDEX('LISTA DE PRECIOS'!D$16:D$1318,MATCH(18,'LISTA DE PRECIOS'!$I$16:$I$1318,0)),"")</f>
        <v/>
      </c>
      <c r="E33" s="23" t="str">
        <f>IFERROR(INDEX('LISTA DE PRECIOS'!E$16:E$1318,MATCH(18,'LISTA DE PRECIOS'!$I$16:$I$1318,0)),"")</f>
        <v/>
      </c>
      <c r="F33" s="23" t="str">
        <f>IFERROR(INDEX('LISTA DE PRECIOS'!F$16:F$1318,MATCH(18,'LISTA DE PRECIOS'!$I$16:$I$1318,0)),"")</f>
        <v/>
      </c>
      <c r="G33" s="25" t="str">
        <f>IFERROR(INDEX('LISTA DE PRECIOS'!G$16:G$1318,MATCH(18,'LISTA DE PRECIOS'!$I$16:$I$1318,0)),"")</f>
        <v/>
      </c>
      <c r="H33" s="26" t="str">
        <f>IFERROR(INDEX('LISTA DE PRECIOS'!H$16:H$1318,MATCH(18,'LISTA DE PRECIOS'!$I$16:$I$1318,0)),"")</f>
        <v/>
      </c>
      <c r="I33" s="27" t="str">
        <f t="shared" si="0"/>
        <v/>
      </c>
    </row>
    <row r="34" spans="1:9">
      <c r="A34" s="22" t="str">
        <f>IFERROR(INDEX('LISTA DE PRECIOS'!A$16:A$1318,MATCH(19,'LISTA DE PRECIOS'!$I$16:$I$1318,0)),"")</f>
        <v/>
      </c>
      <c r="B34" s="23" t="str">
        <f>IFERROR(INDEX('LISTA DE PRECIOS'!B$16:B$1318,MATCH(19,'LISTA DE PRECIOS'!$I$16:$I$1318,0)),"")</f>
        <v/>
      </c>
      <c r="C34" s="23" t="str">
        <f>IFERROR(INDEX('LISTA DE PRECIOS'!C$16:C$1318,MATCH(19,'LISTA DE PRECIOS'!$I$16:$I$1318,0)),"")</f>
        <v/>
      </c>
      <c r="D34" s="24" t="str">
        <f>IFERROR(INDEX('LISTA DE PRECIOS'!D$16:D$1318,MATCH(19,'LISTA DE PRECIOS'!$I$16:$I$1318,0)),"")</f>
        <v/>
      </c>
      <c r="E34" s="23" t="str">
        <f>IFERROR(INDEX('LISTA DE PRECIOS'!E$16:E$1318,MATCH(19,'LISTA DE PRECIOS'!$I$16:$I$1318,0)),"")</f>
        <v/>
      </c>
      <c r="F34" s="23" t="str">
        <f>IFERROR(INDEX('LISTA DE PRECIOS'!F$16:F$1318,MATCH(19,'LISTA DE PRECIOS'!$I$16:$I$1318,0)),"")</f>
        <v/>
      </c>
      <c r="G34" s="25" t="str">
        <f>IFERROR(INDEX('LISTA DE PRECIOS'!G$16:G$1318,MATCH(19,'LISTA DE PRECIOS'!$I$16:$I$1318,0)),"")</f>
        <v/>
      </c>
      <c r="H34" s="26" t="str">
        <f>IFERROR(INDEX('LISTA DE PRECIOS'!H$16:H$1318,MATCH(19,'LISTA DE PRECIOS'!$I$16:$I$1318,0)),"")</f>
        <v/>
      </c>
      <c r="I34" s="27" t="str">
        <f t="shared" si="0"/>
        <v/>
      </c>
    </row>
    <row r="35" spans="1:9">
      <c r="A35" s="22" t="str">
        <f>IFERROR(INDEX('LISTA DE PRECIOS'!A$16:A$1318,MATCH(20,'LISTA DE PRECIOS'!$I$16:$I$1318,0)),"")</f>
        <v/>
      </c>
      <c r="B35" s="23" t="str">
        <f>IFERROR(INDEX('LISTA DE PRECIOS'!B$16:B$1318,MATCH(20,'LISTA DE PRECIOS'!$I$16:$I$1318,0)),"")</f>
        <v/>
      </c>
      <c r="C35" s="23" t="str">
        <f>IFERROR(INDEX('LISTA DE PRECIOS'!C$16:C$1318,MATCH(20,'LISTA DE PRECIOS'!$I$16:$I$1318,0)),"")</f>
        <v/>
      </c>
      <c r="D35" s="24" t="str">
        <f>IFERROR(INDEX('LISTA DE PRECIOS'!D$16:D$1318,MATCH(20,'LISTA DE PRECIOS'!$I$16:$I$1318,0)),"")</f>
        <v/>
      </c>
      <c r="E35" s="23" t="str">
        <f>IFERROR(INDEX('LISTA DE PRECIOS'!E$16:E$1318,MATCH(20,'LISTA DE PRECIOS'!$I$16:$I$1318,0)),"")</f>
        <v/>
      </c>
      <c r="F35" s="23" t="str">
        <f>IFERROR(INDEX('LISTA DE PRECIOS'!F$16:F$1318,MATCH(20,'LISTA DE PRECIOS'!$I$16:$I$1318,0)),"")</f>
        <v/>
      </c>
      <c r="G35" s="25" t="str">
        <f>IFERROR(INDEX('LISTA DE PRECIOS'!G$16:G$1318,MATCH(20,'LISTA DE PRECIOS'!$I$16:$I$1318,0)),"")</f>
        <v/>
      </c>
      <c r="H35" s="26" t="str">
        <f>IFERROR(INDEX('LISTA DE PRECIOS'!H$16:H$1318,MATCH(20,'LISTA DE PRECIOS'!$I$16:$I$1318,0)),"")</f>
        <v/>
      </c>
      <c r="I35" s="27" t="str">
        <f t="shared" si="0"/>
        <v/>
      </c>
    </row>
    <row r="36" spans="1:9">
      <c r="A36" s="22" t="str">
        <f>IFERROR(INDEX('LISTA DE PRECIOS'!A$16:A$1318,MATCH(21,'LISTA DE PRECIOS'!$I$16:$I$1318,0)),"")</f>
        <v/>
      </c>
      <c r="B36" s="23" t="str">
        <f>IFERROR(INDEX('LISTA DE PRECIOS'!B$16:B$1318,MATCH(21,'LISTA DE PRECIOS'!$I$16:$I$1318,0)),"")</f>
        <v/>
      </c>
      <c r="C36" s="23" t="str">
        <f>IFERROR(INDEX('LISTA DE PRECIOS'!C$16:C$1318,MATCH(21,'LISTA DE PRECIOS'!$I$16:$I$1318,0)),"")</f>
        <v/>
      </c>
      <c r="D36" s="24" t="str">
        <f>IFERROR(INDEX('LISTA DE PRECIOS'!D$16:D$1318,MATCH(21,'LISTA DE PRECIOS'!$I$16:$I$1318,0)),"")</f>
        <v/>
      </c>
      <c r="E36" s="23" t="str">
        <f>IFERROR(INDEX('LISTA DE PRECIOS'!E$16:E$1318,MATCH(21,'LISTA DE PRECIOS'!$I$16:$I$1318,0)),"")</f>
        <v/>
      </c>
      <c r="F36" s="23" t="str">
        <f>IFERROR(INDEX('LISTA DE PRECIOS'!F$16:F$1318,MATCH(21,'LISTA DE PRECIOS'!$I$16:$I$1318,0)),"")</f>
        <v/>
      </c>
      <c r="G36" s="25" t="str">
        <f>IFERROR(INDEX('LISTA DE PRECIOS'!G$16:G$1318,MATCH(21,'LISTA DE PRECIOS'!$I$16:$I$1318,0)),"")</f>
        <v/>
      </c>
      <c r="H36" s="26" t="str">
        <f>IFERROR(INDEX('LISTA DE PRECIOS'!H$16:H$1318,MATCH(21,'LISTA DE PRECIOS'!$I$16:$I$1318,0)),"")</f>
        <v/>
      </c>
      <c r="I36" s="27" t="str">
        <f t="shared" si="0"/>
        <v/>
      </c>
    </row>
    <row r="37" spans="1:9">
      <c r="A37" s="22" t="str">
        <f>IFERROR(INDEX('LISTA DE PRECIOS'!A$16:A$1318,MATCH(22,'LISTA DE PRECIOS'!$I$16:$I$1318,0)),"")</f>
        <v/>
      </c>
      <c r="B37" s="23" t="str">
        <f>IFERROR(INDEX('LISTA DE PRECIOS'!B$16:B$1318,MATCH(22,'LISTA DE PRECIOS'!$I$16:$I$1318,0)),"")</f>
        <v/>
      </c>
      <c r="C37" s="23" t="str">
        <f>IFERROR(INDEX('LISTA DE PRECIOS'!C$16:C$1318,MATCH(22,'LISTA DE PRECIOS'!$I$16:$I$1318,0)),"")</f>
        <v/>
      </c>
      <c r="D37" s="24" t="str">
        <f>IFERROR(INDEX('LISTA DE PRECIOS'!D$16:D$1318,MATCH(22,'LISTA DE PRECIOS'!$I$16:$I$1318,0)),"")</f>
        <v/>
      </c>
      <c r="E37" s="23" t="str">
        <f>IFERROR(INDEX('LISTA DE PRECIOS'!E$16:E$1318,MATCH(22,'LISTA DE PRECIOS'!$I$16:$I$1318,0)),"")</f>
        <v/>
      </c>
      <c r="F37" s="23" t="str">
        <f>IFERROR(INDEX('LISTA DE PRECIOS'!F$16:F$1318,MATCH(22,'LISTA DE PRECIOS'!$I$16:$I$1318,0)),"")</f>
        <v/>
      </c>
      <c r="G37" s="25" t="str">
        <f>IFERROR(INDEX('LISTA DE PRECIOS'!G$16:G$1318,MATCH(22,'LISTA DE PRECIOS'!$I$16:$I$1318,0)),"")</f>
        <v/>
      </c>
      <c r="H37" s="26" t="str">
        <f>IFERROR(INDEX('LISTA DE PRECIOS'!H$16:H$1318,MATCH(22,'LISTA DE PRECIOS'!$I$16:$I$1318,0)),"")</f>
        <v/>
      </c>
      <c r="I37" s="27" t="str">
        <f t="shared" si="0"/>
        <v/>
      </c>
    </row>
    <row r="38" spans="1:9">
      <c r="A38" s="22" t="str">
        <f>IFERROR(INDEX('LISTA DE PRECIOS'!A$16:A$1318,MATCH(23,'LISTA DE PRECIOS'!$I$16:$I$1318,0)),"")</f>
        <v/>
      </c>
      <c r="B38" s="23" t="str">
        <f>IFERROR(INDEX('LISTA DE PRECIOS'!B$16:B$1318,MATCH(23,'LISTA DE PRECIOS'!$I$16:$I$1318,0)),"")</f>
        <v/>
      </c>
      <c r="C38" s="23" t="str">
        <f>IFERROR(INDEX('LISTA DE PRECIOS'!C$16:C$1318,MATCH(23,'LISTA DE PRECIOS'!$I$16:$I$1318,0)),"")</f>
        <v/>
      </c>
      <c r="D38" s="24" t="str">
        <f>IFERROR(INDEX('LISTA DE PRECIOS'!D$16:D$1318,MATCH(23,'LISTA DE PRECIOS'!$I$16:$I$1318,0)),"")</f>
        <v/>
      </c>
      <c r="E38" s="23" t="str">
        <f>IFERROR(INDEX('LISTA DE PRECIOS'!E$16:E$1318,MATCH(23,'LISTA DE PRECIOS'!$I$16:$I$1318,0)),"")</f>
        <v/>
      </c>
      <c r="F38" s="23" t="str">
        <f>IFERROR(INDEX('LISTA DE PRECIOS'!F$16:F$1318,MATCH(23,'LISTA DE PRECIOS'!$I$16:$I$1318,0)),"")</f>
        <v/>
      </c>
      <c r="G38" s="25" t="str">
        <f>IFERROR(INDEX('LISTA DE PRECIOS'!G$16:G$1318,MATCH(23,'LISTA DE PRECIOS'!$I$16:$I$1318,0)),"")</f>
        <v/>
      </c>
      <c r="H38" s="26" t="str">
        <f>IFERROR(INDEX('LISTA DE PRECIOS'!H$16:H$1318,MATCH(23,'LISTA DE PRECIOS'!$I$16:$I$1318,0)),"")</f>
        <v/>
      </c>
      <c r="I38" s="27" t="str">
        <f t="shared" si="0"/>
        <v/>
      </c>
    </row>
    <row r="39" spans="1:9">
      <c r="A39" s="22" t="str">
        <f>IFERROR(INDEX('LISTA DE PRECIOS'!A$16:A$1318,MATCH(24,'LISTA DE PRECIOS'!$I$16:$I$1318,0)),"")</f>
        <v/>
      </c>
      <c r="B39" s="23" t="str">
        <f>IFERROR(INDEX('LISTA DE PRECIOS'!B$16:B$1318,MATCH(24,'LISTA DE PRECIOS'!$I$16:$I$1318,0)),"")</f>
        <v/>
      </c>
      <c r="C39" s="23" t="str">
        <f>IFERROR(INDEX('LISTA DE PRECIOS'!C$16:C$1318,MATCH(24,'LISTA DE PRECIOS'!$I$16:$I$1318,0)),"")</f>
        <v/>
      </c>
      <c r="D39" s="24" t="str">
        <f>IFERROR(INDEX('LISTA DE PRECIOS'!D$16:D$1318,MATCH(24,'LISTA DE PRECIOS'!$I$16:$I$1318,0)),"")</f>
        <v/>
      </c>
      <c r="E39" s="23" t="str">
        <f>IFERROR(INDEX('LISTA DE PRECIOS'!E$16:E$1318,MATCH(24,'LISTA DE PRECIOS'!$I$16:$I$1318,0)),"")</f>
        <v/>
      </c>
      <c r="F39" s="23" t="str">
        <f>IFERROR(INDEX('LISTA DE PRECIOS'!F$16:F$1318,MATCH(24,'LISTA DE PRECIOS'!$I$16:$I$1318,0)),"")</f>
        <v/>
      </c>
      <c r="G39" s="25" t="str">
        <f>IFERROR(INDEX('LISTA DE PRECIOS'!G$16:G$1318,MATCH(24,'LISTA DE PRECIOS'!$I$16:$I$1318,0)),"")</f>
        <v/>
      </c>
      <c r="H39" s="26" t="str">
        <f>IFERROR(INDEX('LISTA DE PRECIOS'!H$16:H$1318,MATCH(24,'LISTA DE PRECIOS'!$I$16:$I$1318,0)),"")</f>
        <v/>
      </c>
      <c r="I39" s="27" t="str">
        <f t="shared" si="0"/>
        <v/>
      </c>
    </row>
    <row r="40" spans="1:9">
      <c r="A40" s="22" t="str">
        <f>IFERROR(INDEX('LISTA DE PRECIOS'!A$16:A$1318,MATCH(25,'LISTA DE PRECIOS'!$I$16:$I$1318,0)),"")</f>
        <v/>
      </c>
      <c r="B40" s="23" t="str">
        <f>IFERROR(INDEX('LISTA DE PRECIOS'!B$16:B$1318,MATCH(25,'LISTA DE PRECIOS'!$I$16:$I$1318,0)),"")</f>
        <v/>
      </c>
      <c r="C40" s="23" t="str">
        <f>IFERROR(INDEX('LISTA DE PRECIOS'!C$16:C$1318,MATCH(25,'LISTA DE PRECIOS'!$I$16:$I$1318,0)),"")</f>
        <v/>
      </c>
      <c r="D40" s="24" t="str">
        <f>IFERROR(INDEX('LISTA DE PRECIOS'!D$16:D$1318,MATCH(25,'LISTA DE PRECIOS'!$I$16:$I$1318,0)),"")</f>
        <v/>
      </c>
      <c r="E40" s="23" t="str">
        <f>IFERROR(INDEX('LISTA DE PRECIOS'!E$16:E$1318,MATCH(25,'LISTA DE PRECIOS'!$I$16:$I$1318,0)),"")</f>
        <v/>
      </c>
      <c r="F40" s="23" t="str">
        <f>IFERROR(INDEX('LISTA DE PRECIOS'!F$16:F$1318,MATCH(25,'LISTA DE PRECIOS'!$I$16:$I$1318,0)),"")</f>
        <v/>
      </c>
      <c r="G40" s="25" t="str">
        <f>IFERROR(INDEX('LISTA DE PRECIOS'!G$16:G$1318,MATCH(25,'LISTA DE PRECIOS'!$I$16:$I$1318,0)),"")</f>
        <v/>
      </c>
      <c r="H40" s="26" t="str">
        <f>IFERROR(INDEX('LISTA DE PRECIOS'!H$16:H$1318,MATCH(25,'LISTA DE PRECIOS'!$I$16:$I$1318,0)),"")</f>
        <v/>
      </c>
      <c r="I40" s="27" t="str">
        <f t="shared" si="0"/>
        <v/>
      </c>
    </row>
    <row r="41" spans="1:9">
      <c r="A41" s="22" t="str">
        <f>IFERROR(INDEX('LISTA DE PRECIOS'!A$16:A$1318,MATCH(26,'LISTA DE PRECIOS'!$I$16:$I$1318,0)),"")</f>
        <v/>
      </c>
      <c r="B41" s="23" t="str">
        <f>IFERROR(INDEX('LISTA DE PRECIOS'!B$16:B$1318,MATCH(26,'LISTA DE PRECIOS'!$I$16:$I$1318,0)),"")</f>
        <v/>
      </c>
      <c r="C41" s="23" t="str">
        <f>IFERROR(INDEX('LISTA DE PRECIOS'!C$16:C$1318,MATCH(26,'LISTA DE PRECIOS'!$I$16:$I$1318,0)),"")</f>
        <v/>
      </c>
      <c r="D41" s="24" t="str">
        <f>IFERROR(INDEX('LISTA DE PRECIOS'!D$16:D$1318,MATCH(26,'LISTA DE PRECIOS'!$I$16:$I$1318,0)),"")</f>
        <v/>
      </c>
      <c r="E41" s="23" t="str">
        <f>IFERROR(INDEX('LISTA DE PRECIOS'!E$16:E$1318,MATCH(26,'LISTA DE PRECIOS'!$I$16:$I$1318,0)),"")</f>
        <v/>
      </c>
      <c r="F41" s="23" t="str">
        <f>IFERROR(INDEX('LISTA DE PRECIOS'!F$16:F$1318,MATCH(26,'LISTA DE PRECIOS'!$I$16:$I$1318,0)),"")</f>
        <v/>
      </c>
      <c r="G41" s="25" t="str">
        <f>IFERROR(INDEX('LISTA DE PRECIOS'!G$16:G$1318,MATCH(26,'LISTA DE PRECIOS'!$I$16:$I$1318,0)),"")</f>
        <v/>
      </c>
      <c r="H41" s="26" t="str">
        <f>IFERROR(INDEX('LISTA DE PRECIOS'!H$16:H$1318,MATCH(26,'LISTA DE PRECIOS'!$I$16:$I$1318,0)),"")</f>
        <v/>
      </c>
      <c r="I41" s="27" t="str">
        <f t="shared" si="0"/>
        <v/>
      </c>
    </row>
    <row r="42" spans="1:9">
      <c r="A42" s="22" t="str">
        <f>IFERROR(INDEX('LISTA DE PRECIOS'!A$16:A$1318,MATCH(27,'LISTA DE PRECIOS'!$I$16:$I$1318,0)),"")</f>
        <v/>
      </c>
      <c r="B42" s="23" t="str">
        <f>IFERROR(INDEX('LISTA DE PRECIOS'!B$16:B$1318,MATCH(27,'LISTA DE PRECIOS'!$I$16:$I$1318,0)),"")</f>
        <v/>
      </c>
      <c r="C42" s="23" t="str">
        <f>IFERROR(INDEX('LISTA DE PRECIOS'!C$16:C$1318,MATCH(27,'LISTA DE PRECIOS'!$I$16:$I$1318,0)),"")</f>
        <v/>
      </c>
      <c r="D42" s="24" t="str">
        <f>IFERROR(INDEX('LISTA DE PRECIOS'!D$16:D$1318,MATCH(27,'LISTA DE PRECIOS'!$I$16:$I$1318,0)),"")</f>
        <v/>
      </c>
      <c r="E42" s="23" t="str">
        <f>IFERROR(INDEX('LISTA DE PRECIOS'!E$16:E$1318,MATCH(27,'LISTA DE PRECIOS'!$I$16:$I$1318,0)),"")</f>
        <v/>
      </c>
      <c r="F42" s="23" t="str">
        <f>IFERROR(INDEX('LISTA DE PRECIOS'!F$16:F$1318,MATCH(27,'LISTA DE PRECIOS'!$I$16:$I$1318,0)),"")</f>
        <v/>
      </c>
      <c r="G42" s="25" t="str">
        <f>IFERROR(INDEX('LISTA DE PRECIOS'!G$16:G$1318,MATCH(27,'LISTA DE PRECIOS'!$I$16:$I$1318,0)),"")</f>
        <v/>
      </c>
      <c r="H42" s="26" t="str">
        <f>IFERROR(INDEX('LISTA DE PRECIOS'!H$16:H$1318,MATCH(27,'LISTA DE PRECIOS'!$I$16:$I$1318,0)),"")</f>
        <v/>
      </c>
      <c r="I42" s="27" t="str">
        <f t="shared" si="0"/>
        <v/>
      </c>
    </row>
    <row r="43" spans="1:9">
      <c r="A43" s="22" t="str">
        <f>IFERROR(INDEX('LISTA DE PRECIOS'!A$16:A$1318,MATCH(28,'LISTA DE PRECIOS'!$I$16:$I$1318,0)),"")</f>
        <v/>
      </c>
      <c r="B43" s="23" t="str">
        <f>IFERROR(INDEX('LISTA DE PRECIOS'!B$16:B$1318,MATCH(28,'LISTA DE PRECIOS'!$I$16:$I$1318,0)),"")</f>
        <v/>
      </c>
      <c r="C43" s="23" t="str">
        <f>IFERROR(INDEX('LISTA DE PRECIOS'!C$16:C$1318,MATCH(28,'LISTA DE PRECIOS'!$I$16:$I$1318,0)),"")</f>
        <v/>
      </c>
      <c r="D43" s="24" t="str">
        <f>IFERROR(INDEX('LISTA DE PRECIOS'!D$16:D$1318,MATCH(28,'LISTA DE PRECIOS'!$I$16:$I$1318,0)),"")</f>
        <v/>
      </c>
      <c r="E43" s="23" t="str">
        <f>IFERROR(INDEX('LISTA DE PRECIOS'!E$16:E$1318,MATCH(28,'LISTA DE PRECIOS'!$I$16:$I$1318,0)),"")</f>
        <v/>
      </c>
      <c r="F43" s="23" t="str">
        <f>IFERROR(INDEX('LISTA DE PRECIOS'!F$16:F$1318,MATCH(28,'LISTA DE PRECIOS'!$I$16:$I$1318,0)),"")</f>
        <v/>
      </c>
      <c r="G43" s="25" t="str">
        <f>IFERROR(INDEX('LISTA DE PRECIOS'!G$16:G$1318,MATCH(28,'LISTA DE PRECIOS'!$I$16:$I$1318,0)),"")</f>
        <v/>
      </c>
      <c r="H43" s="26" t="str">
        <f>IFERROR(INDEX('LISTA DE PRECIOS'!H$16:H$1318,MATCH(28,'LISTA DE PRECIOS'!$I$16:$I$1318,0)),"")</f>
        <v/>
      </c>
      <c r="I43" s="27" t="str">
        <f t="shared" si="0"/>
        <v/>
      </c>
    </row>
    <row r="44" spans="1:9">
      <c r="A44" s="22" t="str">
        <f>IFERROR(INDEX('LISTA DE PRECIOS'!A$16:A$1318,MATCH(29,'LISTA DE PRECIOS'!$I$16:$I$1318,0)),"")</f>
        <v/>
      </c>
      <c r="B44" s="23" t="str">
        <f>IFERROR(INDEX('LISTA DE PRECIOS'!B$16:B$1318,MATCH(29,'LISTA DE PRECIOS'!$I$16:$I$1318,0)),"")</f>
        <v/>
      </c>
      <c r="C44" s="23" t="str">
        <f>IFERROR(INDEX('LISTA DE PRECIOS'!C$16:C$1318,MATCH(29,'LISTA DE PRECIOS'!$I$16:$I$1318,0)),"")</f>
        <v/>
      </c>
      <c r="D44" s="24" t="str">
        <f>IFERROR(INDEX('LISTA DE PRECIOS'!D$16:D$1318,MATCH(29,'LISTA DE PRECIOS'!$I$16:$I$1318,0)),"")</f>
        <v/>
      </c>
      <c r="E44" s="23" t="str">
        <f>IFERROR(INDEX('LISTA DE PRECIOS'!E$16:E$1318,MATCH(29,'LISTA DE PRECIOS'!$I$16:$I$1318,0)),"")</f>
        <v/>
      </c>
      <c r="F44" s="23" t="str">
        <f>IFERROR(INDEX('LISTA DE PRECIOS'!F$16:F$1318,MATCH(29,'LISTA DE PRECIOS'!$I$16:$I$1318,0)),"")</f>
        <v/>
      </c>
      <c r="G44" s="25" t="str">
        <f>IFERROR(INDEX('LISTA DE PRECIOS'!G$16:G$1318,MATCH(29,'LISTA DE PRECIOS'!$I$16:$I$1318,0)),"")</f>
        <v/>
      </c>
      <c r="H44" s="26" t="str">
        <f>IFERROR(INDEX('LISTA DE PRECIOS'!H$16:H$1318,MATCH(29,'LISTA DE PRECIOS'!$I$16:$I$1318,0)),"")</f>
        <v/>
      </c>
      <c r="I44" s="27" t="str">
        <f t="shared" si="0"/>
        <v/>
      </c>
    </row>
    <row r="45" spans="1:9">
      <c r="A45" s="22" t="str">
        <f>IFERROR(INDEX('LISTA DE PRECIOS'!A$16:A$1318,MATCH(30,'LISTA DE PRECIOS'!$I$16:$I$1318,0)),"")</f>
        <v/>
      </c>
      <c r="B45" s="23" t="str">
        <f>IFERROR(INDEX('LISTA DE PRECIOS'!B$16:B$1318,MATCH(30,'LISTA DE PRECIOS'!$I$16:$I$1318,0)),"")</f>
        <v/>
      </c>
      <c r="C45" s="23" t="str">
        <f>IFERROR(INDEX('LISTA DE PRECIOS'!C$16:C$1318,MATCH(30,'LISTA DE PRECIOS'!$I$16:$I$1318,0)),"")</f>
        <v/>
      </c>
      <c r="D45" s="24" t="str">
        <f>IFERROR(INDEX('LISTA DE PRECIOS'!D$16:D$1318,MATCH(30,'LISTA DE PRECIOS'!$I$16:$I$1318,0)),"")</f>
        <v/>
      </c>
      <c r="E45" s="23" t="str">
        <f>IFERROR(INDEX('LISTA DE PRECIOS'!E$16:E$1318,MATCH(30,'LISTA DE PRECIOS'!$I$16:$I$1318,0)),"")</f>
        <v/>
      </c>
      <c r="F45" s="23" t="str">
        <f>IFERROR(INDEX('LISTA DE PRECIOS'!F$16:F$1318,MATCH(30,'LISTA DE PRECIOS'!$I$16:$I$1318,0)),"")</f>
        <v/>
      </c>
      <c r="G45" s="25" t="str">
        <f>IFERROR(INDEX('LISTA DE PRECIOS'!G$16:G$1318,MATCH(30,'LISTA DE PRECIOS'!$I$16:$I$1318,0)),"")</f>
        <v/>
      </c>
      <c r="H45" s="26" t="str">
        <f>IFERROR(INDEX('LISTA DE PRECIOS'!H$16:H$1318,MATCH(30,'LISTA DE PRECIOS'!$I$16:$I$1318,0)),"")</f>
        <v/>
      </c>
      <c r="I45" s="27" t="str">
        <f t="shared" si="0"/>
        <v/>
      </c>
    </row>
    <row r="46" spans="1:9">
      <c r="A46" s="22" t="str">
        <f>IFERROR(INDEX('LISTA DE PRECIOS'!A$16:A$1318,MATCH(31,'LISTA DE PRECIOS'!$I$16:$I$1318,0)),"")</f>
        <v/>
      </c>
      <c r="B46" s="23" t="str">
        <f>IFERROR(INDEX('LISTA DE PRECIOS'!B$16:B$1318,MATCH(31,'LISTA DE PRECIOS'!$I$16:$I$1318,0)),"")</f>
        <v/>
      </c>
      <c r="C46" s="23" t="str">
        <f>IFERROR(INDEX('LISTA DE PRECIOS'!C$16:C$1318,MATCH(31,'LISTA DE PRECIOS'!$I$16:$I$1318,0)),"")</f>
        <v/>
      </c>
      <c r="D46" s="24" t="str">
        <f>IFERROR(INDEX('LISTA DE PRECIOS'!D$16:D$1318,MATCH(31,'LISTA DE PRECIOS'!$I$16:$I$1318,0)),"")</f>
        <v/>
      </c>
      <c r="E46" s="23" t="str">
        <f>IFERROR(INDEX('LISTA DE PRECIOS'!E$16:E$1318,MATCH(31,'LISTA DE PRECIOS'!$I$16:$I$1318,0)),"")</f>
        <v/>
      </c>
      <c r="F46" s="23" t="str">
        <f>IFERROR(INDEX('LISTA DE PRECIOS'!F$16:F$1318,MATCH(31,'LISTA DE PRECIOS'!$I$16:$I$1318,0)),"")</f>
        <v/>
      </c>
      <c r="G46" s="25" t="str">
        <f>IFERROR(INDEX('LISTA DE PRECIOS'!G$16:G$1318,MATCH(31,'LISTA DE PRECIOS'!$I$16:$I$1318,0)),"")</f>
        <v/>
      </c>
      <c r="H46" s="26" t="str">
        <f>IFERROR(INDEX('LISTA DE PRECIOS'!H$16:H$1318,MATCH(31,'LISTA DE PRECIOS'!$I$16:$I$1318,0)),"")</f>
        <v/>
      </c>
      <c r="I46" s="27" t="str">
        <f t="shared" si="0"/>
        <v/>
      </c>
    </row>
    <row r="47" spans="1:9">
      <c r="A47" s="22" t="str">
        <f>IFERROR(INDEX('LISTA DE PRECIOS'!A$16:A$1318,MATCH(32,'LISTA DE PRECIOS'!$I$16:$I$1318,0)),"")</f>
        <v/>
      </c>
      <c r="B47" s="23" t="str">
        <f>IFERROR(INDEX('LISTA DE PRECIOS'!B$16:B$1318,MATCH(32,'LISTA DE PRECIOS'!$I$16:$I$1318,0)),"")</f>
        <v/>
      </c>
      <c r="C47" s="23" t="str">
        <f>IFERROR(INDEX('LISTA DE PRECIOS'!C$16:C$1318,MATCH(32,'LISTA DE PRECIOS'!$I$16:$I$1318,0)),"")</f>
        <v/>
      </c>
      <c r="D47" s="24" t="str">
        <f>IFERROR(INDEX('LISTA DE PRECIOS'!D$16:D$1318,MATCH(32,'LISTA DE PRECIOS'!$I$16:$I$1318,0)),"")</f>
        <v/>
      </c>
      <c r="E47" s="23" t="str">
        <f>IFERROR(INDEX('LISTA DE PRECIOS'!E$16:E$1318,MATCH(32,'LISTA DE PRECIOS'!$I$16:$I$1318,0)),"")</f>
        <v/>
      </c>
      <c r="F47" s="23" t="str">
        <f>IFERROR(INDEX('LISTA DE PRECIOS'!F$16:F$1318,MATCH(32,'LISTA DE PRECIOS'!$I$16:$I$1318,0)),"")</f>
        <v/>
      </c>
      <c r="G47" s="25" t="str">
        <f>IFERROR(INDEX('LISTA DE PRECIOS'!G$16:G$1318,MATCH(32,'LISTA DE PRECIOS'!$I$16:$I$1318,0)),"")</f>
        <v/>
      </c>
      <c r="H47" s="26" t="str">
        <f>IFERROR(INDEX('LISTA DE PRECIOS'!H$16:H$1318,MATCH(32,'LISTA DE PRECIOS'!$I$16:$I$1318,0)),"")</f>
        <v/>
      </c>
      <c r="I47" s="27" t="str">
        <f t="shared" si="0"/>
        <v/>
      </c>
    </row>
    <row r="48" spans="1:9">
      <c r="A48" s="22" t="str">
        <f>IFERROR(INDEX('LISTA DE PRECIOS'!A$16:A$1318,MATCH(33,'LISTA DE PRECIOS'!$I$16:$I$1318,0)),"")</f>
        <v/>
      </c>
      <c r="B48" s="23" t="str">
        <f>IFERROR(INDEX('LISTA DE PRECIOS'!B$16:B$1318,MATCH(33,'LISTA DE PRECIOS'!$I$16:$I$1318,0)),"")</f>
        <v/>
      </c>
      <c r="C48" s="23" t="str">
        <f>IFERROR(INDEX('LISTA DE PRECIOS'!C$16:C$1318,MATCH(33,'LISTA DE PRECIOS'!$I$16:$I$1318,0)),"")</f>
        <v/>
      </c>
      <c r="D48" s="24" t="str">
        <f>IFERROR(INDEX('LISTA DE PRECIOS'!D$16:D$1318,MATCH(33,'LISTA DE PRECIOS'!$I$16:$I$1318,0)),"")</f>
        <v/>
      </c>
      <c r="E48" s="23" t="str">
        <f>IFERROR(INDEX('LISTA DE PRECIOS'!E$16:E$1318,MATCH(33,'LISTA DE PRECIOS'!$I$16:$I$1318,0)),"")</f>
        <v/>
      </c>
      <c r="F48" s="23" t="str">
        <f>IFERROR(INDEX('LISTA DE PRECIOS'!F$16:F$1318,MATCH(33,'LISTA DE PRECIOS'!$I$16:$I$1318,0)),"")</f>
        <v/>
      </c>
      <c r="G48" s="25" t="str">
        <f>IFERROR(INDEX('LISTA DE PRECIOS'!G$16:G$1318,MATCH(33,'LISTA DE PRECIOS'!$I$16:$I$1318,0)),"")</f>
        <v/>
      </c>
      <c r="H48" s="26" t="str">
        <f>IFERROR(INDEX('LISTA DE PRECIOS'!H$16:H$1318,MATCH(33,'LISTA DE PRECIOS'!$I$16:$I$1318,0)),"")</f>
        <v/>
      </c>
      <c r="I48" s="27" t="str">
        <f t="shared" ref="I48:I79" si="1">IF(OR(G48="",H48=""),"",G48*H48)</f>
        <v/>
      </c>
    </row>
    <row r="49" spans="1:9">
      <c r="A49" s="22" t="str">
        <f>IFERROR(INDEX('LISTA DE PRECIOS'!A$16:A$1318,MATCH(34,'LISTA DE PRECIOS'!$I$16:$I$1318,0)),"")</f>
        <v/>
      </c>
      <c r="B49" s="23" t="str">
        <f>IFERROR(INDEX('LISTA DE PRECIOS'!B$16:B$1318,MATCH(34,'LISTA DE PRECIOS'!$I$16:$I$1318,0)),"")</f>
        <v/>
      </c>
      <c r="C49" s="23" t="str">
        <f>IFERROR(INDEX('LISTA DE PRECIOS'!C$16:C$1318,MATCH(34,'LISTA DE PRECIOS'!$I$16:$I$1318,0)),"")</f>
        <v/>
      </c>
      <c r="D49" s="24" t="str">
        <f>IFERROR(INDEX('LISTA DE PRECIOS'!D$16:D$1318,MATCH(34,'LISTA DE PRECIOS'!$I$16:$I$1318,0)),"")</f>
        <v/>
      </c>
      <c r="E49" s="23" t="str">
        <f>IFERROR(INDEX('LISTA DE PRECIOS'!E$16:E$1318,MATCH(34,'LISTA DE PRECIOS'!$I$16:$I$1318,0)),"")</f>
        <v/>
      </c>
      <c r="F49" s="23" t="str">
        <f>IFERROR(INDEX('LISTA DE PRECIOS'!F$16:F$1318,MATCH(34,'LISTA DE PRECIOS'!$I$16:$I$1318,0)),"")</f>
        <v/>
      </c>
      <c r="G49" s="25" t="str">
        <f>IFERROR(INDEX('LISTA DE PRECIOS'!G$16:G$1318,MATCH(34,'LISTA DE PRECIOS'!$I$16:$I$1318,0)),"")</f>
        <v/>
      </c>
      <c r="H49" s="26" t="str">
        <f>IFERROR(INDEX('LISTA DE PRECIOS'!H$16:H$1318,MATCH(34,'LISTA DE PRECIOS'!$I$16:$I$1318,0)),"")</f>
        <v/>
      </c>
      <c r="I49" s="27" t="str">
        <f t="shared" si="1"/>
        <v/>
      </c>
    </row>
    <row r="50" spans="1:9">
      <c r="A50" s="22" t="str">
        <f>IFERROR(INDEX('LISTA DE PRECIOS'!A$16:A$1318,MATCH(35,'LISTA DE PRECIOS'!$I$16:$I$1318,0)),"")</f>
        <v/>
      </c>
      <c r="B50" s="23" t="str">
        <f>IFERROR(INDEX('LISTA DE PRECIOS'!B$16:B$1318,MATCH(35,'LISTA DE PRECIOS'!$I$16:$I$1318,0)),"")</f>
        <v/>
      </c>
      <c r="C50" s="23" t="str">
        <f>IFERROR(INDEX('LISTA DE PRECIOS'!C$16:C$1318,MATCH(35,'LISTA DE PRECIOS'!$I$16:$I$1318,0)),"")</f>
        <v/>
      </c>
      <c r="D50" s="24" t="str">
        <f>IFERROR(INDEX('LISTA DE PRECIOS'!D$16:D$1318,MATCH(35,'LISTA DE PRECIOS'!$I$16:$I$1318,0)),"")</f>
        <v/>
      </c>
      <c r="E50" s="23" t="str">
        <f>IFERROR(INDEX('LISTA DE PRECIOS'!E$16:E$1318,MATCH(35,'LISTA DE PRECIOS'!$I$16:$I$1318,0)),"")</f>
        <v/>
      </c>
      <c r="F50" s="23" t="str">
        <f>IFERROR(INDEX('LISTA DE PRECIOS'!F$16:F$1318,MATCH(35,'LISTA DE PRECIOS'!$I$16:$I$1318,0)),"")</f>
        <v/>
      </c>
      <c r="G50" s="25" t="str">
        <f>IFERROR(INDEX('LISTA DE PRECIOS'!G$16:G$1318,MATCH(35,'LISTA DE PRECIOS'!$I$16:$I$1318,0)),"")</f>
        <v/>
      </c>
      <c r="H50" s="26" t="str">
        <f>IFERROR(INDEX('LISTA DE PRECIOS'!H$16:H$1318,MATCH(35,'LISTA DE PRECIOS'!$I$16:$I$1318,0)),"")</f>
        <v/>
      </c>
      <c r="I50" s="27" t="str">
        <f t="shared" si="1"/>
        <v/>
      </c>
    </row>
    <row r="51" spans="1:9">
      <c r="A51" s="22" t="str">
        <f>IFERROR(INDEX('LISTA DE PRECIOS'!A$16:A$1318,MATCH(36,'LISTA DE PRECIOS'!$I$16:$I$1318,0)),"")</f>
        <v/>
      </c>
      <c r="B51" s="23" t="str">
        <f>IFERROR(INDEX('LISTA DE PRECIOS'!B$16:B$1318,MATCH(36,'LISTA DE PRECIOS'!$I$16:$I$1318,0)),"")</f>
        <v/>
      </c>
      <c r="C51" s="23" t="str">
        <f>IFERROR(INDEX('LISTA DE PRECIOS'!C$16:C$1318,MATCH(36,'LISTA DE PRECIOS'!$I$16:$I$1318,0)),"")</f>
        <v/>
      </c>
      <c r="D51" s="24" t="str">
        <f>IFERROR(INDEX('LISTA DE PRECIOS'!D$16:D$1318,MATCH(36,'LISTA DE PRECIOS'!$I$16:$I$1318,0)),"")</f>
        <v/>
      </c>
      <c r="E51" s="23" t="str">
        <f>IFERROR(INDEX('LISTA DE PRECIOS'!E$16:E$1318,MATCH(36,'LISTA DE PRECIOS'!$I$16:$I$1318,0)),"")</f>
        <v/>
      </c>
      <c r="F51" s="23" t="str">
        <f>IFERROR(INDEX('LISTA DE PRECIOS'!F$16:F$1318,MATCH(36,'LISTA DE PRECIOS'!$I$16:$I$1318,0)),"")</f>
        <v/>
      </c>
      <c r="G51" s="25" t="str">
        <f>IFERROR(INDEX('LISTA DE PRECIOS'!G$16:G$1318,MATCH(36,'LISTA DE PRECIOS'!$I$16:$I$1318,0)),"")</f>
        <v/>
      </c>
      <c r="H51" s="26" t="str">
        <f>IFERROR(INDEX('LISTA DE PRECIOS'!H$16:H$1318,MATCH(36,'LISTA DE PRECIOS'!$I$16:$I$1318,0)),"")</f>
        <v/>
      </c>
      <c r="I51" s="27" t="str">
        <f t="shared" si="1"/>
        <v/>
      </c>
    </row>
    <row r="52" spans="1:9">
      <c r="A52" s="22" t="str">
        <f>IFERROR(INDEX('LISTA DE PRECIOS'!A$16:A$1318,MATCH(37,'LISTA DE PRECIOS'!$I$16:$I$1318,0)),"")</f>
        <v/>
      </c>
      <c r="B52" s="23" t="str">
        <f>IFERROR(INDEX('LISTA DE PRECIOS'!B$16:B$1318,MATCH(37,'LISTA DE PRECIOS'!$I$16:$I$1318,0)),"")</f>
        <v/>
      </c>
      <c r="C52" s="23" t="str">
        <f>IFERROR(INDEX('LISTA DE PRECIOS'!C$16:C$1318,MATCH(37,'LISTA DE PRECIOS'!$I$16:$I$1318,0)),"")</f>
        <v/>
      </c>
      <c r="D52" s="24" t="str">
        <f>IFERROR(INDEX('LISTA DE PRECIOS'!D$16:D$1318,MATCH(37,'LISTA DE PRECIOS'!$I$16:$I$1318,0)),"")</f>
        <v/>
      </c>
      <c r="E52" s="23" t="str">
        <f>IFERROR(INDEX('LISTA DE PRECIOS'!E$16:E$1318,MATCH(37,'LISTA DE PRECIOS'!$I$16:$I$1318,0)),"")</f>
        <v/>
      </c>
      <c r="F52" s="23" t="str">
        <f>IFERROR(INDEX('LISTA DE PRECIOS'!F$16:F$1318,MATCH(37,'LISTA DE PRECIOS'!$I$16:$I$1318,0)),"")</f>
        <v/>
      </c>
      <c r="G52" s="25" t="str">
        <f>IFERROR(INDEX('LISTA DE PRECIOS'!G$16:G$1318,MATCH(37,'LISTA DE PRECIOS'!$I$16:$I$1318,0)),"")</f>
        <v/>
      </c>
      <c r="H52" s="26" t="str">
        <f>IFERROR(INDEX('LISTA DE PRECIOS'!H$16:H$1318,MATCH(37,'LISTA DE PRECIOS'!$I$16:$I$1318,0)),"")</f>
        <v/>
      </c>
      <c r="I52" s="27" t="str">
        <f t="shared" si="1"/>
        <v/>
      </c>
    </row>
    <row r="53" spans="1:9">
      <c r="A53" s="22" t="str">
        <f>IFERROR(INDEX('LISTA DE PRECIOS'!A$16:A$1318,MATCH(38,'LISTA DE PRECIOS'!$I$16:$I$1318,0)),"")</f>
        <v/>
      </c>
      <c r="B53" s="23" t="str">
        <f>IFERROR(INDEX('LISTA DE PRECIOS'!B$16:B$1318,MATCH(38,'LISTA DE PRECIOS'!$I$16:$I$1318,0)),"")</f>
        <v/>
      </c>
      <c r="C53" s="23" t="str">
        <f>IFERROR(INDEX('LISTA DE PRECIOS'!C$16:C$1318,MATCH(38,'LISTA DE PRECIOS'!$I$16:$I$1318,0)),"")</f>
        <v/>
      </c>
      <c r="D53" s="24" t="str">
        <f>IFERROR(INDEX('LISTA DE PRECIOS'!D$16:D$1318,MATCH(38,'LISTA DE PRECIOS'!$I$16:$I$1318,0)),"")</f>
        <v/>
      </c>
      <c r="E53" s="23" t="str">
        <f>IFERROR(INDEX('LISTA DE PRECIOS'!E$16:E$1318,MATCH(38,'LISTA DE PRECIOS'!$I$16:$I$1318,0)),"")</f>
        <v/>
      </c>
      <c r="F53" s="23" t="str">
        <f>IFERROR(INDEX('LISTA DE PRECIOS'!F$16:F$1318,MATCH(38,'LISTA DE PRECIOS'!$I$16:$I$1318,0)),"")</f>
        <v/>
      </c>
      <c r="G53" s="25" t="str">
        <f>IFERROR(INDEX('LISTA DE PRECIOS'!G$16:G$1318,MATCH(38,'LISTA DE PRECIOS'!$I$16:$I$1318,0)),"")</f>
        <v/>
      </c>
      <c r="H53" s="26" t="str">
        <f>IFERROR(INDEX('LISTA DE PRECIOS'!H$16:H$1318,MATCH(38,'LISTA DE PRECIOS'!$I$16:$I$1318,0)),"")</f>
        <v/>
      </c>
      <c r="I53" s="27" t="str">
        <f t="shared" si="1"/>
        <v/>
      </c>
    </row>
    <row r="54" spans="1:9">
      <c r="A54" s="22" t="str">
        <f>IFERROR(INDEX('LISTA DE PRECIOS'!A$16:A$1318,MATCH(39,'LISTA DE PRECIOS'!$I$16:$I$1318,0)),"")</f>
        <v/>
      </c>
      <c r="B54" s="23" t="str">
        <f>IFERROR(INDEX('LISTA DE PRECIOS'!B$16:B$1318,MATCH(39,'LISTA DE PRECIOS'!$I$16:$I$1318,0)),"")</f>
        <v/>
      </c>
      <c r="C54" s="23" t="str">
        <f>IFERROR(INDEX('LISTA DE PRECIOS'!C$16:C$1318,MATCH(39,'LISTA DE PRECIOS'!$I$16:$I$1318,0)),"")</f>
        <v/>
      </c>
      <c r="D54" s="24" t="str">
        <f>IFERROR(INDEX('LISTA DE PRECIOS'!D$16:D$1318,MATCH(39,'LISTA DE PRECIOS'!$I$16:$I$1318,0)),"")</f>
        <v/>
      </c>
      <c r="E54" s="23" t="str">
        <f>IFERROR(INDEX('LISTA DE PRECIOS'!E$16:E$1318,MATCH(39,'LISTA DE PRECIOS'!$I$16:$I$1318,0)),"")</f>
        <v/>
      </c>
      <c r="F54" s="23" t="str">
        <f>IFERROR(INDEX('LISTA DE PRECIOS'!F$16:F$1318,MATCH(39,'LISTA DE PRECIOS'!$I$16:$I$1318,0)),"")</f>
        <v/>
      </c>
      <c r="G54" s="25" t="str">
        <f>IFERROR(INDEX('LISTA DE PRECIOS'!G$16:G$1318,MATCH(39,'LISTA DE PRECIOS'!$I$16:$I$1318,0)),"")</f>
        <v/>
      </c>
      <c r="H54" s="26" t="str">
        <f>IFERROR(INDEX('LISTA DE PRECIOS'!H$16:H$1318,MATCH(39,'LISTA DE PRECIOS'!$I$16:$I$1318,0)),"")</f>
        <v/>
      </c>
      <c r="I54" s="27" t="str">
        <f t="shared" si="1"/>
        <v/>
      </c>
    </row>
    <row r="55" spans="1:9">
      <c r="A55" s="22" t="str">
        <f>IFERROR(INDEX('LISTA DE PRECIOS'!A$16:A$1318,MATCH(40,'LISTA DE PRECIOS'!$I$16:$I$1318,0)),"")</f>
        <v/>
      </c>
      <c r="B55" s="23" t="str">
        <f>IFERROR(INDEX('LISTA DE PRECIOS'!B$16:B$1318,MATCH(40,'LISTA DE PRECIOS'!$I$16:$I$1318,0)),"")</f>
        <v/>
      </c>
      <c r="C55" s="23" t="str">
        <f>IFERROR(INDEX('LISTA DE PRECIOS'!C$16:C$1318,MATCH(40,'LISTA DE PRECIOS'!$I$16:$I$1318,0)),"")</f>
        <v/>
      </c>
      <c r="D55" s="24" t="str">
        <f>IFERROR(INDEX('LISTA DE PRECIOS'!D$16:D$1318,MATCH(40,'LISTA DE PRECIOS'!$I$16:$I$1318,0)),"")</f>
        <v/>
      </c>
      <c r="E55" s="23" t="str">
        <f>IFERROR(INDEX('LISTA DE PRECIOS'!E$16:E$1318,MATCH(40,'LISTA DE PRECIOS'!$I$16:$I$1318,0)),"")</f>
        <v/>
      </c>
      <c r="F55" s="23" t="str">
        <f>IFERROR(INDEX('LISTA DE PRECIOS'!F$16:F$1318,MATCH(40,'LISTA DE PRECIOS'!$I$16:$I$1318,0)),"")</f>
        <v/>
      </c>
      <c r="G55" s="25" t="str">
        <f>IFERROR(INDEX('LISTA DE PRECIOS'!G$16:G$1318,MATCH(40,'LISTA DE PRECIOS'!$I$16:$I$1318,0)),"")</f>
        <v/>
      </c>
      <c r="H55" s="26" t="str">
        <f>IFERROR(INDEX('LISTA DE PRECIOS'!H$16:H$1318,MATCH(40,'LISTA DE PRECIOS'!$I$16:$I$1318,0)),"")</f>
        <v/>
      </c>
      <c r="I55" s="27" t="str">
        <f t="shared" si="1"/>
        <v/>
      </c>
    </row>
    <row r="56" spans="1:9">
      <c r="A56" s="22" t="str">
        <f>IFERROR(INDEX('LISTA DE PRECIOS'!A$16:A$1318,MATCH(41,'LISTA DE PRECIOS'!$I$16:$I$1318,0)),"")</f>
        <v/>
      </c>
      <c r="B56" s="23" t="str">
        <f>IFERROR(INDEX('LISTA DE PRECIOS'!B$16:B$1318,MATCH(41,'LISTA DE PRECIOS'!$I$16:$I$1318,0)),"")</f>
        <v/>
      </c>
      <c r="C56" s="23" t="str">
        <f>IFERROR(INDEX('LISTA DE PRECIOS'!C$16:C$1318,MATCH(41,'LISTA DE PRECIOS'!$I$16:$I$1318,0)),"")</f>
        <v/>
      </c>
      <c r="D56" s="24" t="str">
        <f>IFERROR(INDEX('LISTA DE PRECIOS'!D$16:D$1318,MATCH(41,'LISTA DE PRECIOS'!$I$16:$I$1318,0)),"")</f>
        <v/>
      </c>
      <c r="E56" s="23" t="str">
        <f>IFERROR(INDEX('LISTA DE PRECIOS'!E$16:E$1318,MATCH(41,'LISTA DE PRECIOS'!$I$16:$I$1318,0)),"")</f>
        <v/>
      </c>
      <c r="F56" s="23" t="str">
        <f>IFERROR(INDEX('LISTA DE PRECIOS'!F$16:F$1318,MATCH(41,'LISTA DE PRECIOS'!$I$16:$I$1318,0)),"")</f>
        <v/>
      </c>
      <c r="G56" s="25" t="str">
        <f>IFERROR(INDEX('LISTA DE PRECIOS'!G$16:G$1318,MATCH(41,'LISTA DE PRECIOS'!$I$16:$I$1318,0)),"")</f>
        <v/>
      </c>
      <c r="H56" s="26" t="str">
        <f>IFERROR(INDEX('LISTA DE PRECIOS'!H$16:H$1318,MATCH(41,'LISTA DE PRECIOS'!$I$16:$I$1318,0)),"")</f>
        <v/>
      </c>
      <c r="I56" s="27" t="str">
        <f t="shared" si="1"/>
        <v/>
      </c>
    </row>
    <row r="57" spans="1:9">
      <c r="A57" s="22" t="str">
        <f>IFERROR(INDEX('LISTA DE PRECIOS'!A$16:A$1318,MATCH(42,'LISTA DE PRECIOS'!$I$16:$I$1318,0)),"")</f>
        <v/>
      </c>
      <c r="B57" s="23" t="str">
        <f>IFERROR(INDEX('LISTA DE PRECIOS'!B$16:B$1318,MATCH(42,'LISTA DE PRECIOS'!$I$16:$I$1318,0)),"")</f>
        <v/>
      </c>
      <c r="C57" s="23" t="str">
        <f>IFERROR(INDEX('LISTA DE PRECIOS'!C$16:C$1318,MATCH(42,'LISTA DE PRECIOS'!$I$16:$I$1318,0)),"")</f>
        <v/>
      </c>
      <c r="D57" s="24" t="str">
        <f>IFERROR(INDEX('LISTA DE PRECIOS'!D$16:D$1318,MATCH(42,'LISTA DE PRECIOS'!$I$16:$I$1318,0)),"")</f>
        <v/>
      </c>
      <c r="E57" s="23" t="str">
        <f>IFERROR(INDEX('LISTA DE PRECIOS'!E$16:E$1318,MATCH(42,'LISTA DE PRECIOS'!$I$16:$I$1318,0)),"")</f>
        <v/>
      </c>
      <c r="F57" s="23" t="str">
        <f>IFERROR(INDEX('LISTA DE PRECIOS'!F$16:F$1318,MATCH(42,'LISTA DE PRECIOS'!$I$16:$I$1318,0)),"")</f>
        <v/>
      </c>
      <c r="G57" s="25" t="str">
        <f>IFERROR(INDEX('LISTA DE PRECIOS'!G$16:G$1318,MATCH(42,'LISTA DE PRECIOS'!$I$16:$I$1318,0)),"")</f>
        <v/>
      </c>
      <c r="H57" s="26" t="str">
        <f>IFERROR(INDEX('LISTA DE PRECIOS'!H$16:H$1318,MATCH(42,'LISTA DE PRECIOS'!$I$16:$I$1318,0)),"")</f>
        <v/>
      </c>
      <c r="I57" s="27" t="str">
        <f t="shared" si="1"/>
        <v/>
      </c>
    </row>
    <row r="58" spans="1:9">
      <c r="A58" s="22" t="str">
        <f>IFERROR(INDEX('LISTA DE PRECIOS'!A$16:A$1318,MATCH(43,'LISTA DE PRECIOS'!$I$16:$I$1318,0)),"")</f>
        <v/>
      </c>
      <c r="B58" s="23" t="str">
        <f>IFERROR(INDEX('LISTA DE PRECIOS'!B$16:B$1318,MATCH(43,'LISTA DE PRECIOS'!$I$16:$I$1318,0)),"")</f>
        <v/>
      </c>
      <c r="C58" s="23" t="str">
        <f>IFERROR(INDEX('LISTA DE PRECIOS'!C$16:C$1318,MATCH(43,'LISTA DE PRECIOS'!$I$16:$I$1318,0)),"")</f>
        <v/>
      </c>
      <c r="D58" s="24" t="str">
        <f>IFERROR(INDEX('LISTA DE PRECIOS'!D$16:D$1318,MATCH(43,'LISTA DE PRECIOS'!$I$16:$I$1318,0)),"")</f>
        <v/>
      </c>
      <c r="E58" s="23" t="str">
        <f>IFERROR(INDEX('LISTA DE PRECIOS'!E$16:E$1318,MATCH(43,'LISTA DE PRECIOS'!$I$16:$I$1318,0)),"")</f>
        <v/>
      </c>
      <c r="F58" s="23" t="str">
        <f>IFERROR(INDEX('LISTA DE PRECIOS'!F$16:F$1318,MATCH(43,'LISTA DE PRECIOS'!$I$16:$I$1318,0)),"")</f>
        <v/>
      </c>
      <c r="G58" s="25" t="str">
        <f>IFERROR(INDEX('LISTA DE PRECIOS'!G$16:G$1318,MATCH(43,'LISTA DE PRECIOS'!$I$16:$I$1318,0)),"")</f>
        <v/>
      </c>
      <c r="H58" s="26" t="str">
        <f>IFERROR(INDEX('LISTA DE PRECIOS'!H$16:H$1318,MATCH(43,'LISTA DE PRECIOS'!$I$16:$I$1318,0)),"")</f>
        <v/>
      </c>
      <c r="I58" s="27" t="str">
        <f t="shared" si="1"/>
        <v/>
      </c>
    </row>
    <row r="59" spans="1:9">
      <c r="A59" s="22" t="str">
        <f>IFERROR(INDEX('LISTA DE PRECIOS'!A$16:A$1318,MATCH(44,'LISTA DE PRECIOS'!$I$16:$I$1318,0)),"")</f>
        <v/>
      </c>
      <c r="B59" s="23" t="str">
        <f>IFERROR(INDEX('LISTA DE PRECIOS'!B$16:B$1318,MATCH(44,'LISTA DE PRECIOS'!$I$16:$I$1318,0)),"")</f>
        <v/>
      </c>
      <c r="C59" s="23" t="str">
        <f>IFERROR(INDEX('LISTA DE PRECIOS'!C$16:C$1318,MATCH(44,'LISTA DE PRECIOS'!$I$16:$I$1318,0)),"")</f>
        <v/>
      </c>
      <c r="D59" s="24" t="str">
        <f>IFERROR(INDEX('LISTA DE PRECIOS'!D$16:D$1318,MATCH(44,'LISTA DE PRECIOS'!$I$16:$I$1318,0)),"")</f>
        <v/>
      </c>
      <c r="E59" s="23" t="str">
        <f>IFERROR(INDEX('LISTA DE PRECIOS'!E$16:E$1318,MATCH(44,'LISTA DE PRECIOS'!$I$16:$I$1318,0)),"")</f>
        <v/>
      </c>
      <c r="F59" s="23" t="str">
        <f>IFERROR(INDEX('LISTA DE PRECIOS'!F$16:F$1318,MATCH(44,'LISTA DE PRECIOS'!$I$16:$I$1318,0)),"")</f>
        <v/>
      </c>
      <c r="G59" s="25" t="str">
        <f>IFERROR(INDEX('LISTA DE PRECIOS'!G$16:G$1318,MATCH(44,'LISTA DE PRECIOS'!$I$16:$I$1318,0)),"")</f>
        <v/>
      </c>
      <c r="H59" s="26" t="str">
        <f>IFERROR(INDEX('LISTA DE PRECIOS'!H$16:H$1318,MATCH(44,'LISTA DE PRECIOS'!$I$16:$I$1318,0)),"")</f>
        <v/>
      </c>
      <c r="I59" s="27" t="str">
        <f t="shared" si="1"/>
        <v/>
      </c>
    </row>
    <row r="60" spans="1:9">
      <c r="A60" s="22" t="str">
        <f>IFERROR(INDEX('LISTA DE PRECIOS'!A$16:A$1318,MATCH(45,'LISTA DE PRECIOS'!$I$16:$I$1318,0)),"")</f>
        <v/>
      </c>
      <c r="B60" s="23" t="str">
        <f>IFERROR(INDEX('LISTA DE PRECIOS'!B$16:B$1318,MATCH(45,'LISTA DE PRECIOS'!$I$16:$I$1318,0)),"")</f>
        <v/>
      </c>
      <c r="C60" s="23" t="str">
        <f>IFERROR(INDEX('LISTA DE PRECIOS'!C$16:C$1318,MATCH(45,'LISTA DE PRECIOS'!$I$16:$I$1318,0)),"")</f>
        <v/>
      </c>
      <c r="D60" s="24" t="str">
        <f>IFERROR(INDEX('LISTA DE PRECIOS'!D$16:D$1318,MATCH(45,'LISTA DE PRECIOS'!$I$16:$I$1318,0)),"")</f>
        <v/>
      </c>
      <c r="E60" s="23" t="str">
        <f>IFERROR(INDEX('LISTA DE PRECIOS'!E$16:E$1318,MATCH(45,'LISTA DE PRECIOS'!$I$16:$I$1318,0)),"")</f>
        <v/>
      </c>
      <c r="F60" s="23" t="str">
        <f>IFERROR(INDEX('LISTA DE PRECIOS'!F$16:F$1318,MATCH(45,'LISTA DE PRECIOS'!$I$16:$I$1318,0)),"")</f>
        <v/>
      </c>
      <c r="G60" s="25" t="str">
        <f>IFERROR(INDEX('LISTA DE PRECIOS'!G$16:G$1318,MATCH(45,'LISTA DE PRECIOS'!$I$16:$I$1318,0)),"")</f>
        <v/>
      </c>
      <c r="H60" s="26" t="str">
        <f>IFERROR(INDEX('LISTA DE PRECIOS'!H$16:H$1318,MATCH(45,'LISTA DE PRECIOS'!$I$16:$I$1318,0)),"")</f>
        <v/>
      </c>
      <c r="I60" s="27" t="str">
        <f t="shared" si="1"/>
        <v/>
      </c>
    </row>
    <row r="61" spans="1:9">
      <c r="A61" s="22" t="str">
        <f>IFERROR(INDEX('LISTA DE PRECIOS'!A$16:A$1318,MATCH(46,'LISTA DE PRECIOS'!$I$16:$I$1318,0)),"")</f>
        <v/>
      </c>
      <c r="B61" s="23" t="str">
        <f>IFERROR(INDEX('LISTA DE PRECIOS'!B$16:B$1318,MATCH(46,'LISTA DE PRECIOS'!$I$16:$I$1318,0)),"")</f>
        <v/>
      </c>
      <c r="C61" s="23" t="str">
        <f>IFERROR(INDEX('LISTA DE PRECIOS'!C$16:C$1318,MATCH(46,'LISTA DE PRECIOS'!$I$16:$I$1318,0)),"")</f>
        <v/>
      </c>
      <c r="D61" s="24" t="str">
        <f>IFERROR(INDEX('LISTA DE PRECIOS'!D$16:D$1318,MATCH(46,'LISTA DE PRECIOS'!$I$16:$I$1318,0)),"")</f>
        <v/>
      </c>
      <c r="E61" s="23" t="str">
        <f>IFERROR(INDEX('LISTA DE PRECIOS'!E$16:E$1318,MATCH(46,'LISTA DE PRECIOS'!$I$16:$I$1318,0)),"")</f>
        <v/>
      </c>
      <c r="F61" s="23" t="str">
        <f>IFERROR(INDEX('LISTA DE PRECIOS'!F$16:F$1318,MATCH(46,'LISTA DE PRECIOS'!$I$16:$I$1318,0)),"")</f>
        <v/>
      </c>
      <c r="G61" s="25" t="str">
        <f>IFERROR(INDEX('LISTA DE PRECIOS'!G$16:G$1318,MATCH(46,'LISTA DE PRECIOS'!$I$16:$I$1318,0)),"")</f>
        <v/>
      </c>
      <c r="H61" s="26" t="str">
        <f>IFERROR(INDEX('LISTA DE PRECIOS'!H$16:H$1318,MATCH(46,'LISTA DE PRECIOS'!$I$16:$I$1318,0)),"")</f>
        <v/>
      </c>
      <c r="I61" s="27" t="str">
        <f t="shared" si="1"/>
        <v/>
      </c>
    </row>
    <row r="62" spans="1:9">
      <c r="A62" s="22" t="str">
        <f>IFERROR(INDEX('LISTA DE PRECIOS'!A$16:A$1318,MATCH(47,'LISTA DE PRECIOS'!$I$16:$I$1318,0)),"")</f>
        <v/>
      </c>
      <c r="B62" s="23" t="str">
        <f>IFERROR(INDEX('LISTA DE PRECIOS'!B$16:B$1318,MATCH(47,'LISTA DE PRECIOS'!$I$16:$I$1318,0)),"")</f>
        <v/>
      </c>
      <c r="C62" s="23" t="str">
        <f>IFERROR(INDEX('LISTA DE PRECIOS'!C$16:C$1318,MATCH(47,'LISTA DE PRECIOS'!$I$16:$I$1318,0)),"")</f>
        <v/>
      </c>
      <c r="D62" s="24" t="str">
        <f>IFERROR(INDEX('LISTA DE PRECIOS'!D$16:D$1318,MATCH(47,'LISTA DE PRECIOS'!$I$16:$I$1318,0)),"")</f>
        <v/>
      </c>
      <c r="E62" s="23" t="str">
        <f>IFERROR(INDEX('LISTA DE PRECIOS'!E$16:E$1318,MATCH(47,'LISTA DE PRECIOS'!$I$16:$I$1318,0)),"")</f>
        <v/>
      </c>
      <c r="F62" s="23" t="str">
        <f>IFERROR(INDEX('LISTA DE PRECIOS'!F$16:F$1318,MATCH(47,'LISTA DE PRECIOS'!$I$16:$I$1318,0)),"")</f>
        <v/>
      </c>
      <c r="G62" s="25" t="str">
        <f>IFERROR(INDEX('LISTA DE PRECIOS'!G$16:G$1318,MATCH(47,'LISTA DE PRECIOS'!$I$16:$I$1318,0)),"")</f>
        <v/>
      </c>
      <c r="H62" s="26" t="str">
        <f>IFERROR(INDEX('LISTA DE PRECIOS'!H$16:H$1318,MATCH(47,'LISTA DE PRECIOS'!$I$16:$I$1318,0)),"")</f>
        <v/>
      </c>
      <c r="I62" s="27" t="str">
        <f t="shared" si="1"/>
        <v/>
      </c>
    </row>
    <row r="63" spans="1:9">
      <c r="A63" s="22" t="str">
        <f>IFERROR(INDEX('LISTA DE PRECIOS'!A$16:A$1318,MATCH(48,'LISTA DE PRECIOS'!$I$16:$I$1318,0)),"")</f>
        <v/>
      </c>
      <c r="B63" s="23" t="str">
        <f>IFERROR(INDEX('LISTA DE PRECIOS'!B$16:B$1318,MATCH(48,'LISTA DE PRECIOS'!$I$16:$I$1318,0)),"")</f>
        <v/>
      </c>
      <c r="C63" s="23" t="str">
        <f>IFERROR(INDEX('LISTA DE PRECIOS'!C$16:C$1318,MATCH(48,'LISTA DE PRECIOS'!$I$16:$I$1318,0)),"")</f>
        <v/>
      </c>
      <c r="D63" s="24" t="str">
        <f>IFERROR(INDEX('LISTA DE PRECIOS'!D$16:D$1318,MATCH(48,'LISTA DE PRECIOS'!$I$16:$I$1318,0)),"")</f>
        <v/>
      </c>
      <c r="E63" s="23" t="str">
        <f>IFERROR(INDEX('LISTA DE PRECIOS'!E$16:E$1318,MATCH(48,'LISTA DE PRECIOS'!$I$16:$I$1318,0)),"")</f>
        <v/>
      </c>
      <c r="F63" s="23" t="str">
        <f>IFERROR(INDEX('LISTA DE PRECIOS'!F$16:F$1318,MATCH(48,'LISTA DE PRECIOS'!$I$16:$I$1318,0)),"")</f>
        <v/>
      </c>
      <c r="G63" s="25" t="str">
        <f>IFERROR(INDEX('LISTA DE PRECIOS'!G$16:G$1318,MATCH(48,'LISTA DE PRECIOS'!$I$16:$I$1318,0)),"")</f>
        <v/>
      </c>
      <c r="H63" s="26" t="str">
        <f>IFERROR(INDEX('LISTA DE PRECIOS'!H$16:H$1318,MATCH(48,'LISTA DE PRECIOS'!$I$16:$I$1318,0)),"")</f>
        <v/>
      </c>
      <c r="I63" s="27" t="str">
        <f t="shared" si="1"/>
        <v/>
      </c>
    </row>
    <row r="64" spans="1:9">
      <c r="A64" s="22" t="str">
        <f>IFERROR(INDEX('LISTA DE PRECIOS'!A$16:A$1318,MATCH(49,'LISTA DE PRECIOS'!$I$16:$I$1318,0)),"")</f>
        <v/>
      </c>
      <c r="B64" s="23" t="str">
        <f>IFERROR(INDEX('LISTA DE PRECIOS'!B$16:B$1318,MATCH(49,'LISTA DE PRECIOS'!$I$16:$I$1318,0)),"")</f>
        <v/>
      </c>
      <c r="C64" s="23" t="str">
        <f>IFERROR(INDEX('LISTA DE PRECIOS'!C$16:C$1318,MATCH(49,'LISTA DE PRECIOS'!$I$16:$I$1318,0)),"")</f>
        <v/>
      </c>
      <c r="D64" s="24" t="str">
        <f>IFERROR(INDEX('LISTA DE PRECIOS'!D$16:D$1318,MATCH(49,'LISTA DE PRECIOS'!$I$16:$I$1318,0)),"")</f>
        <v/>
      </c>
      <c r="E64" s="23" t="str">
        <f>IFERROR(INDEX('LISTA DE PRECIOS'!E$16:E$1318,MATCH(49,'LISTA DE PRECIOS'!$I$16:$I$1318,0)),"")</f>
        <v/>
      </c>
      <c r="F64" s="23" t="str">
        <f>IFERROR(INDEX('LISTA DE PRECIOS'!F$16:F$1318,MATCH(49,'LISTA DE PRECIOS'!$I$16:$I$1318,0)),"")</f>
        <v/>
      </c>
      <c r="G64" s="25" t="str">
        <f>IFERROR(INDEX('LISTA DE PRECIOS'!G$16:G$1318,MATCH(49,'LISTA DE PRECIOS'!$I$16:$I$1318,0)),"")</f>
        <v/>
      </c>
      <c r="H64" s="26" t="str">
        <f>IFERROR(INDEX('LISTA DE PRECIOS'!H$16:H$1318,MATCH(49,'LISTA DE PRECIOS'!$I$16:$I$1318,0)),"")</f>
        <v/>
      </c>
      <c r="I64" s="27" t="str">
        <f t="shared" si="1"/>
        <v/>
      </c>
    </row>
    <row r="65" spans="1:9">
      <c r="A65" s="22" t="str">
        <f>IFERROR(INDEX('LISTA DE PRECIOS'!A$16:A$1318,MATCH(50,'LISTA DE PRECIOS'!$I$16:$I$1318,0)),"")</f>
        <v/>
      </c>
      <c r="B65" s="23" t="str">
        <f>IFERROR(INDEX('LISTA DE PRECIOS'!B$16:B$1318,MATCH(50,'LISTA DE PRECIOS'!$I$16:$I$1318,0)),"")</f>
        <v/>
      </c>
      <c r="C65" s="23" t="str">
        <f>IFERROR(INDEX('LISTA DE PRECIOS'!C$16:C$1318,MATCH(50,'LISTA DE PRECIOS'!$I$16:$I$1318,0)),"")</f>
        <v/>
      </c>
      <c r="D65" s="24" t="str">
        <f>IFERROR(INDEX('LISTA DE PRECIOS'!D$16:D$1318,MATCH(50,'LISTA DE PRECIOS'!$I$16:$I$1318,0)),"")</f>
        <v/>
      </c>
      <c r="E65" s="23" t="str">
        <f>IFERROR(INDEX('LISTA DE PRECIOS'!E$16:E$1318,MATCH(50,'LISTA DE PRECIOS'!$I$16:$I$1318,0)),"")</f>
        <v/>
      </c>
      <c r="F65" s="23" t="str">
        <f>IFERROR(INDEX('LISTA DE PRECIOS'!F$16:F$1318,MATCH(50,'LISTA DE PRECIOS'!$I$16:$I$1318,0)),"")</f>
        <v/>
      </c>
      <c r="G65" s="25" t="str">
        <f>IFERROR(INDEX('LISTA DE PRECIOS'!G$16:G$1318,MATCH(50,'LISTA DE PRECIOS'!$I$16:$I$1318,0)),"")</f>
        <v/>
      </c>
      <c r="H65" s="26" t="str">
        <f>IFERROR(INDEX('LISTA DE PRECIOS'!H$16:H$1318,MATCH(50,'LISTA DE PRECIOS'!$I$16:$I$1318,0)),"")</f>
        <v/>
      </c>
      <c r="I65" s="27" t="str">
        <f t="shared" si="1"/>
        <v/>
      </c>
    </row>
    <row r="66" spans="1:9">
      <c r="A66" s="22" t="str">
        <f>IFERROR(INDEX('LISTA DE PRECIOS'!A$16:A$1318,MATCH(51,'LISTA DE PRECIOS'!$I$16:$I$1318,0)),"")</f>
        <v/>
      </c>
      <c r="B66" s="23" t="str">
        <f>IFERROR(INDEX('LISTA DE PRECIOS'!B$16:B$1318,MATCH(51,'LISTA DE PRECIOS'!$I$16:$I$1318,0)),"")</f>
        <v/>
      </c>
      <c r="C66" s="23" t="str">
        <f>IFERROR(INDEX('LISTA DE PRECIOS'!C$16:C$1318,MATCH(51,'LISTA DE PRECIOS'!$I$16:$I$1318,0)),"")</f>
        <v/>
      </c>
      <c r="D66" s="24" t="str">
        <f>IFERROR(INDEX('LISTA DE PRECIOS'!D$16:D$1318,MATCH(51,'LISTA DE PRECIOS'!$I$16:$I$1318,0)),"")</f>
        <v/>
      </c>
      <c r="E66" s="23" t="str">
        <f>IFERROR(INDEX('LISTA DE PRECIOS'!E$16:E$1318,MATCH(51,'LISTA DE PRECIOS'!$I$16:$I$1318,0)),"")</f>
        <v/>
      </c>
      <c r="F66" s="23" t="str">
        <f>IFERROR(INDEX('LISTA DE PRECIOS'!F$16:F$1318,MATCH(51,'LISTA DE PRECIOS'!$I$16:$I$1318,0)),"")</f>
        <v/>
      </c>
      <c r="G66" s="25" t="str">
        <f>IFERROR(INDEX('LISTA DE PRECIOS'!G$16:G$1318,MATCH(51,'LISTA DE PRECIOS'!$I$16:$I$1318,0)),"")</f>
        <v/>
      </c>
      <c r="H66" s="26" t="str">
        <f>IFERROR(INDEX('LISTA DE PRECIOS'!H$16:H$1318,MATCH(51,'LISTA DE PRECIOS'!$I$16:$I$1318,0)),"")</f>
        <v/>
      </c>
      <c r="I66" s="27" t="str">
        <f t="shared" si="1"/>
        <v/>
      </c>
    </row>
    <row r="67" spans="1:9">
      <c r="A67" s="22" t="str">
        <f>IFERROR(INDEX('LISTA DE PRECIOS'!A$16:A$1318,MATCH(52,'LISTA DE PRECIOS'!$I$16:$I$1318,0)),"")</f>
        <v/>
      </c>
      <c r="B67" s="23" t="str">
        <f>IFERROR(INDEX('LISTA DE PRECIOS'!B$16:B$1318,MATCH(52,'LISTA DE PRECIOS'!$I$16:$I$1318,0)),"")</f>
        <v/>
      </c>
      <c r="C67" s="23" t="str">
        <f>IFERROR(INDEX('LISTA DE PRECIOS'!C$16:C$1318,MATCH(52,'LISTA DE PRECIOS'!$I$16:$I$1318,0)),"")</f>
        <v/>
      </c>
      <c r="D67" s="24" t="str">
        <f>IFERROR(INDEX('LISTA DE PRECIOS'!D$16:D$1318,MATCH(52,'LISTA DE PRECIOS'!$I$16:$I$1318,0)),"")</f>
        <v/>
      </c>
      <c r="E67" s="23" t="str">
        <f>IFERROR(INDEX('LISTA DE PRECIOS'!E$16:E$1318,MATCH(52,'LISTA DE PRECIOS'!$I$16:$I$1318,0)),"")</f>
        <v/>
      </c>
      <c r="F67" s="23" t="str">
        <f>IFERROR(INDEX('LISTA DE PRECIOS'!F$16:F$1318,MATCH(52,'LISTA DE PRECIOS'!$I$16:$I$1318,0)),"")</f>
        <v/>
      </c>
      <c r="G67" s="25" t="str">
        <f>IFERROR(INDEX('LISTA DE PRECIOS'!G$16:G$1318,MATCH(52,'LISTA DE PRECIOS'!$I$16:$I$1318,0)),"")</f>
        <v/>
      </c>
      <c r="H67" s="26" t="str">
        <f>IFERROR(INDEX('LISTA DE PRECIOS'!H$16:H$1318,MATCH(52,'LISTA DE PRECIOS'!$I$16:$I$1318,0)),"")</f>
        <v/>
      </c>
      <c r="I67" s="27" t="str">
        <f t="shared" si="1"/>
        <v/>
      </c>
    </row>
    <row r="68" spans="1:9">
      <c r="A68" s="22" t="str">
        <f>IFERROR(INDEX('LISTA DE PRECIOS'!A$16:A$1318,MATCH(53,'LISTA DE PRECIOS'!$I$16:$I$1318,0)),"")</f>
        <v/>
      </c>
      <c r="B68" s="23" t="str">
        <f>IFERROR(INDEX('LISTA DE PRECIOS'!B$16:B$1318,MATCH(53,'LISTA DE PRECIOS'!$I$16:$I$1318,0)),"")</f>
        <v/>
      </c>
      <c r="C68" s="23" t="str">
        <f>IFERROR(INDEX('LISTA DE PRECIOS'!C$16:C$1318,MATCH(53,'LISTA DE PRECIOS'!$I$16:$I$1318,0)),"")</f>
        <v/>
      </c>
      <c r="D68" s="24" t="str">
        <f>IFERROR(INDEX('LISTA DE PRECIOS'!D$16:D$1318,MATCH(53,'LISTA DE PRECIOS'!$I$16:$I$1318,0)),"")</f>
        <v/>
      </c>
      <c r="E68" s="23" t="str">
        <f>IFERROR(INDEX('LISTA DE PRECIOS'!E$16:E$1318,MATCH(53,'LISTA DE PRECIOS'!$I$16:$I$1318,0)),"")</f>
        <v/>
      </c>
      <c r="F68" s="23" t="str">
        <f>IFERROR(INDEX('LISTA DE PRECIOS'!F$16:F$1318,MATCH(53,'LISTA DE PRECIOS'!$I$16:$I$1318,0)),"")</f>
        <v/>
      </c>
      <c r="G68" s="25" t="str">
        <f>IFERROR(INDEX('LISTA DE PRECIOS'!G$16:G$1318,MATCH(53,'LISTA DE PRECIOS'!$I$16:$I$1318,0)),"")</f>
        <v/>
      </c>
      <c r="H68" s="26" t="str">
        <f>IFERROR(INDEX('LISTA DE PRECIOS'!H$16:H$1318,MATCH(53,'LISTA DE PRECIOS'!$I$16:$I$1318,0)),"")</f>
        <v/>
      </c>
      <c r="I68" s="27" t="str">
        <f t="shared" si="1"/>
        <v/>
      </c>
    </row>
    <row r="69" spans="1:9">
      <c r="A69" s="22" t="str">
        <f>IFERROR(INDEX('LISTA DE PRECIOS'!A$16:A$1318,MATCH(54,'LISTA DE PRECIOS'!$I$16:$I$1318,0)),"")</f>
        <v/>
      </c>
      <c r="B69" s="23" t="str">
        <f>IFERROR(INDEX('LISTA DE PRECIOS'!B$16:B$1318,MATCH(54,'LISTA DE PRECIOS'!$I$16:$I$1318,0)),"")</f>
        <v/>
      </c>
      <c r="C69" s="23" t="str">
        <f>IFERROR(INDEX('LISTA DE PRECIOS'!C$16:C$1318,MATCH(54,'LISTA DE PRECIOS'!$I$16:$I$1318,0)),"")</f>
        <v/>
      </c>
      <c r="D69" s="24" t="str">
        <f>IFERROR(INDEX('LISTA DE PRECIOS'!D$16:D$1318,MATCH(54,'LISTA DE PRECIOS'!$I$16:$I$1318,0)),"")</f>
        <v/>
      </c>
      <c r="E69" s="23" t="str">
        <f>IFERROR(INDEX('LISTA DE PRECIOS'!E$16:E$1318,MATCH(54,'LISTA DE PRECIOS'!$I$16:$I$1318,0)),"")</f>
        <v/>
      </c>
      <c r="F69" s="23" t="str">
        <f>IFERROR(INDEX('LISTA DE PRECIOS'!F$16:F$1318,MATCH(54,'LISTA DE PRECIOS'!$I$16:$I$1318,0)),"")</f>
        <v/>
      </c>
      <c r="G69" s="25" t="str">
        <f>IFERROR(INDEX('LISTA DE PRECIOS'!G$16:G$1318,MATCH(54,'LISTA DE PRECIOS'!$I$16:$I$1318,0)),"")</f>
        <v/>
      </c>
      <c r="H69" s="26" t="str">
        <f>IFERROR(INDEX('LISTA DE PRECIOS'!H$16:H$1318,MATCH(54,'LISTA DE PRECIOS'!$I$16:$I$1318,0)),"")</f>
        <v/>
      </c>
      <c r="I69" s="27" t="str">
        <f t="shared" si="1"/>
        <v/>
      </c>
    </row>
    <row r="70" spans="1:9">
      <c r="A70" s="22" t="str">
        <f>IFERROR(INDEX('LISTA DE PRECIOS'!A$16:A$1318,MATCH(55,'LISTA DE PRECIOS'!$I$16:$I$1318,0)),"")</f>
        <v/>
      </c>
      <c r="B70" s="23" t="str">
        <f>IFERROR(INDEX('LISTA DE PRECIOS'!B$16:B$1318,MATCH(55,'LISTA DE PRECIOS'!$I$16:$I$1318,0)),"")</f>
        <v/>
      </c>
      <c r="C70" s="23" t="str">
        <f>IFERROR(INDEX('LISTA DE PRECIOS'!C$16:C$1318,MATCH(55,'LISTA DE PRECIOS'!$I$16:$I$1318,0)),"")</f>
        <v/>
      </c>
      <c r="D70" s="24" t="str">
        <f>IFERROR(INDEX('LISTA DE PRECIOS'!D$16:D$1318,MATCH(55,'LISTA DE PRECIOS'!$I$16:$I$1318,0)),"")</f>
        <v/>
      </c>
      <c r="E70" s="23" t="str">
        <f>IFERROR(INDEX('LISTA DE PRECIOS'!E$16:E$1318,MATCH(55,'LISTA DE PRECIOS'!$I$16:$I$1318,0)),"")</f>
        <v/>
      </c>
      <c r="F70" s="23" t="str">
        <f>IFERROR(INDEX('LISTA DE PRECIOS'!F$16:F$1318,MATCH(55,'LISTA DE PRECIOS'!$I$16:$I$1318,0)),"")</f>
        <v/>
      </c>
      <c r="G70" s="25" t="str">
        <f>IFERROR(INDEX('LISTA DE PRECIOS'!G$16:G$1318,MATCH(55,'LISTA DE PRECIOS'!$I$16:$I$1318,0)),"")</f>
        <v/>
      </c>
      <c r="H70" s="26" t="str">
        <f>IFERROR(INDEX('LISTA DE PRECIOS'!H$16:H$1318,MATCH(55,'LISTA DE PRECIOS'!$I$16:$I$1318,0)),"")</f>
        <v/>
      </c>
      <c r="I70" s="27" t="str">
        <f t="shared" si="1"/>
        <v/>
      </c>
    </row>
    <row r="71" spans="1:9">
      <c r="A71" s="22" t="str">
        <f>IFERROR(INDEX('LISTA DE PRECIOS'!A$16:A$1318,MATCH(56,'LISTA DE PRECIOS'!$I$16:$I$1318,0)),"")</f>
        <v/>
      </c>
      <c r="B71" s="23" t="str">
        <f>IFERROR(INDEX('LISTA DE PRECIOS'!B$16:B$1318,MATCH(56,'LISTA DE PRECIOS'!$I$16:$I$1318,0)),"")</f>
        <v/>
      </c>
      <c r="C71" s="23" t="str">
        <f>IFERROR(INDEX('LISTA DE PRECIOS'!C$16:C$1318,MATCH(56,'LISTA DE PRECIOS'!$I$16:$I$1318,0)),"")</f>
        <v/>
      </c>
      <c r="D71" s="24" t="str">
        <f>IFERROR(INDEX('LISTA DE PRECIOS'!D$16:D$1318,MATCH(56,'LISTA DE PRECIOS'!$I$16:$I$1318,0)),"")</f>
        <v/>
      </c>
      <c r="E71" s="23" t="str">
        <f>IFERROR(INDEX('LISTA DE PRECIOS'!E$16:E$1318,MATCH(56,'LISTA DE PRECIOS'!$I$16:$I$1318,0)),"")</f>
        <v/>
      </c>
      <c r="F71" s="23" t="str">
        <f>IFERROR(INDEX('LISTA DE PRECIOS'!F$16:F$1318,MATCH(56,'LISTA DE PRECIOS'!$I$16:$I$1318,0)),"")</f>
        <v/>
      </c>
      <c r="G71" s="25" t="str">
        <f>IFERROR(INDEX('LISTA DE PRECIOS'!G$16:G$1318,MATCH(56,'LISTA DE PRECIOS'!$I$16:$I$1318,0)),"")</f>
        <v/>
      </c>
      <c r="H71" s="26" t="str">
        <f>IFERROR(INDEX('LISTA DE PRECIOS'!H$16:H$1318,MATCH(56,'LISTA DE PRECIOS'!$I$16:$I$1318,0)),"")</f>
        <v/>
      </c>
      <c r="I71" s="27" t="str">
        <f t="shared" si="1"/>
        <v/>
      </c>
    </row>
    <row r="72" spans="1:9">
      <c r="A72" s="22" t="str">
        <f>IFERROR(INDEX('LISTA DE PRECIOS'!A$16:A$1318,MATCH(57,'LISTA DE PRECIOS'!$I$16:$I$1318,0)),"")</f>
        <v/>
      </c>
      <c r="B72" s="23" t="str">
        <f>IFERROR(INDEX('LISTA DE PRECIOS'!B$16:B$1318,MATCH(57,'LISTA DE PRECIOS'!$I$16:$I$1318,0)),"")</f>
        <v/>
      </c>
      <c r="C72" s="23" t="str">
        <f>IFERROR(INDEX('LISTA DE PRECIOS'!C$16:C$1318,MATCH(57,'LISTA DE PRECIOS'!$I$16:$I$1318,0)),"")</f>
        <v/>
      </c>
      <c r="D72" s="24" t="str">
        <f>IFERROR(INDEX('LISTA DE PRECIOS'!D$16:D$1318,MATCH(57,'LISTA DE PRECIOS'!$I$16:$I$1318,0)),"")</f>
        <v/>
      </c>
      <c r="E72" s="23" t="str">
        <f>IFERROR(INDEX('LISTA DE PRECIOS'!E$16:E$1318,MATCH(57,'LISTA DE PRECIOS'!$I$16:$I$1318,0)),"")</f>
        <v/>
      </c>
      <c r="F72" s="23" t="str">
        <f>IFERROR(INDEX('LISTA DE PRECIOS'!F$16:F$1318,MATCH(57,'LISTA DE PRECIOS'!$I$16:$I$1318,0)),"")</f>
        <v/>
      </c>
      <c r="G72" s="25" t="str">
        <f>IFERROR(INDEX('LISTA DE PRECIOS'!G$16:G$1318,MATCH(57,'LISTA DE PRECIOS'!$I$16:$I$1318,0)),"")</f>
        <v/>
      </c>
      <c r="H72" s="26" t="str">
        <f>IFERROR(INDEX('LISTA DE PRECIOS'!H$16:H$1318,MATCH(57,'LISTA DE PRECIOS'!$I$16:$I$1318,0)),"")</f>
        <v/>
      </c>
      <c r="I72" s="27" t="str">
        <f t="shared" si="1"/>
        <v/>
      </c>
    </row>
    <row r="73" spans="1:9">
      <c r="A73" s="22" t="str">
        <f>IFERROR(INDEX('LISTA DE PRECIOS'!A$16:A$1318,MATCH(58,'LISTA DE PRECIOS'!$I$16:$I$1318,0)),"")</f>
        <v/>
      </c>
      <c r="B73" s="23" t="str">
        <f>IFERROR(INDEX('LISTA DE PRECIOS'!B$16:B$1318,MATCH(58,'LISTA DE PRECIOS'!$I$16:$I$1318,0)),"")</f>
        <v/>
      </c>
      <c r="C73" s="23" t="str">
        <f>IFERROR(INDEX('LISTA DE PRECIOS'!C$16:C$1318,MATCH(58,'LISTA DE PRECIOS'!$I$16:$I$1318,0)),"")</f>
        <v/>
      </c>
      <c r="D73" s="24" t="str">
        <f>IFERROR(INDEX('LISTA DE PRECIOS'!D$16:D$1318,MATCH(58,'LISTA DE PRECIOS'!$I$16:$I$1318,0)),"")</f>
        <v/>
      </c>
      <c r="E73" s="23" t="str">
        <f>IFERROR(INDEX('LISTA DE PRECIOS'!E$16:E$1318,MATCH(58,'LISTA DE PRECIOS'!$I$16:$I$1318,0)),"")</f>
        <v/>
      </c>
      <c r="F73" s="23" t="str">
        <f>IFERROR(INDEX('LISTA DE PRECIOS'!F$16:F$1318,MATCH(58,'LISTA DE PRECIOS'!$I$16:$I$1318,0)),"")</f>
        <v/>
      </c>
      <c r="G73" s="25" t="str">
        <f>IFERROR(INDEX('LISTA DE PRECIOS'!G$16:G$1318,MATCH(58,'LISTA DE PRECIOS'!$I$16:$I$1318,0)),"")</f>
        <v/>
      </c>
      <c r="H73" s="26" t="str">
        <f>IFERROR(INDEX('LISTA DE PRECIOS'!H$16:H$1318,MATCH(58,'LISTA DE PRECIOS'!$I$16:$I$1318,0)),"")</f>
        <v/>
      </c>
      <c r="I73" s="27" t="str">
        <f t="shared" si="1"/>
        <v/>
      </c>
    </row>
    <row r="74" spans="1:9">
      <c r="A74" s="22" t="str">
        <f>IFERROR(INDEX('LISTA DE PRECIOS'!A$16:A$1318,MATCH(59,'LISTA DE PRECIOS'!$I$16:$I$1318,0)),"")</f>
        <v/>
      </c>
      <c r="B74" s="23" t="str">
        <f>IFERROR(INDEX('LISTA DE PRECIOS'!B$16:B$1318,MATCH(59,'LISTA DE PRECIOS'!$I$16:$I$1318,0)),"")</f>
        <v/>
      </c>
      <c r="C74" s="23" t="str">
        <f>IFERROR(INDEX('LISTA DE PRECIOS'!C$16:C$1318,MATCH(59,'LISTA DE PRECIOS'!$I$16:$I$1318,0)),"")</f>
        <v/>
      </c>
      <c r="D74" s="24" t="str">
        <f>IFERROR(INDEX('LISTA DE PRECIOS'!D$16:D$1318,MATCH(59,'LISTA DE PRECIOS'!$I$16:$I$1318,0)),"")</f>
        <v/>
      </c>
      <c r="E74" s="23" t="str">
        <f>IFERROR(INDEX('LISTA DE PRECIOS'!E$16:E$1318,MATCH(59,'LISTA DE PRECIOS'!$I$16:$I$1318,0)),"")</f>
        <v/>
      </c>
      <c r="F74" s="23" t="str">
        <f>IFERROR(INDEX('LISTA DE PRECIOS'!F$16:F$1318,MATCH(59,'LISTA DE PRECIOS'!$I$16:$I$1318,0)),"")</f>
        <v/>
      </c>
      <c r="G74" s="25" t="str">
        <f>IFERROR(INDEX('LISTA DE PRECIOS'!G$16:G$1318,MATCH(59,'LISTA DE PRECIOS'!$I$16:$I$1318,0)),"")</f>
        <v/>
      </c>
      <c r="H74" s="26" t="str">
        <f>IFERROR(INDEX('LISTA DE PRECIOS'!H$16:H$1318,MATCH(59,'LISTA DE PRECIOS'!$I$16:$I$1318,0)),"")</f>
        <v/>
      </c>
      <c r="I74" s="27" t="str">
        <f t="shared" si="1"/>
        <v/>
      </c>
    </row>
    <row r="75" spans="1:9">
      <c r="A75" s="22" t="str">
        <f>IFERROR(INDEX('LISTA DE PRECIOS'!A$16:A$1318,MATCH(60,'LISTA DE PRECIOS'!$I$16:$I$1318,0)),"")</f>
        <v/>
      </c>
      <c r="B75" s="23" t="str">
        <f>IFERROR(INDEX('LISTA DE PRECIOS'!B$16:B$1318,MATCH(60,'LISTA DE PRECIOS'!$I$16:$I$1318,0)),"")</f>
        <v/>
      </c>
      <c r="C75" s="23" t="str">
        <f>IFERROR(INDEX('LISTA DE PRECIOS'!C$16:C$1318,MATCH(60,'LISTA DE PRECIOS'!$I$16:$I$1318,0)),"")</f>
        <v/>
      </c>
      <c r="D75" s="24" t="str">
        <f>IFERROR(INDEX('LISTA DE PRECIOS'!D$16:D$1318,MATCH(60,'LISTA DE PRECIOS'!$I$16:$I$1318,0)),"")</f>
        <v/>
      </c>
      <c r="E75" s="23" t="str">
        <f>IFERROR(INDEX('LISTA DE PRECIOS'!E$16:E$1318,MATCH(60,'LISTA DE PRECIOS'!$I$16:$I$1318,0)),"")</f>
        <v/>
      </c>
      <c r="F75" s="23" t="str">
        <f>IFERROR(INDEX('LISTA DE PRECIOS'!F$16:F$1318,MATCH(60,'LISTA DE PRECIOS'!$I$16:$I$1318,0)),"")</f>
        <v/>
      </c>
      <c r="G75" s="25" t="str">
        <f>IFERROR(INDEX('LISTA DE PRECIOS'!G$16:G$1318,MATCH(60,'LISTA DE PRECIOS'!$I$16:$I$1318,0)),"")</f>
        <v/>
      </c>
      <c r="H75" s="26" t="str">
        <f>IFERROR(INDEX('LISTA DE PRECIOS'!H$16:H$1318,MATCH(60,'LISTA DE PRECIOS'!$I$16:$I$1318,0)),"")</f>
        <v/>
      </c>
      <c r="I75" s="27" t="str">
        <f t="shared" si="1"/>
        <v/>
      </c>
    </row>
    <row r="76" spans="1:9">
      <c r="A76" s="22" t="str">
        <f>IFERROR(INDEX('LISTA DE PRECIOS'!A$16:A$1318,MATCH(61,'LISTA DE PRECIOS'!$I$16:$I$1318,0)),"")</f>
        <v/>
      </c>
      <c r="B76" s="23" t="str">
        <f>IFERROR(INDEX('LISTA DE PRECIOS'!B$16:B$1318,MATCH(61,'LISTA DE PRECIOS'!$I$16:$I$1318,0)),"")</f>
        <v/>
      </c>
      <c r="C76" s="23" t="str">
        <f>IFERROR(INDEX('LISTA DE PRECIOS'!C$16:C$1318,MATCH(61,'LISTA DE PRECIOS'!$I$16:$I$1318,0)),"")</f>
        <v/>
      </c>
      <c r="D76" s="24" t="str">
        <f>IFERROR(INDEX('LISTA DE PRECIOS'!D$16:D$1318,MATCH(61,'LISTA DE PRECIOS'!$I$16:$I$1318,0)),"")</f>
        <v/>
      </c>
      <c r="E76" s="23" t="str">
        <f>IFERROR(INDEX('LISTA DE PRECIOS'!E$16:E$1318,MATCH(61,'LISTA DE PRECIOS'!$I$16:$I$1318,0)),"")</f>
        <v/>
      </c>
      <c r="F76" s="23" t="str">
        <f>IFERROR(INDEX('LISTA DE PRECIOS'!F$16:F$1318,MATCH(61,'LISTA DE PRECIOS'!$I$16:$I$1318,0)),"")</f>
        <v/>
      </c>
      <c r="G76" s="25" t="str">
        <f>IFERROR(INDEX('LISTA DE PRECIOS'!G$16:G$1318,MATCH(61,'LISTA DE PRECIOS'!$I$16:$I$1318,0)),"")</f>
        <v/>
      </c>
      <c r="H76" s="26" t="str">
        <f>IFERROR(INDEX('LISTA DE PRECIOS'!H$16:H$1318,MATCH(61,'LISTA DE PRECIOS'!$I$16:$I$1318,0)),"")</f>
        <v/>
      </c>
      <c r="I76" s="27" t="str">
        <f t="shared" si="1"/>
        <v/>
      </c>
    </row>
    <row r="77" spans="1:9">
      <c r="A77" s="22" t="str">
        <f>IFERROR(INDEX('LISTA DE PRECIOS'!A$16:A$1318,MATCH(62,'LISTA DE PRECIOS'!$I$16:$I$1318,0)),"")</f>
        <v/>
      </c>
      <c r="B77" s="23" t="str">
        <f>IFERROR(INDEX('LISTA DE PRECIOS'!B$16:B$1318,MATCH(62,'LISTA DE PRECIOS'!$I$16:$I$1318,0)),"")</f>
        <v/>
      </c>
      <c r="C77" s="23" t="str">
        <f>IFERROR(INDEX('LISTA DE PRECIOS'!C$16:C$1318,MATCH(62,'LISTA DE PRECIOS'!$I$16:$I$1318,0)),"")</f>
        <v/>
      </c>
      <c r="D77" s="24" t="str">
        <f>IFERROR(INDEX('LISTA DE PRECIOS'!D$16:D$1318,MATCH(62,'LISTA DE PRECIOS'!$I$16:$I$1318,0)),"")</f>
        <v/>
      </c>
      <c r="E77" s="23" t="str">
        <f>IFERROR(INDEX('LISTA DE PRECIOS'!E$16:E$1318,MATCH(62,'LISTA DE PRECIOS'!$I$16:$I$1318,0)),"")</f>
        <v/>
      </c>
      <c r="F77" s="23" t="str">
        <f>IFERROR(INDEX('LISTA DE PRECIOS'!F$16:F$1318,MATCH(62,'LISTA DE PRECIOS'!$I$16:$I$1318,0)),"")</f>
        <v/>
      </c>
      <c r="G77" s="25" t="str">
        <f>IFERROR(INDEX('LISTA DE PRECIOS'!G$16:G$1318,MATCH(62,'LISTA DE PRECIOS'!$I$16:$I$1318,0)),"")</f>
        <v/>
      </c>
      <c r="H77" s="26" t="str">
        <f>IFERROR(INDEX('LISTA DE PRECIOS'!H$16:H$1318,MATCH(62,'LISTA DE PRECIOS'!$I$16:$I$1318,0)),"")</f>
        <v/>
      </c>
      <c r="I77" s="27" t="str">
        <f t="shared" si="1"/>
        <v/>
      </c>
    </row>
    <row r="78" spans="1:9">
      <c r="A78" s="22" t="str">
        <f>IFERROR(INDEX('LISTA DE PRECIOS'!A$16:A$1318,MATCH(63,'LISTA DE PRECIOS'!$I$16:$I$1318,0)),"")</f>
        <v/>
      </c>
      <c r="B78" s="23" t="str">
        <f>IFERROR(INDEX('LISTA DE PRECIOS'!B$16:B$1318,MATCH(63,'LISTA DE PRECIOS'!$I$16:$I$1318,0)),"")</f>
        <v/>
      </c>
      <c r="C78" s="23" t="str">
        <f>IFERROR(INDEX('LISTA DE PRECIOS'!C$16:C$1318,MATCH(63,'LISTA DE PRECIOS'!$I$16:$I$1318,0)),"")</f>
        <v/>
      </c>
      <c r="D78" s="24" t="str">
        <f>IFERROR(INDEX('LISTA DE PRECIOS'!D$16:D$1318,MATCH(63,'LISTA DE PRECIOS'!$I$16:$I$1318,0)),"")</f>
        <v/>
      </c>
      <c r="E78" s="23" t="str">
        <f>IFERROR(INDEX('LISTA DE PRECIOS'!E$16:E$1318,MATCH(63,'LISTA DE PRECIOS'!$I$16:$I$1318,0)),"")</f>
        <v/>
      </c>
      <c r="F78" s="23" t="str">
        <f>IFERROR(INDEX('LISTA DE PRECIOS'!F$16:F$1318,MATCH(63,'LISTA DE PRECIOS'!$I$16:$I$1318,0)),"")</f>
        <v/>
      </c>
      <c r="G78" s="25" t="str">
        <f>IFERROR(INDEX('LISTA DE PRECIOS'!G$16:G$1318,MATCH(63,'LISTA DE PRECIOS'!$I$16:$I$1318,0)),"")</f>
        <v/>
      </c>
      <c r="H78" s="26" t="str">
        <f>IFERROR(INDEX('LISTA DE PRECIOS'!H$16:H$1318,MATCH(63,'LISTA DE PRECIOS'!$I$16:$I$1318,0)),"")</f>
        <v/>
      </c>
      <c r="I78" s="27" t="str">
        <f t="shared" si="1"/>
        <v/>
      </c>
    </row>
    <row r="79" spans="1:9">
      <c r="A79" s="22" t="str">
        <f>IFERROR(INDEX('LISTA DE PRECIOS'!A$16:A$1318,MATCH(64,'LISTA DE PRECIOS'!$I$16:$I$1318,0)),"")</f>
        <v/>
      </c>
      <c r="B79" s="23" t="str">
        <f>IFERROR(INDEX('LISTA DE PRECIOS'!B$16:B$1318,MATCH(64,'LISTA DE PRECIOS'!$I$16:$I$1318,0)),"")</f>
        <v/>
      </c>
      <c r="C79" s="23" t="str">
        <f>IFERROR(INDEX('LISTA DE PRECIOS'!C$16:C$1318,MATCH(64,'LISTA DE PRECIOS'!$I$16:$I$1318,0)),"")</f>
        <v/>
      </c>
      <c r="D79" s="24" t="str">
        <f>IFERROR(INDEX('LISTA DE PRECIOS'!D$16:D$1318,MATCH(64,'LISTA DE PRECIOS'!$I$16:$I$1318,0)),"")</f>
        <v/>
      </c>
      <c r="E79" s="23" t="str">
        <f>IFERROR(INDEX('LISTA DE PRECIOS'!E$16:E$1318,MATCH(64,'LISTA DE PRECIOS'!$I$16:$I$1318,0)),"")</f>
        <v/>
      </c>
      <c r="F79" s="23" t="str">
        <f>IFERROR(INDEX('LISTA DE PRECIOS'!F$16:F$1318,MATCH(64,'LISTA DE PRECIOS'!$I$16:$I$1318,0)),"")</f>
        <v/>
      </c>
      <c r="G79" s="25" t="str">
        <f>IFERROR(INDEX('LISTA DE PRECIOS'!G$16:G$1318,MATCH(64,'LISTA DE PRECIOS'!$I$16:$I$1318,0)),"")</f>
        <v/>
      </c>
      <c r="H79" s="26" t="str">
        <f>IFERROR(INDEX('LISTA DE PRECIOS'!H$16:H$1318,MATCH(64,'LISTA DE PRECIOS'!$I$16:$I$1318,0)),"")</f>
        <v/>
      </c>
      <c r="I79" s="27" t="str">
        <f t="shared" si="1"/>
        <v/>
      </c>
    </row>
    <row r="80" spans="1:9">
      <c r="A80" s="22" t="str">
        <f>IFERROR(INDEX('LISTA DE PRECIOS'!A$16:A$1318,MATCH(65,'LISTA DE PRECIOS'!$I$16:$I$1318,0)),"")</f>
        <v/>
      </c>
      <c r="B80" s="23" t="str">
        <f>IFERROR(INDEX('LISTA DE PRECIOS'!B$16:B$1318,MATCH(65,'LISTA DE PRECIOS'!$I$16:$I$1318,0)),"")</f>
        <v/>
      </c>
      <c r="C80" s="23" t="str">
        <f>IFERROR(INDEX('LISTA DE PRECIOS'!C$16:C$1318,MATCH(65,'LISTA DE PRECIOS'!$I$16:$I$1318,0)),"")</f>
        <v/>
      </c>
      <c r="D80" s="24" t="str">
        <f>IFERROR(INDEX('LISTA DE PRECIOS'!D$16:D$1318,MATCH(65,'LISTA DE PRECIOS'!$I$16:$I$1318,0)),"")</f>
        <v/>
      </c>
      <c r="E80" s="23" t="str">
        <f>IFERROR(INDEX('LISTA DE PRECIOS'!E$16:E$1318,MATCH(65,'LISTA DE PRECIOS'!$I$16:$I$1318,0)),"")</f>
        <v/>
      </c>
      <c r="F80" s="23" t="str">
        <f>IFERROR(INDEX('LISTA DE PRECIOS'!F$16:F$1318,MATCH(65,'LISTA DE PRECIOS'!$I$16:$I$1318,0)),"")</f>
        <v/>
      </c>
      <c r="G80" s="25" t="str">
        <f>IFERROR(INDEX('LISTA DE PRECIOS'!G$16:G$1318,MATCH(65,'LISTA DE PRECIOS'!$I$16:$I$1318,0)),"")</f>
        <v/>
      </c>
      <c r="H80" s="26" t="str">
        <f>IFERROR(INDEX('LISTA DE PRECIOS'!H$16:H$1318,MATCH(65,'LISTA DE PRECIOS'!$I$16:$I$1318,0)),"")</f>
        <v/>
      </c>
      <c r="I80" s="27" t="str">
        <f t="shared" ref="I80:I111" si="2">IF(OR(G80="",H80=""),"",G80*H80)</f>
        <v/>
      </c>
    </row>
    <row r="81" spans="1:9">
      <c r="A81" s="22" t="str">
        <f>IFERROR(INDEX('LISTA DE PRECIOS'!A$16:A$1318,MATCH(66,'LISTA DE PRECIOS'!$I$16:$I$1318,0)),"")</f>
        <v/>
      </c>
      <c r="B81" s="23" t="str">
        <f>IFERROR(INDEX('LISTA DE PRECIOS'!B$16:B$1318,MATCH(66,'LISTA DE PRECIOS'!$I$16:$I$1318,0)),"")</f>
        <v/>
      </c>
      <c r="C81" s="23" t="str">
        <f>IFERROR(INDEX('LISTA DE PRECIOS'!C$16:C$1318,MATCH(66,'LISTA DE PRECIOS'!$I$16:$I$1318,0)),"")</f>
        <v/>
      </c>
      <c r="D81" s="24" t="str">
        <f>IFERROR(INDEX('LISTA DE PRECIOS'!D$16:D$1318,MATCH(66,'LISTA DE PRECIOS'!$I$16:$I$1318,0)),"")</f>
        <v/>
      </c>
      <c r="E81" s="23" t="str">
        <f>IFERROR(INDEX('LISTA DE PRECIOS'!E$16:E$1318,MATCH(66,'LISTA DE PRECIOS'!$I$16:$I$1318,0)),"")</f>
        <v/>
      </c>
      <c r="F81" s="23" t="str">
        <f>IFERROR(INDEX('LISTA DE PRECIOS'!F$16:F$1318,MATCH(66,'LISTA DE PRECIOS'!$I$16:$I$1318,0)),"")</f>
        <v/>
      </c>
      <c r="G81" s="25" t="str">
        <f>IFERROR(INDEX('LISTA DE PRECIOS'!G$16:G$1318,MATCH(66,'LISTA DE PRECIOS'!$I$16:$I$1318,0)),"")</f>
        <v/>
      </c>
      <c r="H81" s="26" t="str">
        <f>IFERROR(INDEX('LISTA DE PRECIOS'!H$16:H$1318,MATCH(66,'LISTA DE PRECIOS'!$I$16:$I$1318,0)),"")</f>
        <v/>
      </c>
      <c r="I81" s="27" t="str">
        <f t="shared" si="2"/>
        <v/>
      </c>
    </row>
    <row r="82" spans="1:9">
      <c r="A82" s="22" t="str">
        <f>IFERROR(INDEX('LISTA DE PRECIOS'!A$16:A$1318,MATCH(67,'LISTA DE PRECIOS'!$I$16:$I$1318,0)),"")</f>
        <v/>
      </c>
      <c r="B82" s="23" t="str">
        <f>IFERROR(INDEX('LISTA DE PRECIOS'!B$16:B$1318,MATCH(67,'LISTA DE PRECIOS'!$I$16:$I$1318,0)),"")</f>
        <v/>
      </c>
      <c r="C82" s="23" t="str">
        <f>IFERROR(INDEX('LISTA DE PRECIOS'!C$16:C$1318,MATCH(67,'LISTA DE PRECIOS'!$I$16:$I$1318,0)),"")</f>
        <v/>
      </c>
      <c r="D82" s="24" t="str">
        <f>IFERROR(INDEX('LISTA DE PRECIOS'!D$16:D$1318,MATCH(67,'LISTA DE PRECIOS'!$I$16:$I$1318,0)),"")</f>
        <v/>
      </c>
      <c r="E82" s="23" t="str">
        <f>IFERROR(INDEX('LISTA DE PRECIOS'!E$16:E$1318,MATCH(67,'LISTA DE PRECIOS'!$I$16:$I$1318,0)),"")</f>
        <v/>
      </c>
      <c r="F82" s="23" t="str">
        <f>IFERROR(INDEX('LISTA DE PRECIOS'!F$16:F$1318,MATCH(67,'LISTA DE PRECIOS'!$I$16:$I$1318,0)),"")</f>
        <v/>
      </c>
      <c r="G82" s="25" t="str">
        <f>IFERROR(INDEX('LISTA DE PRECIOS'!G$16:G$1318,MATCH(67,'LISTA DE PRECIOS'!$I$16:$I$1318,0)),"")</f>
        <v/>
      </c>
      <c r="H82" s="26" t="str">
        <f>IFERROR(INDEX('LISTA DE PRECIOS'!H$16:H$1318,MATCH(67,'LISTA DE PRECIOS'!$I$16:$I$1318,0)),"")</f>
        <v/>
      </c>
      <c r="I82" s="27" t="str">
        <f t="shared" si="2"/>
        <v/>
      </c>
    </row>
    <row r="83" spans="1:9">
      <c r="A83" s="22" t="str">
        <f>IFERROR(INDEX('LISTA DE PRECIOS'!A$16:A$1318,MATCH(68,'LISTA DE PRECIOS'!$I$16:$I$1318,0)),"")</f>
        <v/>
      </c>
      <c r="B83" s="23" t="str">
        <f>IFERROR(INDEX('LISTA DE PRECIOS'!B$16:B$1318,MATCH(68,'LISTA DE PRECIOS'!$I$16:$I$1318,0)),"")</f>
        <v/>
      </c>
      <c r="C83" s="23" t="str">
        <f>IFERROR(INDEX('LISTA DE PRECIOS'!C$16:C$1318,MATCH(68,'LISTA DE PRECIOS'!$I$16:$I$1318,0)),"")</f>
        <v/>
      </c>
      <c r="D83" s="24" t="str">
        <f>IFERROR(INDEX('LISTA DE PRECIOS'!D$16:D$1318,MATCH(68,'LISTA DE PRECIOS'!$I$16:$I$1318,0)),"")</f>
        <v/>
      </c>
      <c r="E83" s="23" t="str">
        <f>IFERROR(INDEX('LISTA DE PRECIOS'!E$16:E$1318,MATCH(68,'LISTA DE PRECIOS'!$I$16:$I$1318,0)),"")</f>
        <v/>
      </c>
      <c r="F83" s="23" t="str">
        <f>IFERROR(INDEX('LISTA DE PRECIOS'!F$16:F$1318,MATCH(68,'LISTA DE PRECIOS'!$I$16:$I$1318,0)),"")</f>
        <v/>
      </c>
      <c r="G83" s="25" t="str">
        <f>IFERROR(INDEX('LISTA DE PRECIOS'!G$16:G$1318,MATCH(68,'LISTA DE PRECIOS'!$I$16:$I$1318,0)),"")</f>
        <v/>
      </c>
      <c r="H83" s="26" t="str">
        <f>IFERROR(INDEX('LISTA DE PRECIOS'!H$16:H$1318,MATCH(68,'LISTA DE PRECIOS'!$I$16:$I$1318,0)),"")</f>
        <v/>
      </c>
      <c r="I83" s="27" t="str">
        <f t="shared" si="2"/>
        <v/>
      </c>
    </row>
    <row r="84" spans="1:9">
      <c r="A84" s="22" t="str">
        <f>IFERROR(INDEX('LISTA DE PRECIOS'!A$16:A$1318,MATCH(69,'LISTA DE PRECIOS'!$I$16:$I$1318,0)),"")</f>
        <v/>
      </c>
      <c r="B84" s="23" t="str">
        <f>IFERROR(INDEX('LISTA DE PRECIOS'!B$16:B$1318,MATCH(69,'LISTA DE PRECIOS'!$I$16:$I$1318,0)),"")</f>
        <v/>
      </c>
      <c r="C84" s="23" t="str">
        <f>IFERROR(INDEX('LISTA DE PRECIOS'!C$16:C$1318,MATCH(69,'LISTA DE PRECIOS'!$I$16:$I$1318,0)),"")</f>
        <v/>
      </c>
      <c r="D84" s="24" t="str">
        <f>IFERROR(INDEX('LISTA DE PRECIOS'!D$16:D$1318,MATCH(69,'LISTA DE PRECIOS'!$I$16:$I$1318,0)),"")</f>
        <v/>
      </c>
      <c r="E84" s="23" t="str">
        <f>IFERROR(INDEX('LISTA DE PRECIOS'!E$16:E$1318,MATCH(69,'LISTA DE PRECIOS'!$I$16:$I$1318,0)),"")</f>
        <v/>
      </c>
      <c r="F84" s="23" t="str">
        <f>IFERROR(INDEX('LISTA DE PRECIOS'!F$16:F$1318,MATCH(69,'LISTA DE PRECIOS'!$I$16:$I$1318,0)),"")</f>
        <v/>
      </c>
      <c r="G84" s="25" t="str">
        <f>IFERROR(INDEX('LISTA DE PRECIOS'!G$16:G$1318,MATCH(69,'LISTA DE PRECIOS'!$I$16:$I$1318,0)),"")</f>
        <v/>
      </c>
      <c r="H84" s="26" t="str">
        <f>IFERROR(INDEX('LISTA DE PRECIOS'!H$16:H$1318,MATCH(69,'LISTA DE PRECIOS'!$I$16:$I$1318,0)),"")</f>
        <v/>
      </c>
      <c r="I84" s="27" t="str">
        <f t="shared" si="2"/>
        <v/>
      </c>
    </row>
    <row r="85" spans="1:9">
      <c r="A85" s="22" t="str">
        <f>IFERROR(INDEX('LISTA DE PRECIOS'!A$16:A$1318,MATCH(70,'LISTA DE PRECIOS'!$I$16:$I$1318,0)),"")</f>
        <v/>
      </c>
      <c r="B85" s="23" t="str">
        <f>IFERROR(INDEX('LISTA DE PRECIOS'!B$16:B$1318,MATCH(70,'LISTA DE PRECIOS'!$I$16:$I$1318,0)),"")</f>
        <v/>
      </c>
      <c r="C85" s="23" t="str">
        <f>IFERROR(INDEX('LISTA DE PRECIOS'!C$16:C$1318,MATCH(70,'LISTA DE PRECIOS'!$I$16:$I$1318,0)),"")</f>
        <v/>
      </c>
      <c r="D85" s="24" t="str">
        <f>IFERROR(INDEX('LISTA DE PRECIOS'!D$16:D$1318,MATCH(70,'LISTA DE PRECIOS'!$I$16:$I$1318,0)),"")</f>
        <v/>
      </c>
      <c r="E85" s="23" t="str">
        <f>IFERROR(INDEX('LISTA DE PRECIOS'!E$16:E$1318,MATCH(70,'LISTA DE PRECIOS'!$I$16:$I$1318,0)),"")</f>
        <v/>
      </c>
      <c r="F85" s="23" t="str">
        <f>IFERROR(INDEX('LISTA DE PRECIOS'!F$16:F$1318,MATCH(70,'LISTA DE PRECIOS'!$I$16:$I$1318,0)),"")</f>
        <v/>
      </c>
      <c r="G85" s="25" t="str">
        <f>IFERROR(INDEX('LISTA DE PRECIOS'!G$16:G$1318,MATCH(70,'LISTA DE PRECIOS'!$I$16:$I$1318,0)),"")</f>
        <v/>
      </c>
      <c r="H85" s="26" t="str">
        <f>IFERROR(INDEX('LISTA DE PRECIOS'!H$16:H$1318,MATCH(70,'LISTA DE PRECIOS'!$I$16:$I$1318,0)),"")</f>
        <v/>
      </c>
      <c r="I85" s="27" t="str">
        <f t="shared" si="2"/>
        <v/>
      </c>
    </row>
    <row r="86" spans="1:9">
      <c r="A86" s="22" t="str">
        <f>IFERROR(INDEX('LISTA DE PRECIOS'!A$16:A$1318,MATCH(71,'LISTA DE PRECIOS'!$I$16:$I$1318,0)),"")</f>
        <v/>
      </c>
      <c r="B86" s="23" t="str">
        <f>IFERROR(INDEX('LISTA DE PRECIOS'!B$16:B$1318,MATCH(71,'LISTA DE PRECIOS'!$I$16:$I$1318,0)),"")</f>
        <v/>
      </c>
      <c r="C86" s="23" t="str">
        <f>IFERROR(INDEX('LISTA DE PRECIOS'!C$16:C$1318,MATCH(71,'LISTA DE PRECIOS'!$I$16:$I$1318,0)),"")</f>
        <v/>
      </c>
      <c r="D86" s="24" t="str">
        <f>IFERROR(INDEX('LISTA DE PRECIOS'!D$16:D$1318,MATCH(71,'LISTA DE PRECIOS'!$I$16:$I$1318,0)),"")</f>
        <v/>
      </c>
      <c r="E86" s="23" t="str">
        <f>IFERROR(INDEX('LISTA DE PRECIOS'!E$16:E$1318,MATCH(71,'LISTA DE PRECIOS'!$I$16:$I$1318,0)),"")</f>
        <v/>
      </c>
      <c r="F86" s="23" t="str">
        <f>IFERROR(INDEX('LISTA DE PRECIOS'!F$16:F$1318,MATCH(71,'LISTA DE PRECIOS'!$I$16:$I$1318,0)),"")</f>
        <v/>
      </c>
      <c r="G86" s="25" t="str">
        <f>IFERROR(INDEX('LISTA DE PRECIOS'!G$16:G$1318,MATCH(71,'LISTA DE PRECIOS'!$I$16:$I$1318,0)),"")</f>
        <v/>
      </c>
      <c r="H86" s="26" t="str">
        <f>IFERROR(INDEX('LISTA DE PRECIOS'!H$16:H$1318,MATCH(71,'LISTA DE PRECIOS'!$I$16:$I$1318,0)),"")</f>
        <v/>
      </c>
      <c r="I86" s="27" t="str">
        <f t="shared" si="2"/>
        <v/>
      </c>
    </row>
    <row r="87" spans="1:9">
      <c r="A87" s="22" t="str">
        <f>IFERROR(INDEX('LISTA DE PRECIOS'!A$16:A$1318,MATCH(72,'LISTA DE PRECIOS'!$I$16:$I$1318,0)),"")</f>
        <v/>
      </c>
      <c r="B87" s="23" t="str">
        <f>IFERROR(INDEX('LISTA DE PRECIOS'!B$16:B$1318,MATCH(72,'LISTA DE PRECIOS'!$I$16:$I$1318,0)),"")</f>
        <v/>
      </c>
      <c r="C87" s="23" t="str">
        <f>IFERROR(INDEX('LISTA DE PRECIOS'!C$16:C$1318,MATCH(72,'LISTA DE PRECIOS'!$I$16:$I$1318,0)),"")</f>
        <v/>
      </c>
      <c r="D87" s="24" t="str">
        <f>IFERROR(INDEX('LISTA DE PRECIOS'!D$16:D$1318,MATCH(72,'LISTA DE PRECIOS'!$I$16:$I$1318,0)),"")</f>
        <v/>
      </c>
      <c r="E87" s="23" t="str">
        <f>IFERROR(INDEX('LISTA DE PRECIOS'!E$16:E$1318,MATCH(72,'LISTA DE PRECIOS'!$I$16:$I$1318,0)),"")</f>
        <v/>
      </c>
      <c r="F87" s="23" t="str">
        <f>IFERROR(INDEX('LISTA DE PRECIOS'!F$16:F$1318,MATCH(72,'LISTA DE PRECIOS'!$I$16:$I$1318,0)),"")</f>
        <v/>
      </c>
      <c r="G87" s="25" t="str">
        <f>IFERROR(INDEX('LISTA DE PRECIOS'!G$16:G$1318,MATCH(72,'LISTA DE PRECIOS'!$I$16:$I$1318,0)),"")</f>
        <v/>
      </c>
      <c r="H87" s="26" t="str">
        <f>IFERROR(INDEX('LISTA DE PRECIOS'!H$16:H$1318,MATCH(72,'LISTA DE PRECIOS'!$I$16:$I$1318,0)),"")</f>
        <v/>
      </c>
      <c r="I87" s="27" t="str">
        <f t="shared" si="2"/>
        <v/>
      </c>
    </row>
    <row r="88" spans="1:9">
      <c r="A88" s="22" t="str">
        <f>IFERROR(INDEX('LISTA DE PRECIOS'!A$16:A$1318,MATCH(73,'LISTA DE PRECIOS'!$I$16:$I$1318,0)),"")</f>
        <v/>
      </c>
      <c r="B88" s="23" t="str">
        <f>IFERROR(INDEX('LISTA DE PRECIOS'!B$16:B$1318,MATCH(73,'LISTA DE PRECIOS'!$I$16:$I$1318,0)),"")</f>
        <v/>
      </c>
      <c r="C88" s="23" t="str">
        <f>IFERROR(INDEX('LISTA DE PRECIOS'!C$16:C$1318,MATCH(73,'LISTA DE PRECIOS'!$I$16:$I$1318,0)),"")</f>
        <v/>
      </c>
      <c r="D88" s="24" t="str">
        <f>IFERROR(INDEX('LISTA DE PRECIOS'!D$16:D$1318,MATCH(73,'LISTA DE PRECIOS'!$I$16:$I$1318,0)),"")</f>
        <v/>
      </c>
      <c r="E88" s="23" t="str">
        <f>IFERROR(INDEX('LISTA DE PRECIOS'!E$16:E$1318,MATCH(73,'LISTA DE PRECIOS'!$I$16:$I$1318,0)),"")</f>
        <v/>
      </c>
      <c r="F88" s="23" t="str">
        <f>IFERROR(INDEX('LISTA DE PRECIOS'!F$16:F$1318,MATCH(73,'LISTA DE PRECIOS'!$I$16:$I$1318,0)),"")</f>
        <v/>
      </c>
      <c r="G88" s="25" t="str">
        <f>IFERROR(INDEX('LISTA DE PRECIOS'!G$16:G$1318,MATCH(73,'LISTA DE PRECIOS'!$I$16:$I$1318,0)),"")</f>
        <v/>
      </c>
      <c r="H88" s="26" t="str">
        <f>IFERROR(INDEX('LISTA DE PRECIOS'!H$16:H$1318,MATCH(73,'LISTA DE PRECIOS'!$I$16:$I$1318,0)),"")</f>
        <v/>
      </c>
      <c r="I88" s="27" t="str">
        <f t="shared" si="2"/>
        <v/>
      </c>
    </row>
    <row r="89" spans="1:9">
      <c r="A89" s="22" t="str">
        <f>IFERROR(INDEX('LISTA DE PRECIOS'!A$16:A$1318,MATCH(74,'LISTA DE PRECIOS'!$I$16:$I$1318,0)),"")</f>
        <v/>
      </c>
      <c r="B89" s="23" t="str">
        <f>IFERROR(INDEX('LISTA DE PRECIOS'!B$16:B$1318,MATCH(74,'LISTA DE PRECIOS'!$I$16:$I$1318,0)),"")</f>
        <v/>
      </c>
      <c r="C89" s="23" t="str">
        <f>IFERROR(INDEX('LISTA DE PRECIOS'!C$16:C$1318,MATCH(74,'LISTA DE PRECIOS'!$I$16:$I$1318,0)),"")</f>
        <v/>
      </c>
      <c r="D89" s="24" t="str">
        <f>IFERROR(INDEX('LISTA DE PRECIOS'!D$16:D$1318,MATCH(74,'LISTA DE PRECIOS'!$I$16:$I$1318,0)),"")</f>
        <v/>
      </c>
      <c r="E89" s="23" t="str">
        <f>IFERROR(INDEX('LISTA DE PRECIOS'!E$16:E$1318,MATCH(74,'LISTA DE PRECIOS'!$I$16:$I$1318,0)),"")</f>
        <v/>
      </c>
      <c r="F89" s="23" t="str">
        <f>IFERROR(INDEX('LISTA DE PRECIOS'!F$16:F$1318,MATCH(74,'LISTA DE PRECIOS'!$I$16:$I$1318,0)),"")</f>
        <v/>
      </c>
      <c r="G89" s="25" t="str">
        <f>IFERROR(INDEX('LISTA DE PRECIOS'!G$16:G$1318,MATCH(74,'LISTA DE PRECIOS'!$I$16:$I$1318,0)),"")</f>
        <v/>
      </c>
      <c r="H89" s="26" t="str">
        <f>IFERROR(INDEX('LISTA DE PRECIOS'!H$16:H$1318,MATCH(74,'LISTA DE PRECIOS'!$I$16:$I$1318,0)),"")</f>
        <v/>
      </c>
      <c r="I89" s="27" t="str">
        <f t="shared" si="2"/>
        <v/>
      </c>
    </row>
    <row r="90" spans="1:9">
      <c r="A90" s="22" t="str">
        <f>IFERROR(INDEX('LISTA DE PRECIOS'!A$16:A$1318,MATCH(75,'LISTA DE PRECIOS'!$I$16:$I$1318,0)),"")</f>
        <v/>
      </c>
      <c r="B90" s="23" t="str">
        <f>IFERROR(INDEX('LISTA DE PRECIOS'!B$16:B$1318,MATCH(75,'LISTA DE PRECIOS'!$I$16:$I$1318,0)),"")</f>
        <v/>
      </c>
      <c r="C90" s="23" t="str">
        <f>IFERROR(INDEX('LISTA DE PRECIOS'!C$16:C$1318,MATCH(75,'LISTA DE PRECIOS'!$I$16:$I$1318,0)),"")</f>
        <v/>
      </c>
      <c r="D90" s="24" t="str">
        <f>IFERROR(INDEX('LISTA DE PRECIOS'!D$16:D$1318,MATCH(75,'LISTA DE PRECIOS'!$I$16:$I$1318,0)),"")</f>
        <v/>
      </c>
      <c r="E90" s="23" t="str">
        <f>IFERROR(INDEX('LISTA DE PRECIOS'!E$16:E$1318,MATCH(75,'LISTA DE PRECIOS'!$I$16:$I$1318,0)),"")</f>
        <v/>
      </c>
      <c r="F90" s="23" t="str">
        <f>IFERROR(INDEX('LISTA DE PRECIOS'!F$16:F$1318,MATCH(75,'LISTA DE PRECIOS'!$I$16:$I$1318,0)),"")</f>
        <v/>
      </c>
      <c r="G90" s="25" t="str">
        <f>IFERROR(INDEX('LISTA DE PRECIOS'!G$16:G$1318,MATCH(75,'LISTA DE PRECIOS'!$I$16:$I$1318,0)),"")</f>
        <v/>
      </c>
      <c r="H90" s="26" t="str">
        <f>IFERROR(INDEX('LISTA DE PRECIOS'!H$16:H$1318,MATCH(75,'LISTA DE PRECIOS'!$I$16:$I$1318,0)),"")</f>
        <v/>
      </c>
      <c r="I90" s="27" t="str">
        <f t="shared" si="2"/>
        <v/>
      </c>
    </row>
    <row r="91" spans="1:9">
      <c r="A91" s="22" t="str">
        <f>IFERROR(INDEX('LISTA DE PRECIOS'!A$16:A$1318,MATCH(76,'LISTA DE PRECIOS'!$I$16:$I$1318,0)),"")</f>
        <v/>
      </c>
      <c r="B91" s="23" t="str">
        <f>IFERROR(INDEX('LISTA DE PRECIOS'!B$16:B$1318,MATCH(76,'LISTA DE PRECIOS'!$I$16:$I$1318,0)),"")</f>
        <v/>
      </c>
      <c r="C91" s="23" t="str">
        <f>IFERROR(INDEX('LISTA DE PRECIOS'!C$16:C$1318,MATCH(76,'LISTA DE PRECIOS'!$I$16:$I$1318,0)),"")</f>
        <v/>
      </c>
      <c r="D91" s="24" t="str">
        <f>IFERROR(INDEX('LISTA DE PRECIOS'!D$16:D$1318,MATCH(76,'LISTA DE PRECIOS'!$I$16:$I$1318,0)),"")</f>
        <v/>
      </c>
      <c r="E91" s="23" t="str">
        <f>IFERROR(INDEX('LISTA DE PRECIOS'!E$16:E$1318,MATCH(76,'LISTA DE PRECIOS'!$I$16:$I$1318,0)),"")</f>
        <v/>
      </c>
      <c r="F91" s="23" t="str">
        <f>IFERROR(INDEX('LISTA DE PRECIOS'!F$16:F$1318,MATCH(76,'LISTA DE PRECIOS'!$I$16:$I$1318,0)),"")</f>
        <v/>
      </c>
      <c r="G91" s="25" t="str">
        <f>IFERROR(INDEX('LISTA DE PRECIOS'!G$16:G$1318,MATCH(76,'LISTA DE PRECIOS'!$I$16:$I$1318,0)),"")</f>
        <v/>
      </c>
      <c r="H91" s="26" t="str">
        <f>IFERROR(INDEX('LISTA DE PRECIOS'!H$16:H$1318,MATCH(76,'LISTA DE PRECIOS'!$I$16:$I$1318,0)),"")</f>
        <v/>
      </c>
      <c r="I91" s="27" t="str">
        <f t="shared" si="2"/>
        <v/>
      </c>
    </row>
    <row r="92" spans="1:9">
      <c r="A92" s="22" t="str">
        <f>IFERROR(INDEX('LISTA DE PRECIOS'!A$16:A$1318,MATCH(77,'LISTA DE PRECIOS'!$I$16:$I$1318,0)),"")</f>
        <v/>
      </c>
      <c r="B92" s="23" t="str">
        <f>IFERROR(INDEX('LISTA DE PRECIOS'!B$16:B$1318,MATCH(77,'LISTA DE PRECIOS'!$I$16:$I$1318,0)),"")</f>
        <v/>
      </c>
      <c r="C92" s="23" t="str">
        <f>IFERROR(INDEX('LISTA DE PRECIOS'!C$16:C$1318,MATCH(77,'LISTA DE PRECIOS'!$I$16:$I$1318,0)),"")</f>
        <v/>
      </c>
      <c r="D92" s="24" t="str">
        <f>IFERROR(INDEX('LISTA DE PRECIOS'!D$16:D$1318,MATCH(77,'LISTA DE PRECIOS'!$I$16:$I$1318,0)),"")</f>
        <v/>
      </c>
      <c r="E92" s="23" t="str">
        <f>IFERROR(INDEX('LISTA DE PRECIOS'!E$16:E$1318,MATCH(77,'LISTA DE PRECIOS'!$I$16:$I$1318,0)),"")</f>
        <v/>
      </c>
      <c r="F92" s="23" t="str">
        <f>IFERROR(INDEX('LISTA DE PRECIOS'!F$16:F$1318,MATCH(77,'LISTA DE PRECIOS'!$I$16:$I$1318,0)),"")</f>
        <v/>
      </c>
      <c r="G92" s="25" t="str">
        <f>IFERROR(INDEX('LISTA DE PRECIOS'!G$16:G$1318,MATCH(77,'LISTA DE PRECIOS'!$I$16:$I$1318,0)),"")</f>
        <v/>
      </c>
      <c r="H92" s="26" t="str">
        <f>IFERROR(INDEX('LISTA DE PRECIOS'!H$16:H$1318,MATCH(77,'LISTA DE PRECIOS'!$I$16:$I$1318,0)),"")</f>
        <v/>
      </c>
      <c r="I92" s="27" t="str">
        <f t="shared" si="2"/>
        <v/>
      </c>
    </row>
    <row r="93" spans="1:9">
      <c r="A93" s="22" t="str">
        <f>IFERROR(INDEX('LISTA DE PRECIOS'!A$16:A$1318,MATCH(78,'LISTA DE PRECIOS'!$I$16:$I$1318,0)),"")</f>
        <v/>
      </c>
      <c r="B93" s="23" t="str">
        <f>IFERROR(INDEX('LISTA DE PRECIOS'!B$16:B$1318,MATCH(78,'LISTA DE PRECIOS'!$I$16:$I$1318,0)),"")</f>
        <v/>
      </c>
      <c r="C93" s="23" t="str">
        <f>IFERROR(INDEX('LISTA DE PRECIOS'!C$16:C$1318,MATCH(78,'LISTA DE PRECIOS'!$I$16:$I$1318,0)),"")</f>
        <v/>
      </c>
      <c r="D93" s="24" t="str">
        <f>IFERROR(INDEX('LISTA DE PRECIOS'!D$16:D$1318,MATCH(78,'LISTA DE PRECIOS'!$I$16:$I$1318,0)),"")</f>
        <v/>
      </c>
      <c r="E93" s="23" t="str">
        <f>IFERROR(INDEX('LISTA DE PRECIOS'!E$16:E$1318,MATCH(78,'LISTA DE PRECIOS'!$I$16:$I$1318,0)),"")</f>
        <v/>
      </c>
      <c r="F93" s="23" t="str">
        <f>IFERROR(INDEX('LISTA DE PRECIOS'!F$16:F$1318,MATCH(78,'LISTA DE PRECIOS'!$I$16:$I$1318,0)),"")</f>
        <v/>
      </c>
      <c r="G93" s="25" t="str">
        <f>IFERROR(INDEX('LISTA DE PRECIOS'!G$16:G$1318,MATCH(78,'LISTA DE PRECIOS'!$I$16:$I$1318,0)),"")</f>
        <v/>
      </c>
      <c r="H93" s="26" t="str">
        <f>IFERROR(INDEX('LISTA DE PRECIOS'!H$16:H$1318,MATCH(78,'LISTA DE PRECIOS'!$I$16:$I$1318,0)),"")</f>
        <v/>
      </c>
      <c r="I93" s="27" t="str">
        <f t="shared" si="2"/>
        <v/>
      </c>
    </row>
    <row r="94" spans="1:9">
      <c r="A94" s="22" t="str">
        <f>IFERROR(INDEX('LISTA DE PRECIOS'!A$16:A$1318,MATCH(79,'LISTA DE PRECIOS'!$I$16:$I$1318,0)),"")</f>
        <v/>
      </c>
      <c r="B94" s="23" t="str">
        <f>IFERROR(INDEX('LISTA DE PRECIOS'!B$16:B$1318,MATCH(79,'LISTA DE PRECIOS'!$I$16:$I$1318,0)),"")</f>
        <v/>
      </c>
      <c r="C94" s="23" t="str">
        <f>IFERROR(INDEX('LISTA DE PRECIOS'!C$16:C$1318,MATCH(79,'LISTA DE PRECIOS'!$I$16:$I$1318,0)),"")</f>
        <v/>
      </c>
      <c r="D94" s="24" t="str">
        <f>IFERROR(INDEX('LISTA DE PRECIOS'!D$16:D$1318,MATCH(79,'LISTA DE PRECIOS'!$I$16:$I$1318,0)),"")</f>
        <v/>
      </c>
      <c r="E94" s="23" t="str">
        <f>IFERROR(INDEX('LISTA DE PRECIOS'!E$16:E$1318,MATCH(79,'LISTA DE PRECIOS'!$I$16:$I$1318,0)),"")</f>
        <v/>
      </c>
      <c r="F94" s="23" t="str">
        <f>IFERROR(INDEX('LISTA DE PRECIOS'!F$16:F$1318,MATCH(79,'LISTA DE PRECIOS'!$I$16:$I$1318,0)),"")</f>
        <v/>
      </c>
      <c r="G94" s="25" t="str">
        <f>IFERROR(INDEX('LISTA DE PRECIOS'!G$16:G$1318,MATCH(79,'LISTA DE PRECIOS'!$I$16:$I$1318,0)),"")</f>
        <v/>
      </c>
      <c r="H94" s="26" t="str">
        <f>IFERROR(INDEX('LISTA DE PRECIOS'!H$16:H$1318,MATCH(79,'LISTA DE PRECIOS'!$I$16:$I$1318,0)),"")</f>
        <v/>
      </c>
      <c r="I94" s="27" t="str">
        <f t="shared" si="2"/>
        <v/>
      </c>
    </row>
    <row r="95" spans="1:9">
      <c r="A95" s="22" t="str">
        <f>IFERROR(INDEX('LISTA DE PRECIOS'!A$16:A$1318,MATCH(80,'LISTA DE PRECIOS'!$I$16:$I$1318,0)),"")</f>
        <v/>
      </c>
      <c r="B95" s="23" t="str">
        <f>IFERROR(INDEX('LISTA DE PRECIOS'!B$16:B$1318,MATCH(80,'LISTA DE PRECIOS'!$I$16:$I$1318,0)),"")</f>
        <v/>
      </c>
      <c r="C95" s="23" t="str">
        <f>IFERROR(INDEX('LISTA DE PRECIOS'!C$16:C$1318,MATCH(80,'LISTA DE PRECIOS'!$I$16:$I$1318,0)),"")</f>
        <v/>
      </c>
      <c r="D95" s="24" t="str">
        <f>IFERROR(INDEX('LISTA DE PRECIOS'!D$16:D$1318,MATCH(80,'LISTA DE PRECIOS'!$I$16:$I$1318,0)),"")</f>
        <v/>
      </c>
      <c r="E95" s="23" t="str">
        <f>IFERROR(INDEX('LISTA DE PRECIOS'!E$16:E$1318,MATCH(80,'LISTA DE PRECIOS'!$I$16:$I$1318,0)),"")</f>
        <v/>
      </c>
      <c r="F95" s="23" t="str">
        <f>IFERROR(INDEX('LISTA DE PRECIOS'!F$16:F$1318,MATCH(80,'LISTA DE PRECIOS'!$I$16:$I$1318,0)),"")</f>
        <v/>
      </c>
      <c r="G95" s="25" t="str">
        <f>IFERROR(INDEX('LISTA DE PRECIOS'!G$16:G$1318,MATCH(80,'LISTA DE PRECIOS'!$I$16:$I$1318,0)),"")</f>
        <v/>
      </c>
      <c r="H95" s="26" t="str">
        <f>IFERROR(INDEX('LISTA DE PRECIOS'!H$16:H$1318,MATCH(80,'LISTA DE PRECIOS'!$I$16:$I$1318,0)),"")</f>
        <v/>
      </c>
      <c r="I95" s="27" t="str">
        <f t="shared" si="2"/>
        <v/>
      </c>
    </row>
    <row r="96" spans="1:9">
      <c r="A96" s="22" t="str">
        <f>IFERROR(INDEX('LISTA DE PRECIOS'!A$16:A$1318,MATCH(81,'LISTA DE PRECIOS'!$I$16:$I$1318,0)),"")</f>
        <v/>
      </c>
      <c r="B96" s="23" t="str">
        <f>IFERROR(INDEX('LISTA DE PRECIOS'!B$16:B$1318,MATCH(81,'LISTA DE PRECIOS'!$I$16:$I$1318,0)),"")</f>
        <v/>
      </c>
      <c r="C96" s="23" t="str">
        <f>IFERROR(INDEX('LISTA DE PRECIOS'!C$16:C$1318,MATCH(81,'LISTA DE PRECIOS'!$I$16:$I$1318,0)),"")</f>
        <v/>
      </c>
      <c r="D96" s="24" t="str">
        <f>IFERROR(INDEX('LISTA DE PRECIOS'!D$16:D$1318,MATCH(81,'LISTA DE PRECIOS'!$I$16:$I$1318,0)),"")</f>
        <v/>
      </c>
      <c r="E96" s="23" t="str">
        <f>IFERROR(INDEX('LISTA DE PRECIOS'!E$16:E$1318,MATCH(81,'LISTA DE PRECIOS'!$I$16:$I$1318,0)),"")</f>
        <v/>
      </c>
      <c r="F96" s="23" t="str">
        <f>IFERROR(INDEX('LISTA DE PRECIOS'!F$16:F$1318,MATCH(81,'LISTA DE PRECIOS'!$I$16:$I$1318,0)),"")</f>
        <v/>
      </c>
      <c r="G96" s="25" t="str">
        <f>IFERROR(INDEX('LISTA DE PRECIOS'!G$16:G$1318,MATCH(81,'LISTA DE PRECIOS'!$I$16:$I$1318,0)),"")</f>
        <v/>
      </c>
      <c r="H96" s="26" t="str">
        <f>IFERROR(INDEX('LISTA DE PRECIOS'!H$16:H$1318,MATCH(81,'LISTA DE PRECIOS'!$I$16:$I$1318,0)),"")</f>
        <v/>
      </c>
      <c r="I96" s="27" t="str">
        <f t="shared" si="2"/>
        <v/>
      </c>
    </row>
    <row r="97" spans="1:9">
      <c r="A97" s="22" t="str">
        <f>IFERROR(INDEX('LISTA DE PRECIOS'!A$16:A$1318,MATCH(82,'LISTA DE PRECIOS'!$I$16:$I$1318,0)),"")</f>
        <v/>
      </c>
      <c r="B97" s="23" t="str">
        <f>IFERROR(INDEX('LISTA DE PRECIOS'!B$16:B$1318,MATCH(82,'LISTA DE PRECIOS'!$I$16:$I$1318,0)),"")</f>
        <v/>
      </c>
      <c r="C97" s="23" t="str">
        <f>IFERROR(INDEX('LISTA DE PRECIOS'!C$16:C$1318,MATCH(82,'LISTA DE PRECIOS'!$I$16:$I$1318,0)),"")</f>
        <v/>
      </c>
      <c r="D97" s="24" t="str">
        <f>IFERROR(INDEX('LISTA DE PRECIOS'!D$16:D$1318,MATCH(82,'LISTA DE PRECIOS'!$I$16:$I$1318,0)),"")</f>
        <v/>
      </c>
      <c r="E97" s="23" t="str">
        <f>IFERROR(INDEX('LISTA DE PRECIOS'!E$16:E$1318,MATCH(82,'LISTA DE PRECIOS'!$I$16:$I$1318,0)),"")</f>
        <v/>
      </c>
      <c r="F97" s="23" t="str">
        <f>IFERROR(INDEX('LISTA DE PRECIOS'!F$16:F$1318,MATCH(82,'LISTA DE PRECIOS'!$I$16:$I$1318,0)),"")</f>
        <v/>
      </c>
      <c r="G97" s="25" t="str">
        <f>IFERROR(INDEX('LISTA DE PRECIOS'!G$16:G$1318,MATCH(82,'LISTA DE PRECIOS'!$I$16:$I$1318,0)),"")</f>
        <v/>
      </c>
      <c r="H97" s="26" t="str">
        <f>IFERROR(INDEX('LISTA DE PRECIOS'!H$16:H$1318,MATCH(82,'LISTA DE PRECIOS'!$I$16:$I$1318,0)),"")</f>
        <v/>
      </c>
      <c r="I97" s="27" t="str">
        <f t="shared" si="2"/>
        <v/>
      </c>
    </row>
    <row r="98" spans="1:9">
      <c r="A98" s="22" t="str">
        <f>IFERROR(INDEX('LISTA DE PRECIOS'!A$16:A$1318,MATCH(83,'LISTA DE PRECIOS'!$I$16:$I$1318,0)),"")</f>
        <v/>
      </c>
      <c r="B98" s="23" t="str">
        <f>IFERROR(INDEX('LISTA DE PRECIOS'!B$16:B$1318,MATCH(83,'LISTA DE PRECIOS'!$I$16:$I$1318,0)),"")</f>
        <v/>
      </c>
      <c r="C98" s="23" t="str">
        <f>IFERROR(INDEX('LISTA DE PRECIOS'!C$16:C$1318,MATCH(83,'LISTA DE PRECIOS'!$I$16:$I$1318,0)),"")</f>
        <v/>
      </c>
      <c r="D98" s="24" t="str">
        <f>IFERROR(INDEX('LISTA DE PRECIOS'!D$16:D$1318,MATCH(83,'LISTA DE PRECIOS'!$I$16:$I$1318,0)),"")</f>
        <v/>
      </c>
      <c r="E98" s="23" t="str">
        <f>IFERROR(INDEX('LISTA DE PRECIOS'!E$16:E$1318,MATCH(83,'LISTA DE PRECIOS'!$I$16:$I$1318,0)),"")</f>
        <v/>
      </c>
      <c r="F98" s="23" t="str">
        <f>IFERROR(INDEX('LISTA DE PRECIOS'!F$16:F$1318,MATCH(83,'LISTA DE PRECIOS'!$I$16:$I$1318,0)),"")</f>
        <v/>
      </c>
      <c r="G98" s="25" t="str">
        <f>IFERROR(INDEX('LISTA DE PRECIOS'!G$16:G$1318,MATCH(83,'LISTA DE PRECIOS'!$I$16:$I$1318,0)),"")</f>
        <v/>
      </c>
      <c r="H98" s="26" t="str">
        <f>IFERROR(INDEX('LISTA DE PRECIOS'!H$16:H$1318,MATCH(83,'LISTA DE PRECIOS'!$I$16:$I$1318,0)),"")</f>
        <v/>
      </c>
      <c r="I98" s="27" t="str">
        <f t="shared" si="2"/>
        <v/>
      </c>
    </row>
    <row r="99" spans="1:9">
      <c r="A99" s="22" t="str">
        <f>IFERROR(INDEX('LISTA DE PRECIOS'!A$16:A$1318,MATCH(84,'LISTA DE PRECIOS'!$I$16:$I$1318,0)),"")</f>
        <v/>
      </c>
      <c r="B99" s="23" t="str">
        <f>IFERROR(INDEX('LISTA DE PRECIOS'!B$16:B$1318,MATCH(84,'LISTA DE PRECIOS'!$I$16:$I$1318,0)),"")</f>
        <v/>
      </c>
      <c r="C99" s="23" t="str">
        <f>IFERROR(INDEX('LISTA DE PRECIOS'!C$16:C$1318,MATCH(84,'LISTA DE PRECIOS'!$I$16:$I$1318,0)),"")</f>
        <v/>
      </c>
      <c r="D99" s="24" t="str">
        <f>IFERROR(INDEX('LISTA DE PRECIOS'!D$16:D$1318,MATCH(84,'LISTA DE PRECIOS'!$I$16:$I$1318,0)),"")</f>
        <v/>
      </c>
      <c r="E99" s="23" t="str">
        <f>IFERROR(INDEX('LISTA DE PRECIOS'!E$16:E$1318,MATCH(84,'LISTA DE PRECIOS'!$I$16:$I$1318,0)),"")</f>
        <v/>
      </c>
      <c r="F99" s="23" t="str">
        <f>IFERROR(INDEX('LISTA DE PRECIOS'!F$16:F$1318,MATCH(84,'LISTA DE PRECIOS'!$I$16:$I$1318,0)),"")</f>
        <v/>
      </c>
      <c r="G99" s="25" t="str">
        <f>IFERROR(INDEX('LISTA DE PRECIOS'!G$16:G$1318,MATCH(84,'LISTA DE PRECIOS'!$I$16:$I$1318,0)),"")</f>
        <v/>
      </c>
      <c r="H99" s="26" t="str">
        <f>IFERROR(INDEX('LISTA DE PRECIOS'!H$16:H$1318,MATCH(84,'LISTA DE PRECIOS'!$I$16:$I$1318,0)),"")</f>
        <v/>
      </c>
      <c r="I99" s="27" t="str">
        <f t="shared" si="2"/>
        <v/>
      </c>
    </row>
    <row r="100" spans="1:9">
      <c r="A100" s="22" t="str">
        <f>IFERROR(INDEX('LISTA DE PRECIOS'!A$16:A$1318,MATCH(85,'LISTA DE PRECIOS'!$I$16:$I$1318,0)),"")</f>
        <v/>
      </c>
      <c r="B100" s="23" t="str">
        <f>IFERROR(INDEX('LISTA DE PRECIOS'!B$16:B$1318,MATCH(85,'LISTA DE PRECIOS'!$I$16:$I$1318,0)),"")</f>
        <v/>
      </c>
      <c r="C100" s="23" t="str">
        <f>IFERROR(INDEX('LISTA DE PRECIOS'!C$16:C$1318,MATCH(85,'LISTA DE PRECIOS'!$I$16:$I$1318,0)),"")</f>
        <v/>
      </c>
      <c r="D100" s="24" t="str">
        <f>IFERROR(INDEX('LISTA DE PRECIOS'!D$16:D$1318,MATCH(85,'LISTA DE PRECIOS'!$I$16:$I$1318,0)),"")</f>
        <v/>
      </c>
      <c r="E100" s="23" t="str">
        <f>IFERROR(INDEX('LISTA DE PRECIOS'!E$16:E$1318,MATCH(85,'LISTA DE PRECIOS'!$I$16:$I$1318,0)),"")</f>
        <v/>
      </c>
      <c r="F100" s="23" t="str">
        <f>IFERROR(INDEX('LISTA DE PRECIOS'!F$16:F$1318,MATCH(85,'LISTA DE PRECIOS'!$I$16:$I$1318,0)),"")</f>
        <v/>
      </c>
      <c r="G100" s="25" t="str">
        <f>IFERROR(INDEX('LISTA DE PRECIOS'!G$16:G$1318,MATCH(85,'LISTA DE PRECIOS'!$I$16:$I$1318,0)),"")</f>
        <v/>
      </c>
      <c r="H100" s="26" t="str">
        <f>IFERROR(INDEX('LISTA DE PRECIOS'!H$16:H$1318,MATCH(85,'LISTA DE PRECIOS'!$I$16:$I$1318,0)),"")</f>
        <v/>
      </c>
      <c r="I100" s="27" t="str">
        <f t="shared" si="2"/>
        <v/>
      </c>
    </row>
    <row r="101" spans="1:9">
      <c r="A101" s="22" t="str">
        <f>IFERROR(INDEX('LISTA DE PRECIOS'!A$16:A$1318,MATCH(86,'LISTA DE PRECIOS'!$I$16:$I$1318,0)),"")</f>
        <v/>
      </c>
      <c r="B101" s="23" t="str">
        <f>IFERROR(INDEX('LISTA DE PRECIOS'!B$16:B$1318,MATCH(86,'LISTA DE PRECIOS'!$I$16:$I$1318,0)),"")</f>
        <v/>
      </c>
      <c r="C101" s="23" t="str">
        <f>IFERROR(INDEX('LISTA DE PRECIOS'!C$16:C$1318,MATCH(86,'LISTA DE PRECIOS'!$I$16:$I$1318,0)),"")</f>
        <v/>
      </c>
      <c r="D101" s="24" t="str">
        <f>IFERROR(INDEX('LISTA DE PRECIOS'!D$16:D$1318,MATCH(86,'LISTA DE PRECIOS'!$I$16:$I$1318,0)),"")</f>
        <v/>
      </c>
      <c r="E101" s="23" t="str">
        <f>IFERROR(INDEX('LISTA DE PRECIOS'!E$16:E$1318,MATCH(86,'LISTA DE PRECIOS'!$I$16:$I$1318,0)),"")</f>
        <v/>
      </c>
      <c r="F101" s="23" t="str">
        <f>IFERROR(INDEX('LISTA DE PRECIOS'!F$16:F$1318,MATCH(86,'LISTA DE PRECIOS'!$I$16:$I$1318,0)),"")</f>
        <v/>
      </c>
      <c r="G101" s="25" t="str">
        <f>IFERROR(INDEX('LISTA DE PRECIOS'!G$16:G$1318,MATCH(86,'LISTA DE PRECIOS'!$I$16:$I$1318,0)),"")</f>
        <v/>
      </c>
      <c r="H101" s="26" t="str">
        <f>IFERROR(INDEX('LISTA DE PRECIOS'!H$16:H$1318,MATCH(86,'LISTA DE PRECIOS'!$I$16:$I$1318,0)),"")</f>
        <v/>
      </c>
      <c r="I101" s="27" t="str">
        <f t="shared" si="2"/>
        <v/>
      </c>
    </row>
    <row r="102" spans="1:9">
      <c r="A102" s="22" t="str">
        <f>IFERROR(INDEX('LISTA DE PRECIOS'!A$16:A$1318,MATCH(87,'LISTA DE PRECIOS'!$I$16:$I$1318,0)),"")</f>
        <v/>
      </c>
      <c r="B102" s="23" t="str">
        <f>IFERROR(INDEX('LISTA DE PRECIOS'!B$16:B$1318,MATCH(87,'LISTA DE PRECIOS'!$I$16:$I$1318,0)),"")</f>
        <v/>
      </c>
      <c r="C102" s="23" t="str">
        <f>IFERROR(INDEX('LISTA DE PRECIOS'!C$16:C$1318,MATCH(87,'LISTA DE PRECIOS'!$I$16:$I$1318,0)),"")</f>
        <v/>
      </c>
      <c r="D102" s="24" t="str">
        <f>IFERROR(INDEX('LISTA DE PRECIOS'!D$16:D$1318,MATCH(87,'LISTA DE PRECIOS'!$I$16:$I$1318,0)),"")</f>
        <v/>
      </c>
      <c r="E102" s="23" t="str">
        <f>IFERROR(INDEX('LISTA DE PRECIOS'!E$16:E$1318,MATCH(87,'LISTA DE PRECIOS'!$I$16:$I$1318,0)),"")</f>
        <v/>
      </c>
      <c r="F102" s="23" t="str">
        <f>IFERROR(INDEX('LISTA DE PRECIOS'!F$16:F$1318,MATCH(87,'LISTA DE PRECIOS'!$I$16:$I$1318,0)),"")</f>
        <v/>
      </c>
      <c r="G102" s="25" t="str">
        <f>IFERROR(INDEX('LISTA DE PRECIOS'!G$16:G$1318,MATCH(87,'LISTA DE PRECIOS'!$I$16:$I$1318,0)),"")</f>
        <v/>
      </c>
      <c r="H102" s="26" t="str">
        <f>IFERROR(INDEX('LISTA DE PRECIOS'!H$16:H$1318,MATCH(87,'LISTA DE PRECIOS'!$I$16:$I$1318,0)),"")</f>
        <v/>
      </c>
      <c r="I102" s="27" t="str">
        <f t="shared" si="2"/>
        <v/>
      </c>
    </row>
    <row r="103" spans="1:9">
      <c r="A103" s="22" t="str">
        <f>IFERROR(INDEX('LISTA DE PRECIOS'!A$16:A$1318,MATCH(88,'LISTA DE PRECIOS'!$I$16:$I$1318,0)),"")</f>
        <v/>
      </c>
      <c r="B103" s="23" t="str">
        <f>IFERROR(INDEX('LISTA DE PRECIOS'!B$16:B$1318,MATCH(88,'LISTA DE PRECIOS'!$I$16:$I$1318,0)),"")</f>
        <v/>
      </c>
      <c r="C103" s="23" t="str">
        <f>IFERROR(INDEX('LISTA DE PRECIOS'!C$16:C$1318,MATCH(88,'LISTA DE PRECIOS'!$I$16:$I$1318,0)),"")</f>
        <v/>
      </c>
      <c r="D103" s="24" t="str">
        <f>IFERROR(INDEX('LISTA DE PRECIOS'!D$16:D$1318,MATCH(88,'LISTA DE PRECIOS'!$I$16:$I$1318,0)),"")</f>
        <v/>
      </c>
      <c r="E103" s="23" t="str">
        <f>IFERROR(INDEX('LISTA DE PRECIOS'!E$16:E$1318,MATCH(88,'LISTA DE PRECIOS'!$I$16:$I$1318,0)),"")</f>
        <v/>
      </c>
      <c r="F103" s="23" t="str">
        <f>IFERROR(INDEX('LISTA DE PRECIOS'!F$16:F$1318,MATCH(88,'LISTA DE PRECIOS'!$I$16:$I$1318,0)),"")</f>
        <v/>
      </c>
      <c r="G103" s="25" t="str">
        <f>IFERROR(INDEX('LISTA DE PRECIOS'!G$16:G$1318,MATCH(88,'LISTA DE PRECIOS'!$I$16:$I$1318,0)),"")</f>
        <v/>
      </c>
      <c r="H103" s="26" t="str">
        <f>IFERROR(INDEX('LISTA DE PRECIOS'!H$16:H$1318,MATCH(88,'LISTA DE PRECIOS'!$I$16:$I$1318,0)),"")</f>
        <v/>
      </c>
      <c r="I103" s="27" t="str">
        <f t="shared" si="2"/>
        <v/>
      </c>
    </row>
    <row r="104" spans="1:9">
      <c r="A104" s="22" t="str">
        <f>IFERROR(INDEX('LISTA DE PRECIOS'!A$16:A$1318,MATCH(89,'LISTA DE PRECIOS'!$I$16:$I$1318,0)),"")</f>
        <v/>
      </c>
      <c r="B104" s="23" t="str">
        <f>IFERROR(INDEX('LISTA DE PRECIOS'!B$16:B$1318,MATCH(89,'LISTA DE PRECIOS'!$I$16:$I$1318,0)),"")</f>
        <v/>
      </c>
      <c r="C104" s="23" t="str">
        <f>IFERROR(INDEX('LISTA DE PRECIOS'!C$16:C$1318,MATCH(89,'LISTA DE PRECIOS'!$I$16:$I$1318,0)),"")</f>
        <v/>
      </c>
      <c r="D104" s="24" t="str">
        <f>IFERROR(INDEX('LISTA DE PRECIOS'!D$16:D$1318,MATCH(89,'LISTA DE PRECIOS'!$I$16:$I$1318,0)),"")</f>
        <v/>
      </c>
      <c r="E104" s="23" t="str">
        <f>IFERROR(INDEX('LISTA DE PRECIOS'!E$16:E$1318,MATCH(89,'LISTA DE PRECIOS'!$I$16:$I$1318,0)),"")</f>
        <v/>
      </c>
      <c r="F104" s="23" t="str">
        <f>IFERROR(INDEX('LISTA DE PRECIOS'!F$16:F$1318,MATCH(89,'LISTA DE PRECIOS'!$I$16:$I$1318,0)),"")</f>
        <v/>
      </c>
      <c r="G104" s="25" t="str">
        <f>IFERROR(INDEX('LISTA DE PRECIOS'!G$16:G$1318,MATCH(89,'LISTA DE PRECIOS'!$I$16:$I$1318,0)),"")</f>
        <v/>
      </c>
      <c r="H104" s="26" t="str">
        <f>IFERROR(INDEX('LISTA DE PRECIOS'!H$16:H$1318,MATCH(89,'LISTA DE PRECIOS'!$I$16:$I$1318,0)),"")</f>
        <v/>
      </c>
      <c r="I104" s="27" t="str">
        <f t="shared" si="2"/>
        <v/>
      </c>
    </row>
    <row r="105" spans="1:9">
      <c r="A105" s="22" t="str">
        <f>IFERROR(INDEX('LISTA DE PRECIOS'!A$16:A$1318,MATCH(90,'LISTA DE PRECIOS'!$I$16:$I$1318,0)),"")</f>
        <v/>
      </c>
      <c r="B105" s="23" t="str">
        <f>IFERROR(INDEX('LISTA DE PRECIOS'!B$16:B$1318,MATCH(90,'LISTA DE PRECIOS'!$I$16:$I$1318,0)),"")</f>
        <v/>
      </c>
      <c r="C105" s="23" t="str">
        <f>IFERROR(INDEX('LISTA DE PRECIOS'!C$16:C$1318,MATCH(90,'LISTA DE PRECIOS'!$I$16:$I$1318,0)),"")</f>
        <v/>
      </c>
      <c r="D105" s="24" t="str">
        <f>IFERROR(INDEX('LISTA DE PRECIOS'!D$16:D$1318,MATCH(90,'LISTA DE PRECIOS'!$I$16:$I$1318,0)),"")</f>
        <v/>
      </c>
      <c r="E105" s="23" t="str">
        <f>IFERROR(INDEX('LISTA DE PRECIOS'!E$16:E$1318,MATCH(90,'LISTA DE PRECIOS'!$I$16:$I$1318,0)),"")</f>
        <v/>
      </c>
      <c r="F105" s="23" t="str">
        <f>IFERROR(INDEX('LISTA DE PRECIOS'!F$16:F$1318,MATCH(90,'LISTA DE PRECIOS'!$I$16:$I$1318,0)),"")</f>
        <v/>
      </c>
      <c r="G105" s="25" t="str">
        <f>IFERROR(INDEX('LISTA DE PRECIOS'!G$16:G$1318,MATCH(90,'LISTA DE PRECIOS'!$I$16:$I$1318,0)),"")</f>
        <v/>
      </c>
      <c r="H105" s="26" t="str">
        <f>IFERROR(INDEX('LISTA DE PRECIOS'!H$16:H$1318,MATCH(90,'LISTA DE PRECIOS'!$I$16:$I$1318,0)),"")</f>
        <v/>
      </c>
      <c r="I105" s="27" t="str">
        <f t="shared" si="2"/>
        <v/>
      </c>
    </row>
    <row r="106" spans="1:9">
      <c r="A106" s="22" t="str">
        <f>IFERROR(INDEX('LISTA DE PRECIOS'!A$16:A$1318,MATCH(91,'LISTA DE PRECIOS'!$I$16:$I$1318,0)),"")</f>
        <v/>
      </c>
      <c r="B106" s="23" t="str">
        <f>IFERROR(INDEX('LISTA DE PRECIOS'!B$16:B$1318,MATCH(91,'LISTA DE PRECIOS'!$I$16:$I$1318,0)),"")</f>
        <v/>
      </c>
      <c r="C106" s="23" t="str">
        <f>IFERROR(INDEX('LISTA DE PRECIOS'!C$16:C$1318,MATCH(91,'LISTA DE PRECIOS'!$I$16:$I$1318,0)),"")</f>
        <v/>
      </c>
      <c r="D106" s="24" t="str">
        <f>IFERROR(INDEX('LISTA DE PRECIOS'!D$16:D$1318,MATCH(91,'LISTA DE PRECIOS'!$I$16:$I$1318,0)),"")</f>
        <v/>
      </c>
      <c r="E106" s="23" t="str">
        <f>IFERROR(INDEX('LISTA DE PRECIOS'!E$16:E$1318,MATCH(91,'LISTA DE PRECIOS'!$I$16:$I$1318,0)),"")</f>
        <v/>
      </c>
      <c r="F106" s="23" t="str">
        <f>IFERROR(INDEX('LISTA DE PRECIOS'!F$16:F$1318,MATCH(91,'LISTA DE PRECIOS'!$I$16:$I$1318,0)),"")</f>
        <v/>
      </c>
      <c r="G106" s="25" t="str">
        <f>IFERROR(INDEX('LISTA DE PRECIOS'!G$16:G$1318,MATCH(91,'LISTA DE PRECIOS'!$I$16:$I$1318,0)),"")</f>
        <v/>
      </c>
      <c r="H106" s="26" t="str">
        <f>IFERROR(INDEX('LISTA DE PRECIOS'!H$16:H$1318,MATCH(91,'LISTA DE PRECIOS'!$I$16:$I$1318,0)),"")</f>
        <v/>
      </c>
      <c r="I106" s="27" t="str">
        <f t="shared" si="2"/>
        <v/>
      </c>
    </row>
    <row r="107" spans="1:9">
      <c r="A107" s="22" t="str">
        <f>IFERROR(INDEX('LISTA DE PRECIOS'!A$16:A$1318,MATCH(92,'LISTA DE PRECIOS'!$I$16:$I$1318,0)),"")</f>
        <v/>
      </c>
      <c r="B107" s="23" t="str">
        <f>IFERROR(INDEX('LISTA DE PRECIOS'!B$16:B$1318,MATCH(92,'LISTA DE PRECIOS'!$I$16:$I$1318,0)),"")</f>
        <v/>
      </c>
      <c r="C107" s="23" t="str">
        <f>IFERROR(INDEX('LISTA DE PRECIOS'!C$16:C$1318,MATCH(92,'LISTA DE PRECIOS'!$I$16:$I$1318,0)),"")</f>
        <v/>
      </c>
      <c r="D107" s="24" t="str">
        <f>IFERROR(INDEX('LISTA DE PRECIOS'!D$16:D$1318,MATCH(92,'LISTA DE PRECIOS'!$I$16:$I$1318,0)),"")</f>
        <v/>
      </c>
      <c r="E107" s="23" t="str">
        <f>IFERROR(INDEX('LISTA DE PRECIOS'!E$16:E$1318,MATCH(92,'LISTA DE PRECIOS'!$I$16:$I$1318,0)),"")</f>
        <v/>
      </c>
      <c r="F107" s="23" t="str">
        <f>IFERROR(INDEX('LISTA DE PRECIOS'!F$16:F$1318,MATCH(92,'LISTA DE PRECIOS'!$I$16:$I$1318,0)),"")</f>
        <v/>
      </c>
      <c r="G107" s="25" t="str">
        <f>IFERROR(INDEX('LISTA DE PRECIOS'!G$16:G$1318,MATCH(92,'LISTA DE PRECIOS'!$I$16:$I$1318,0)),"")</f>
        <v/>
      </c>
      <c r="H107" s="26" t="str">
        <f>IFERROR(INDEX('LISTA DE PRECIOS'!H$16:H$1318,MATCH(92,'LISTA DE PRECIOS'!$I$16:$I$1318,0)),"")</f>
        <v/>
      </c>
      <c r="I107" s="27" t="str">
        <f t="shared" si="2"/>
        <v/>
      </c>
    </row>
    <row r="108" spans="1:9">
      <c r="A108" s="22" t="str">
        <f>IFERROR(INDEX('LISTA DE PRECIOS'!A$16:A$1318,MATCH(93,'LISTA DE PRECIOS'!$I$16:$I$1318,0)),"")</f>
        <v/>
      </c>
      <c r="B108" s="23" t="str">
        <f>IFERROR(INDEX('LISTA DE PRECIOS'!B$16:B$1318,MATCH(93,'LISTA DE PRECIOS'!$I$16:$I$1318,0)),"")</f>
        <v/>
      </c>
      <c r="C108" s="23" t="str">
        <f>IFERROR(INDEX('LISTA DE PRECIOS'!C$16:C$1318,MATCH(93,'LISTA DE PRECIOS'!$I$16:$I$1318,0)),"")</f>
        <v/>
      </c>
      <c r="D108" s="24" t="str">
        <f>IFERROR(INDEX('LISTA DE PRECIOS'!D$16:D$1318,MATCH(93,'LISTA DE PRECIOS'!$I$16:$I$1318,0)),"")</f>
        <v/>
      </c>
      <c r="E108" s="23" t="str">
        <f>IFERROR(INDEX('LISTA DE PRECIOS'!E$16:E$1318,MATCH(93,'LISTA DE PRECIOS'!$I$16:$I$1318,0)),"")</f>
        <v/>
      </c>
      <c r="F108" s="23" t="str">
        <f>IFERROR(INDEX('LISTA DE PRECIOS'!F$16:F$1318,MATCH(93,'LISTA DE PRECIOS'!$I$16:$I$1318,0)),"")</f>
        <v/>
      </c>
      <c r="G108" s="25" t="str">
        <f>IFERROR(INDEX('LISTA DE PRECIOS'!G$16:G$1318,MATCH(93,'LISTA DE PRECIOS'!$I$16:$I$1318,0)),"")</f>
        <v/>
      </c>
      <c r="H108" s="26" t="str">
        <f>IFERROR(INDEX('LISTA DE PRECIOS'!H$16:H$1318,MATCH(93,'LISTA DE PRECIOS'!$I$16:$I$1318,0)),"")</f>
        <v/>
      </c>
      <c r="I108" s="27" t="str">
        <f t="shared" si="2"/>
        <v/>
      </c>
    </row>
    <row r="109" spans="1:9">
      <c r="A109" s="22" t="str">
        <f>IFERROR(INDEX('LISTA DE PRECIOS'!A$16:A$1318,MATCH(94,'LISTA DE PRECIOS'!$I$16:$I$1318,0)),"")</f>
        <v/>
      </c>
      <c r="B109" s="23" t="str">
        <f>IFERROR(INDEX('LISTA DE PRECIOS'!B$16:B$1318,MATCH(94,'LISTA DE PRECIOS'!$I$16:$I$1318,0)),"")</f>
        <v/>
      </c>
      <c r="C109" s="23" t="str">
        <f>IFERROR(INDEX('LISTA DE PRECIOS'!C$16:C$1318,MATCH(94,'LISTA DE PRECIOS'!$I$16:$I$1318,0)),"")</f>
        <v/>
      </c>
      <c r="D109" s="24" t="str">
        <f>IFERROR(INDEX('LISTA DE PRECIOS'!D$16:D$1318,MATCH(94,'LISTA DE PRECIOS'!$I$16:$I$1318,0)),"")</f>
        <v/>
      </c>
      <c r="E109" s="23" t="str">
        <f>IFERROR(INDEX('LISTA DE PRECIOS'!E$16:E$1318,MATCH(94,'LISTA DE PRECIOS'!$I$16:$I$1318,0)),"")</f>
        <v/>
      </c>
      <c r="F109" s="23" t="str">
        <f>IFERROR(INDEX('LISTA DE PRECIOS'!F$16:F$1318,MATCH(94,'LISTA DE PRECIOS'!$I$16:$I$1318,0)),"")</f>
        <v/>
      </c>
      <c r="G109" s="25" t="str">
        <f>IFERROR(INDEX('LISTA DE PRECIOS'!G$16:G$1318,MATCH(94,'LISTA DE PRECIOS'!$I$16:$I$1318,0)),"")</f>
        <v/>
      </c>
      <c r="H109" s="26" t="str">
        <f>IFERROR(INDEX('LISTA DE PRECIOS'!H$16:H$1318,MATCH(94,'LISTA DE PRECIOS'!$I$16:$I$1318,0)),"")</f>
        <v/>
      </c>
      <c r="I109" s="27" t="str">
        <f t="shared" si="2"/>
        <v/>
      </c>
    </row>
    <row r="110" spans="1:9">
      <c r="A110" s="22" t="str">
        <f>IFERROR(INDEX('LISTA DE PRECIOS'!A$16:A$1318,MATCH(95,'LISTA DE PRECIOS'!$I$16:$I$1318,0)),"")</f>
        <v/>
      </c>
      <c r="B110" s="23" t="str">
        <f>IFERROR(INDEX('LISTA DE PRECIOS'!B$16:B$1318,MATCH(95,'LISTA DE PRECIOS'!$I$16:$I$1318,0)),"")</f>
        <v/>
      </c>
      <c r="C110" s="23" t="str">
        <f>IFERROR(INDEX('LISTA DE PRECIOS'!C$16:C$1318,MATCH(95,'LISTA DE PRECIOS'!$I$16:$I$1318,0)),"")</f>
        <v/>
      </c>
      <c r="D110" s="24" t="str">
        <f>IFERROR(INDEX('LISTA DE PRECIOS'!D$16:D$1318,MATCH(95,'LISTA DE PRECIOS'!$I$16:$I$1318,0)),"")</f>
        <v/>
      </c>
      <c r="E110" s="23" t="str">
        <f>IFERROR(INDEX('LISTA DE PRECIOS'!E$16:E$1318,MATCH(95,'LISTA DE PRECIOS'!$I$16:$I$1318,0)),"")</f>
        <v/>
      </c>
      <c r="F110" s="23" t="str">
        <f>IFERROR(INDEX('LISTA DE PRECIOS'!F$16:F$1318,MATCH(95,'LISTA DE PRECIOS'!$I$16:$I$1318,0)),"")</f>
        <v/>
      </c>
      <c r="G110" s="25" t="str">
        <f>IFERROR(INDEX('LISTA DE PRECIOS'!G$16:G$1318,MATCH(95,'LISTA DE PRECIOS'!$I$16:$I$1318,0)),"")</f>
        <v/>
      </c>
      <c r="H110" s="26" t="str">
        <f>IFERROR(INDEX('LISTA DE PRECIOS'!H$16:H$1318,MATCH(95,'LISTA DE PRECIOS'!$I$16:$I$1318,0)),"")</f>
        <v/>
      </c>
      <c r="I110" s="27" t="str">
        <f t="shared" si="2"/>
        <v/>
      </c>
    </row>
    <row r="111" spans="1:9">
      <c r="A111" s="22" t="str">
        <f>IFERROR(INDEX('LISTA DE PRECIOS'!A$16:A$1318,MATCH(96,'LISTA DE PRECIOS'!$I$16:$I$1318,0)),"")</f>
        <v/>
      </c>
      <c r="B111" s="23" t="str">
        <f>IFERROR(INDEX('LISTA DE PRECIOS'!B$16:B$1318,MATCH(96,'LISTA DE PRECIOS'!$I$16:$I$1318,0)),"")</f>
        <v/>
      </c>
      <c r="C111" s="23" t="str">
        <f>IFERROR(INDEX('LISTA DE PRECIOS'!C$16:C$1318,MATCH(96,'LISTA DE PRECIOS'!$I$16:$I$1318,0)),"")</f>
        <v/>
      </c>
      <c r="D111" s="24" t="str">
        <f>IFERROR(INDEX('LISTA DE PRECIOS'!D$16:D$1318,MATCH(96,'LISTA DE PRECIOS'!$I$16:$I$1318,0)),"")</f>
        <v/>
      </c>
      <c r="E111" s="23" t="str">
        <f>IFERROR(INDEX('LISTA DE PRECIOS'!E$16:E$1318,MATCH(96,'LISTA DE PRECIOS'!$I$16:$I$1318,0)),"")</f>
        <v/>
      </c>
      <c r="F111" s="23" t="str">
        <f>IFERROR(INDEX('LISTA DE PRECIOS'!F$16:F$1318,MATCH(96,'LISTA DE PRECIOS'!$I$16:$I$1318,0)),"")</f>
        <v/>
      </c>
      <c r="G111" s="25" t="str">
        <f>IFERROR(INDEX('LISTA DE PRECIOS'!G$16:G$1318,MATCH(96,'LISTA DE PRECIOS'!$I$16:$I$1318,0)),"")</f>
        <v/>
      </c>
      <c r="H111" s="26" t="str">
        <f>IFERROR(INDEX('LISTA DE PRECIOS'!H$16:H$1318,MATCH(96,'LISTA DE PRECIOS'!$I$16:$I$1318,0)),"")</f>
        <v/>
      </c>
      <c r="I111" s="27" t="str">
        <f t="shared" si="2"/>
        <v/>
      </c>
    </row>
    <row r="112" spans="1:9">
      <c r="A112" s="22" t="str">
        <f>IFERROR(INDEX('LISTA DE PRECIOS'!A$16:A$1318,MATCH(97,'LISTA DE PRECIOS'!$I$16:$I$1318,0)),"")</f>
        <v/>
      </c>
      <c r="B112" s="23" t="str">
        <f>IFERROR(INDEX('LISTA DE PRECIOS'!B$16:B$1318,MATCH(97,'LISTA DE PRECIOS'!$I$16:$I$1318,0)),"")</f>
        <v/>
      </c>
      <c r="C112" s="23" t="str">
        <f>IFERROR(INDEX('LISTA DE PRECIOS'!C$16:C$1318,MATCH(97,'LISTA DE PRECIOS'!$I$16:$I$1318,0)),"")</f>
        <v/>
      </c>
      <c r="D112" s="24" t="str">
        <f>IFERROR(INDEX('LISTA DE PRECIOS'!D$16:D$1318,MATCH(97,'LISTA DE PRECIOS'!$I$16:$I$1318,0)),"")</f>
        <v/>
      </c>
      <c r="E112" s="23" t="str">
        <f>IFERROR(INDEX('LISTA DE PRECIOS'!E$16:E$1318,MATCH(97,'LISTA DE PRECIOS'!$I$16:$I$1318,0)),"")</f>
        <v/>
      </c>
      <c r="F112" s="23" t="str">
        <f>IFERROR(INDEX('LISTA DE PRECIOS'!F$16:F$1318,MATCH(97,'LISTA DE PRECIOS'!$I$16:$I$1318,0)),"")</f>
        <v/>
      </c>
      <c r="G112" s="25" t="str">
        <f>IFERROR(INDEX('LISTA DE PRECIOS'!G$16:G$1318,MATCH(97,'LISTA DE PRECIOS'!$I$16:$I$1318,0)),"")</f>
        <v/>
      </c>
      <c r="H112" s="26" t="str">
        <f>IFERROR(INDEX('LISTA DE PRECIOS'!H$16:H$1318,MATCH(97,'LISTA DE PRECIOS'!$I$16:$I$1318,0)),"")</f>
        <v/>
      </c>
      <c r="I112" s="27" t="str">
        <f t="shared" ref="I112:I143" si="3">IF(OR(G112="",H112=""),"",G112*H112)</f>
        <v/>
      </c>
    </row>
    <row r="113" spans="1:9">
      <c r="A113" s="22" t="str">
        <f>IFERROR(INDEX('LISTA DE PRECIOS'!A$16:A$1318,MATCH(98,'LISTA DE PRECIOS'!$I$16:$I$1318,0)),"")</f>
        <v/>
      </c>
      <c r="B113" s="23" t="str">
        <f>IFERROR(INDEX('LISTA DE PRECIOS'!B$16:B$1318,MATCH(98,'LISTA DE PRECIOS'!$I$16:$I$1318,0)),"")</f>
        <v/>
      </c>
      <c r="C113" s="23" t="str">
        <f>IFERROR(INDEX('LISTA DE PRECIOS'!C$16:C$1318,MATCH(98,'LISTA DE PRECIOS'!$I$16:$I$1318,0)),"")</f>
        <v/>
      </c>
      <c r="D113" s="24" t="str">
        <f>IFERROR(INDEX('LISTA DE PRECIOS'!D$16:D$1318,MATCH(98,'LISTA DE PRECIOS'!$I$16:$I$1318,0)),"")</f>
        <v/>
      </c>
      <c r="E113" s="23" t="str">
        <f>IFERROR(INDEX('LISTA DE PRECIOS'!E$16:E$1318,MATCH(98,'LISTA DE PRECIOS'!$I$16:$I$1318,0)),"")</f>
        <v/>
      </c>
      <c r="F113" s="23" t="str">
        <f>IFERROR(INDEX('LISTA DE PRECIOS'!F$16:F$1318,MATCH(98,'LISTA DE PRECIOS'!$I$16:$I$1318,0)),"")</f>
        <v/>
      </c>
      <c r="G113" s="25" t="str">
        <f>IFERROR(INDEX('LISTA DE PRECIOS'!G$16:G$1318,MATCH(98,'LISTA DE PRECIOS'!$I$16:$I$1318,0)),"")</f>
        <v/>
      </c>
      <c r="H113" s="26" t="str">
        <f>IFERROR(INDEX('LISTA DE PRECIOS'!H$16:H$1318,MATCH(98,'LISTA DE PRECIOS'!$I$16:$I$1318,0)),"")</f>
        <v/>
      </c>
      <c r="I113" s="27" t="str">
        <f t="shared" si="3"/>
        <v/>
      </c>
    </row>
    <row r="114" spans="1:9">
      <c r="A114" s="22" t="str">
        <f>IFERROR(INDEX('LISTA DE PRECIOS'!A$16:A$1318,MATCH(99,'LISTA DE PRECIOS'!$I$16:$I$1318,0)),"")</f>
        <v/>
      </c>
      <c r="B114" s="23" t="str">
        <f>IFERROR(INDEX('LISTA DE PRECIOS'!B$16:B$1318,MATCH(99,'LISTA DE PRECIOS'!$I$16:$I$1318,0)),"")</f>
        <v/>
      </c>
      <c r="C114" s="23" t="str">
        <f>IFERROR(INDEX('LISTA DE PRECIOS'!C$16:C$1318,MATCH(99,'LISTA DE PRECIOS'!$I$16:$I$1318,0)),"")</f>
        <v/>
      </c>
      <c r="D114" s="24" t="str">
        <f>IFERROR(INDEX('LISTA DE PRECIOS'!D$16:D$1318,MATCH(99,'LISTA DE PRECIOS'!$I$16:$I$1318,0)),"")</f>
        <v/>
      </c>
      <c r="E114" s="23" t="str">
        <f>IFERROR(INDEX('LISTA DE PRECIOS'!E$16:E$1318,MATCH(99,'LISTA DE PRECIOS'!$I$16:$I$1318,0)),"")</f>
        <v/>
      </c>
      <c r="F114" s="23" t="str">
        <f>IFERROR(INDEX('LISTA DE PRECIOS'!F$16:F$1318,MATCH(99,'LISTA DE PRECIOS'!$I$16:$I$1318,0)),"")</f>
        <v/>
      </c>
      <c r="G114" s="25" t="str">
        <f>IFERROR(INDEX('LISTA DE PRECIOS'!G$16:G$1318,MATCH(99,'LISTA DE PRECIOS'!$I$16:$I$1318,0)),"")</f>
        <v/>
      </c>
      <c r="H114" s="26" t="str">
        <f>IFERROR(INDEX('LISTA DE PRECIOS'!H$16:H$1318,MATCH(99,'LISTA DE PRECIOS'!$I$16:$I$1318,0)),"")</f>
        <v/>
      </c>
      <c r="I114" s="27" t="str">
        <f t="shared" si="3"/>
        <v/>
      </c>
    </row>
    <row r="115" spans="1:9">
      <c r="A115" s="22" t="str">
        <f>IFERROR(INDEX('LISTA DE PRECIOS'!A$16:A$1318,MATCH(100,'LISTA DE PRECIOS'!$I$16:$I$1318,0)),"")</f>
        <v/>
      </c>
      <c r="B115" s="23" t="str">
        <f>IFERROR(INDEX('LISTA DE PRECIOS'!B$16:B$1318,MATCH(100,'LISTA DE PRECIOS'!$I$16:$I$1318,0)),"")</f>
        <v/>
      </c>
      <c r="C115" s="23" t="str">
        <f>IFERROR(INDEX('LISTA DE PRECIOS'!C$16:C$1318,MATCH(100,'LISTA DE PRECIOS'!$I$16:$I$1318,0)),"")</f>
        <v/>
      </c>
      <c r="D115" s="24" t="str">
        <f>IFERROR(INDEX('LISTA DE PRECIOS'!D$16:D$1318,MATCH(100,'LISTA DE PRECIOS'!$I$16:$I$1318,0)),"")</f>
        <v/>
      </c>
      <c r="E115" s="23" t="str">
        <f>IFERROR(INDEX('LISTA DE PRECIOS'!E$16:E$1318,MATCH(100,'LISTA DE PRECIOS'!$I$16:$I$1318,0)),"")</f>
        <v/>
      </c>
      <c r="F115" s="23" t="str">
        <f>IFERROR(INDEX('LISTA DE PRECIOS'!F$16:F$1318,MATCH(100,'LISTA DE PRECIOS'!$I$16:$I$1318,0)),"")</f>
        <v/>
      </c>
      <c r="G115" s="25" t="str">
        <f>IFERROR(INDEX('LISTA DE PRECIOS'!G$16:G$1318,MATCH(100,'LISTA DE PRECIOS'!$I$16:$I$1318,0)),"")</f>
        <v/>
      </c>
      <c r="H115" s="26" t="str">
        <f>IFERROR(INDEX('LISTA DE PRECIOS'!H$16:H$1318,MATCH(100,'LISTA DE PRECIOS'!$I$16:$I$1318,0)),"")</f>
        <v/>
      </c>
      <c r="I115" s="27" t="str">
        <f t="shared" si="3"/>
        <v/>
      </c>
    </row>
    <row r="116" spans="1:9">
      <c r="A116" s="22" t="str">
        <f>IFERROR(INDEX('LISTA DE PRECIOS'!A$16:A$1318,MATCH(101,'LISTA DE PRECIOS'!$I$16:$I$1318,0)),"")</f>
        <v/>
      </c>
      <c r="B116" s="23" t="str">
        <f>IFERROR(INDEX('LISTA DE PRECIOS'!B$16:B$1318,MATCH(101,'LISTA DE PRECIOS'!$I$16:$I$1318,0)),"")</f>
        <v/>
      </c>
      <c r="C116" s="23" t="str">
        <f>IFERROR(INDEX('LISTA DE PRECIOS'!C$16:C$1318,MATCH(101,'LISTA DE PRECIOS'!$I$16:$I$1318,0)),"")</f>
        <v/>
      </c>
      <c r="D116" s="24" t="str">
        <f>IFERROR(INDEX('LISTA DE PRECIOS'!D$16:D$1318,MATCH(101,'LISTA DE PRECIOS'!$I$16:$I$1318,0)),"")</f>
        <v/>
      </c>
      <c r="E116" s="23" t="str">
        <f>IFERROR(INDEX('LISTA DE PRECIOS'!E$16:E$1318,MATCH(101,'LISTA DE PRECIOS'!$I$16:$I$1318,0)),"")</f>
        <v/>
      </c>
      <c r="F116" s="23" t="str">
        <f>IFERROR(INDEX('LISTA DE PRECIOS'!F$16:F$1318,MATCH(101,'LISTA DE PRECIOS'!$I$16:$I$1318,0)),"")</f>
        <v/>
      </c>
      <c r="G116" s="25" t="str">
        <f>IFERROR(INDEX('LISTA DE PRECIOS'!G$16:G$1318,MATCH(101,'LISTA DE PRECIOS'!$I$16:$I$1318,0)),"")</f>
        <v/>
      </c>
      <c r="H116" s="26" t="str">
        <f>IFERROR(INDEX('LISTA DE PRECIOS'!H$16:H$1318,MATCH(101,'LISTA DE PRECIOS'!$I$16:$I$1318,0)),"")</f>
        <v/>
      </c>
      <c r="I116" s="27" t="str">
        <f t="shared" si="3"/>
        <v/>
      </c>
    </row>
    <row r="117" spans="1:9">
      <c r="A117" s="22" t="str">
        <f>IFERROR(INDEX('LISTA DE PRECIOS'!A$16:A$1318,MATCH(102,'LISTA DE PRECIOS'!$I$16:$I$1318,0)),"")</f>
        <v/>
      </c>
      <c r="B117" s="23" t="str">
        <f>IFERROR(INDEX('LISTA DE PRECIOS'!B$16:B$1318,MATCH(102,'LISTA DE PRECIOS'!$I$16:$I$1318,0)),"")</f>
        <v/>
      </c>
      <c r="C117" s="23" t="str">
        <f>IFERROR(INDEX('LISTA DE PRECIOS'!C$16:C$1318,MATCH(102,'LISTA DE PRECIOS'!$I$16:$I$1318,0)),"")</f>
        <v/>
      </c>
      <c r="D117" s="24" t="str">
        <f>IFERROR(INDEX('LISTA DE PRECIOS'!D$16:D$1318,MATCH(102,'LISTA DE PRECIOS'!$I$16:$I$1318,0)),"")</f>
        <v/>
      </c>
      <c r="E117" s="23" t="str">
        <f>IFERROR(INDEX('LISTA DE PRECIOS'!E$16:E$1318,MATCH(102,'LISTA DE PRECIOS'!$I$16:$I$1318,0)),"")</f>
        <v/>
      </c>
      <c r="F117" s="23" t="str">
        <f>IFERROR(INDEX('LISTA DE PRECIOS'!F$16:F$1318,MATCH(102,'LISTA DE PRECIOS'!$I$16:$I$1318,0)),"")</f>
        <v/>
      </c>
      <c r="G117" s="25" t="str">
        <f>IFERROR(INDEX('LISTA DE PRECIOS'!G$16:G$1318,MATCH(102,'LISTA DE PRECIOS'!$I$16:$I$1318,0)),"")</f>
        <v/>
      </c>
      <c r="H117" s="26" t="str">
        <f>IFERROR(INDEX('LISTA DE PRECIOS'!H$16:H$1318,MATCH(102,'LISTA DE PRECIOS'!$I$16:$I$1318,0)),"")</f>
        <v/>
      </c>
      <c r="I117" s="27" t="str">
        <f t="shared" si="3"/>
        <v/>
      </c>
    </row>
    <row r="118" spans="1:9">
      <c r="A118" s="22" t="str">
        <f>IFERROR(INDEX('LISTA DE PRECIOS'!A$16:A$1318,MATCH(103,'LISTA DE PRECIOS'!$I$16:$I$1318,0)),"")</f>
        <v/>
      </c>
      <c r="B118" s="23" t="str">
        <f>IFERROR(INDEX('LISTA DE PRECIOS'!B$16:B$1318,MATCH(103,'LISTA DE PRECIOS'!$I$16:$I$1318,0)),"")</f>
        <v/>
      </c>
      <c r="C118" s="23" t="str">
        <f>IFERROR(INDEX('LISTA DE PRECIOS'!C$16:C$1318,MATCH(103,'LISTA DE PRECIOS'!$I$16:$I$1318,0)),"")</f>
        <v/>
      </c>
      <c r="D118" s="24" t="str">
        <f>IFERROR(INDEX('LISTA DE PRECIOS'!D$16:D$1318,MATCH(103,'LISTA DE PRECIOS'!$I$16:$I$1318,0)),"")</f>
        <v/>
      </c>
      <c r="E118" s="23" t="str">
        <f>IFERROR(INDEX('LISTA DE PRECIOS'!E$16:E$1318,MATCH(103,'LISTA DE PRECIOS'!$I$16:$I$1318,0)),"")</f>
        <v/>
      </c>
      <c r="F118" s="23" t="str">
        <f>IFERROR(INDEX('LISTA DE PRECIOS'!F$16:F$1318,MATCH(103,'LISTA DE PRECIOS'!$I$16:$I$1318,0)),"")</f>
        <v/>
      </c>
      <c r="G118" s="25" t="str">
        <f>IFERROR(INDEX('LISTA DE PRECIOS'!G$16:G$1318,MATCH(103,'LISTA DE PRECIOS'!$I$16:$I$1318,0)),"")</f>
        <v/>
      </c>
      <c r="H118" s="26" t="str">
        <f>IFERROR(INDEX('LISTA DE PRECIOS'!H$16:H$1318,MATCH(103,'LISTA DE PRECIOS'!$I$16:$I$1318,0)),"")</f>
        <v/>
      </c>
      <c r="I118" s="27" t="str">
        <f t="shared" si="3"/>
        <v/>
      </c>
    </row>
    <row r="119" spans="1:9">
      <c r="A119" s="22" t="str">
        <f>IFERROR(INDEX('LISTA DE PRECIOS'!A$16:A$1318,MATCH(104,'LISTA DE PRECIOS'!$I$16:$I$1318,0)),"")</f>
        <v/>
      </c>
      <c r="B119" s="23" t="str">
        <f>IFERROR(INDEX('LISTA DE PRECIOS'!B$16:B$1318,MATCH(104,'LISTA DE PRECIOS'!$I$16:$I$1318,0)),"")</f>
        <v/>
      </c>
      <c r="C119" s="23" t="str">
        <f>IFERROR(INDEX('LISTA DE PRECIOS'!C$16:C$1318,MATCH(104,'LISTA DE PRECIOS'!$I$16:$I$1318,0)),"")</f>
        <v/>
      </c>
      <c r="D119" s="24" t="str">
        <f>IFERROR(INDEX('LISTA DE PRECIOS'!D$16:D$1318,MATCH(104,'LISTA DE PRECIOS'!$I$16:$I$1318,0)),"")</f>
        <v/>
      </c>
      <c r="E119" s="23" t="str">
        <f>IFERROR(INDEX('LISTA DE PRECIOS'!E$16:E$1318,MATCH(104,'LISTA DE PRECIOS'!$I$16:$I$1318,0)),"")</f>
        <v/>
      </c>
      <c r="F119" s="23" t="str">
        <f>IFERROR(INDEX('LISTA DE PRECIOS'!F$16:F$1318,MATCH(104,'LISTA DE PRECIOS'!$I$16:$I$1318,0)),"")</f>
        <v/>
      </c>
      <c r="G119" s="25" t="str">
        <f>IFERROR(INDEX('LISTA DE PRECIOS'!G$16:G$1318,MATCH(104,'LISTA DE PRECIOS'!$I$16:$I$1318,0)),"")</f>
        <v/>
      </c>
      <c r="H119" s="26" t="str">
        <f>IFERROR(INDEX('LISTA DE PRECIOS'!H$16:H$1318,MATCH(104,'LISTA DE PRECIOS'!$I$16:$I$1318,0)),"")</f>
        <v/>
      </c>
      <c r="I119" s="27" t="str">
        <f t="shared" si="3"/>
        <v/>
      </c>
    </row>
    <row r="120" spans="1:9">
      <c r="A120" s="22" t="str">
        <f>IFERROR(INDEX('LISTA DE PRECIOS'!A$16:A$1318,MATCH(105,'LISTA DE PRECIOS'!$I$16:$I$1318,0)),"")</f>
        <v/>
      </c>
      <c r="B120" s="23" t="str">
        <f>IFERROR(INDEX('LISTA DE PRECIOS'!B$16:B$1318,MATCH(105,'LISTA DE PRECIOS'!$I$16:$I$1318,0)),"")</f>
        <v/>
      </c>
      <c r="C120" s="23" t="str">
        <f>IFERROR(INDEX('LISTA DE PRECIOS'!C$16:C$1318,MATCH(105,'LISTA DE PRECIOS'!$I$16:$I$1318,0)),"")</f>
        <v/>
      </c>
      <c r="D120" s="24" t="str">
        <f>IFERROR(INDEX('LISTA DE PRECIOS'!D$16:D$1318,MATCH(105,'LISTA DE PRECIOS'!$I$16:$I$1318,0)),"")</f>
        <v/>
      </c>
      <c r="E120" s="23" t="str">
        <f>IFERROR(INDEX('LISTA DE PRECIOS'!E$16:E$1318,MATCH(105,'LISTA DE PRECIOS'!$I$16:$I$1318,0)),"")</f>
        <v/>
      </c>
      <c r="F120" s="23" t="str">
        <f>IFERROR(INDEX('LISTA DE PRECIOS'!F$16:F$1318,MATCH(105,'LISTA DE PRECIOS'!$I$16:$I$1318,0)),"")</f>
        <v/>
      </c>
      <c r="G120" s="25" t="str">
        <f>IFERROR(INDEX('LISTA DE PRECIOS'!G$16:G$1318,MATCH(105,'LISTA DE PRECIOS'!$I$16:$I$1318,0)),"")</f>
        <v/>
      </c>
      <c r="H120" s="26" t="str">
        <f>IFERROR(INDEX('LISTA DE PRECIOS'!H$16:H$1318,MATCH(105,'LISTA DE PRECIOS'!$I$16:$I$1318,0)),"")</f>
        <v/>
      </c>
      <c r="I120" s="27" t="str">
        <f t="shared" si="3"/>
        <v/>
      </c>
    </row>
    <row r="121" spans="1:9">
      <c r="A121" s="22" t="str">
        <f>IFERROR(INDEX('LISTA DE PRECIOS'!A$16:A$1318,MATCH(106,'LISTA DE PRECIOS'!$I$16:$I$1318,0)),"")</f>
        <v/>
      </c>
      <c r="B121" s="23" t="str">
        <f>IFERROR(INDEX('LISTA DE PRECIOS'!B$16:B$1318,MATCH(106,'LISTA DE PRECIOS'!$I$16:$I$1318,0)),"")</f>
        <v/>
      </c>
      <c r="C121" s="23" t="str">
        <f>IFERROR(INDEX('LISTA DE PRECIOS'!C$16:C$1318,MATCH(106,'LISTA DE PRECIOS'!$I$16:$I$1318,0)),"")</f>
        <v/>
      </c>
      <c r="D121" s="24" t="str">
        <f>IFERROR(INDEX('LISTA DE PRECIOS'!D$16:D$1318,MATCH(106,'LISTA DE PRECIOS'!$I$16:$I$1318,0)),"")</f>
        <v/>
      </c>
      <c r="E121" s="23" t="str">
        <f>IFERROR(INDEX('LISTA DE PRECIOS'!E$16:E$1318,MATCH(106,'LISTA DE PRECIOS'!$I$16:$I$1318,0)),"")</f>
        <v/>
      </c>
      <c r="F121" s="23" t="str">
        <f>IFERROR(INDEX('LISTA DE PRECIOS'!F$16:F$1318,MATCH(106,'LISTA DE PRECIOS'!$I$16:$I$1318,0)),"")</f>
        <v/>
      </c>
      <c r="G121" s="25" t="str">
        <f>IFERROR(INDEX('LISTA DE PRECIOS'!G$16:G$1318,MATCH(106,'LISTA DE PRECIOS'!$I$16:$I$1318,0)),"")</f>
        <v/>
      </c>
      <c r="H121" s="26" t="str">
        <f>IFERROR(INDEX('LISTA DE PRECIOS'!H$16:H$1318,MATCH(106,'LISTA DE PRECIOS'!$I$16:$I$1318,0)),"")</f>
        <v/>
      </c>
      <c r="I121" s="27" t="str">
        <f t="shared" si="3"/>
        <v/>
      </c>
    </row>
    <row r="122" spans="1:9">
      <c r="A122" s="22" t="str">
        <f>IFERROR(INDEX('LISTA DE PRECIOS'!A$16:A$1318,MATCH(107,'LISTA DE PRECIOS'!$I$16:$I$1318,0)),"")</f>
        <v/>
      </c>
      <c r="B122" s="23" t="str">
        <f>IFERROR(INDEX('LISTA DE PRECIOS'!B$16:B$1318,MATCH(107,'LISTA DE PRECIOS'!$I$16:$I$1318,0)),"")</f>
        <v/>
      </c>
      <c r="C122" s="23" t="str">
        <f>IFERROR(INDEX('LISTA DE PRECIOS'!C$16:C$1318,MATCH(107,'LISTA DE PRECIOS'!$I$16:$I$1318,0)),"")</f>
        <v/>
      </c>
      <c r="D122" s="24" t="str">
        <f>IFERROR(INDEX('LISTA DE PRECIOS'!D$16:D$1318,MATCH(107,'LISTA DE PRECIOS'!$I$16:$I$1318,0)),"")</f>
        <v/>
      </c>
      <c r="E122" s="23" t="str">
        <f>IFERROR(INDEX('LISTA DE PRECIOS'!E$16:E$1318,MATCH(107,'LISTA DE PRECIOS'!$I$16:$I$1318,0)),"")</f>
        <v/>
      </c>
      <c r="F122" s="23" t="str">
        <f>IFERROR(INDEX('LISTA DE PRECIOS'!F$16:F$1318,MATCH(107,'LISTA DE PRECIOS'!$I$16:$I$1318,0)),"")</f>
        <v/>
      </c>
      <c r="G122" s="25" t="str">
        <f>IFERROR(INDEX('LISTA DE PRECIOS'!G$16:G$1318,MATCH(107,'LISTA DE PRECIOS'!$I$16:$I$1318,0)),"")</f>
        <v/>
      </c>
      <c r="H122" s="26" t="str">
        <f>IFERROR(INDEX('LISTA DE PRECIOS'!H$16:H$1318,MATCH(107,'LISTA DE PRECIOS'!$I$16:$I$1318,0)),"")</f>
        <v/>
      </c>
      <c r="I122" s="27" t="str">
        <f t="shared" si="3"/>
        <v/>
      </c>
    </row>
    <row r="123" spans="1:9">
      <c r="A123" s="22" t="str">
        <f>IFERROR(INDEX('LISTA DE PRECIOS'!A$16:A$1318,MATCH(108,'LISTA DE PRECIOS'!$I$16:$I$1318,0)),"")</f>
        <v/>
      </c>
      <c r="B123" s="23" t="str">
        <f>IFERROR(INDEX('LISTA DE PRECIOS'!B$16:B$1318,MATCH(108,'LISTA DE PRECIOS'!$I$16:$I$1318,0)),"")</f>
        <v/>
      </c>
      <c r="C123" s="23" t="str">
        <f>IFERROR(INDEX('LISTA DE PRECIOS'!C$16:C$1318,MATCH(108,'LISTA DE PRECIOS'!$I$16:$I$1318,0)),"")</f>
        <v/>
      </c>
      <c r="D123" s="24" t="str">
        <f>IFERROR(INDEX('LISTA DE PRECIOS'!D$16:D$1318,MATCH(108,'LISTA DE PRECIOS'!$I$16:$I$1318,0)),"")</f>
        <v/>
      </c>
      <c r="E123" s="23" t="str">
        <f>IFERROR(INDEX('LISTA DE PRECIOS'!E$16:E$1318,MATCH(108,'LISTA DE PRECIOS'!$I$16:$I$1318,0)),"")</f>
        <v/>
      </c>
      <c r="F123" s="23" t="str">
        <f>IFERROR(INDEX('LISTA DE PRECIOS'!F$16:F$1318,MATCH(108,'LISTA DE PRECIOS'!$I$16:$I$1318,0)),"")</f>
        <v/>
      </c>
      <c r="G123" s="25" t="str">
        <f>IFERROR(INDEX('LISTA DE PRECIOS'!G$16:G$1318,MATCH(108,'LISTA DE PRECIOS'!$I$16:$I$1318,0)),"")</f>
        <v/>
      </c>
      <c r="H123" s="26" t="str">
        <f>IFERROR(INDEX('LISTA DE PRECIOS'!H$16:H$1318,MATCH(108,'LISTA DE PRECIOS'!$I$16:$I$1318,0)),"")</f>
        <v/>
      </c>
      <c r="I123" s="27" t="str">
        <f t="shared" si="3"/>
        <v/>
      </c>
    </row>
    <row r="124" spans="1:9">
      <c r="A124" s="22" t="str">
        <f>IFERROR(INDEX('LISTA DE PRECIOS'!A$16:A$1318,MATCH(109,'LISTA DE PRECIOS'!$I$16:$I$1318,0)),"")</f>
        <v/>
      </c>
      <c r="B124" s="23" t="str">
        <f>IFERROR(INDEX('LISTA DE PRECIOS'!B$16:B$1318,MATCH(109,'LISTA DE PRECIOS'!$I$16:$I$1318,0)),"")</f>
        <v/>
      </c>
      <c r="C124" s="23" t="str">
        <f>IFERROR(INDEX('LISTA DE PRECIOS'!C$16:C$1318,MATCH(109,'LISTA DE PRECIOS'!$I$16:$I$1318,0)),"")</f>
        <v/>
      </c>
      <c r="D124" s="24" t="str">
        <f>IFERROR(INDEX('LISTA DE PRECIOS'!D$16:D$1318,MATCH(109,'LISTA DE PRECIOS'!$I$16:$I$1318,0)),"")</f>
        <v/>
      </c>
      <c r="E124" s="23" t="str">
        <f>IFERROR(INDEX('LISTA DE PRECIOS'!E$16:E$1318,MATCH(109,'LISTA DE PRECIOS'!$I$16:$I$1318,0)),"")</f>
        <v/>
      </c>
      <c r="F124" s="23" t="str">
        <f>IFERROR(INDEX('LISTA DE PRECIOS'!F$16:F$1318,MATCH(109,'LISTA DE PRECIOS'!$I$16:$I$1318,0)),"")</f>
        <v/>
      </c>
      <c r="G124" s="25" t="str">
        <f>IFERROR(INDEX('LISTA DE PRECIOS'!G$16:G$1318,MATCH(109,'LISTA DE PRECIOS'!$I$16:$I$1318,0)),"")</f>
        <v/>
      </c>
      <c r="H124" s="26" t="str">
        <f>IFERROR(INDEX('LISTA DE PRECIOS'!H$16:H$1318,MATCH(109,'LISTA DE PRECIOS'!$I$16:$I$1318,0)),"")</f>
        <v/>
      </c>
      <c r="I124" s="27" t="str">
        <f t="shared" si="3"/>
        <v/>
      </c>
    </row>
    <row r="125" spans="1:9">
      <c r="A125" s="22" t="str">
        <f>IFERROR(INDEX('LISTA DE PRECIOS'!A$16:A$1318,MATCH(110,'LISTA DE PRECIOS'!$I$16:$I$1318,0)),"")</f>
        <v/>
      </c>
      <c r="B125" s="23" t="str">
        <f>IFERROR(INDEX('LISTA DE PRECIOS'!B$16:B$1318,MATCH(110,'LISTA DE PRECIOS'!$I$16:$I$1318,0)),"")</f>
        <v/>
      </c>
      <c r="C125" s="23" t="str">
        <f>IFERROR(INDEX('LISTA DE PRECIOS'!C$16:C$1318,MATCH(110,'LISTA DE PRECIOS'!$I$16:$I$1318,0)),"")</f>
        <v/>
      </c>
      <c r="D125" s="24" t="str">
        <f>IFERROR(INDEX('LISTA DE PRECIOS'!D$16:D$1318,MATCH(110,'LISTA DE PRECIOS'!$I$16:$I$1318,0)),"")</f>
        <v/>
      </c>
      <c r="E125" s="23" t="str">
        <f>IFERROR(INDEX('LISTA DE PRECIOS'!E$16:E$1318,MATCH(110,'LISTA DE PRECIOS'!$I$16:$I$1318,0)),"")</f>
        <v/>
      </c>
      <c r="F125" s="23" t="str">
        <f>IFERROR(INDEX('LISTA DE PRECIOS'!F$16:F$1318,MATCH(110,'LISTA DE PRECIOS'!$I$16:$I$1318,0)),"")</f>
        <v/>
      </c>
      <c r="G125" s="25" t="str">
        <f>IFERROR(INDEX('LISTA DE PRECIOS'!G$16:G$1318,MATCH(110,'LISTA DE PRECIOS'!$I$16:$I$1318,0)),"")</f>
        <v/>
      </c>
      <c r="H125" s="26" t="str">
        <f>IFERROR(INDEX('LISTA DE PRECIOS'!H$16:H$1318,MATCH(110,'LISTA DE PRECIOS'!$I$16:$I$1318,0)),"")</f>
        <v/>
      </c>
      <c r="I125" s="27" t="str">
        <f t="shared" si="3"/>
        <v/>
      </c>
    </row>
    <row r="126" spans="1:9">
      <c r="A126" s="22" t="str">
        <f>IFERROR(INDEX('LISTA DE PRECIOS'!A$16:A$1318,MATCH(111,'LISTA DE PRECIOS'!$I$16:$I$1318,0)),"")</f>
        <v/>
      </c>
      <c r="B126" s="23" t="str">
        <f>IFERROR(INDEX('LISTA DE PRECIOS'!B$16:B$1318,MATCH(111,'LISTA DE PRECIOS'!$I$16:$I$1318,0)),"")</f>
        <v/>
      </c>
      <c r="C126" s="23" t="str">
        <f>IFERROR(INDEX('LISTA DE PRECIOS'!C$16:C$1318,MATCH(111,'LISTA DE PRECIOS'!$I$16:$I$1318,0)),"")</f>
        <v/>
      </c>
      <c r="D126" s="24" t="str">
        <f>IFERROR(INDEX('LISTA DE PRECIOS'!D$16:D$1318,MATCH(111,'LISTA DE PRECIOS'!$I$16:$I$1318,0)),"")</f>
        <v/>
      </c>
      <c r="E126" s="23" t="str">
        <f>IFERROR(INDEX('LISTA DE PRECIOS'!E$16:E$1318,MATCH(111,'LISTA DE PRECIOS'!$I$16:$I$1318,0)),"")</f>
        <v/>
      </c>
      <c r="F126" s="23" t="str">
        <f>IFERROR(INDEX('LISTA DE PRECIOS'!F$16:F$1318,MATCH(111,'LISTA DE PRECIOS'!$I$16:$I$1318,0)),"")</f>
        <v/>
      </c>
      <c r="G126" s="25" t="str">
        <f>IFERROR(INDEX('LISTA DE PRECIOS'!G$16:G$1318,MATCH(111,'LISTA DE PRECIOS'!$I$16:$I$1318,0)),"")</f>
        <v/>
      </c>
      <c r="H126" s="26" t="str">
        <f>IFERROR(INDEX('LISTA DE PRECIOS'!H$16:H$1318,MATCH(111,'LISTA DE PRECIOS'!$I$16:$I$1318,0)),"")</f>
        <v/>
      </c>
      <c r="I126" s="27" t="str">
        <f t="shared" si="3"/>
        <v/>
      </c>
    </row>
    <row r="127" spans="1:9">
      <c r="A127" s="22" t="str">
        <f>IFERROR(INDEX('LISTA DE PRECIOS'!A$16:A$1318,MATCH(112,'LISTA DE PRECIOS'!$I$16:$I$1318,0)),"")</f>
        <v/>
      </c>
      <c r="B127" s="23" t="str">
        <f>IFERROR(INDEX('LISTA DE PRECIOS'!B$16:B$1318,MATCH(112,'LISTA DE PRECIOS'!$I$16:$I$1318,0)),"")</f>
        <v/>
      </c>
      <c r="C127" s="23" t="str">
        <f>IFERROR(INDEX('LISTA DE PRECIOS'!C$16:C$1318,MATCH(112,'LISTA DE PRECIOS'!$I$16:$I$1318,0)),"")</f>
        <v/>
      </c>
      <c r="D127" s="24" t="str">
        <f>IFERROR(INDEX('LISTA DE PRECIOS'!D$16:D$1318,MATCH(112,'LISTA DE PRECIOS'!$I$16:$I$1318,0)),"")</f>
        <v/>
      </c>
      <c r="E127" s="23" t="str">
        <f>IFERROR(INDEX('LISTA DE PRECIOS'!E$16:E$1318,MATCH(112,'LISTA DE PRECIOS'!$I$16:$I$1318,0)),"")</f>
        <v/>
      </c>
      <c r="F127" s="23" t="str">
        <f>IFERROR(INDEX('LISTA DE PRECIOS'!F$16:F$1318,MATCH(112,'LISTA DE PRECIOS'!$I$16:$I$1318,0)),"")</f>
        <v/>
      </c>
      <c r="G127" s="25" t="str">
        <f>IFERROR(INDEX('LISTA DE PRECIOS'!G$16:G$1318,MATCH(112,'LISTA DE PRECIOS'!$I$16:$I$1318,0)),"")</f>
        <v/>
      </c>
      <c r="H127" s="26" t="str">
        <f>IFERROR(INDEX('LISTA DE PRECIOS'!H$16:H$1318,MATCH(112,'LISTA DE PRECIOS'!$I$16:$I$1318,0)),"")</f>
        <v/>
      </c>
      <c r="I127" s="27" t="str">
        <f t="shared" si="3"/>
        <v/>
      </c>
    </row>
    <row r="128" spans="1:9">
      <c r="A128" s="22" t="str">
        <f>IFERROR(INDEX('LISTA DE PRECIOS'!A$16:A$1318,MATCH(113,'LISTA DE PRECIOS'!$I$16:$I$1318,0)),"")</f>
        <v/>
      </c>
      <c r="B128" s="23" t="str">
        <f>IFERROR(INDEX('LISTA DE PRECIOS'!B$16:B$1318,MATCH(113,'LISTA DE PRECIOS'!$I$16:$I$1318,0)),"")</f>
        <v/>
      </c>
      <c r="C128" s="23" t="str">
        <f>IFERROR(INDEX('LISTA DE PRECIOS'!C$16:C$1318,MATCH(113,'LISTA DE PRECIOS'!$I$16:$I$1318,0)),"")</f>
        <v/>
      </c>
      <c r="D128" s="24" t="str">
        <f>IFERROR(INDEX('LISTA DE PRECIOS'!D$16:D$1318,MATCH(113,'LISTA DE PRECIOS'!$I$16:$I$1318,0)),"")</f>
        <v/>
      </c>
      <c r="E128" s="23" t="str">
        <f>IFERROR(INDEX('LISTA DE PRECIOS'!E$16:E$1318,MATCH(113,'LISTA DE PRECIOS'!$I$16:$I$1318,0)),"")</f>
        <v/>
      </c>
      <c r="F128" s="23" t="str">
        <f>IFERROR(INDEX('LISTA DE PRECIOS'!F$16:F$1318,MATCH(113,'LISTA DE PRECIOS'!$I$16:$I$1318,0)),"")</f>
        <v/>
      </c>
      <c r="G128" s="25" t="str">
        <f>IFERROR(INDEX('LISTA DE PRECIOS'!G$16:G$1318,MATCH(113,'LISTA DE PRECIOS'!$I$16:$I$1318,0)),"")</f>
        <v/>
      </c>
      <c r="H128" s="26" t="str">
        <f>IFERROR(INDEX('LISTA DE PRECIOS'!H$16:H$1318,MATCH(113,'LISTA DE PRECIOS'!$I$16:$I$1318,0)),"")</f>
        <v/>
      </c>
      <c r="I128" s="27" t="str">
        <f t="shared" si="3"/>
        <v/>
      </c>
    </row>
    <row r="129" spans="1:9">
      <c r="A129" s="22" t="str">
        <f>IFERROR(INDEX('LISTA DE PRECIOS'!A$16:A$1318,MATCH(114,'LISTA DE PRECIOS'!$I$16:$I$1318,0)),"")</f>
        <v/>
      </c>
      <c r="B129" s="23" t="str">
        <f>IFERROR(INDEX('LISTA DE PRECIOS'!B$16:B$1318,MATCH(114,'LISTA DE PRECIOS'!$I$16:$I$1318,0)),"")</f>
        <v/>
      </c>
      <c r="C129" s="23" t="str">
        <f>IFERROR(INDEX('LISTA DE PRECIOS'!C$16:C$1318,MATCH(114,'LISTA DE PRECIOS'!$I$16:$I$1318,0)),"")</f>
        <v/>
      </c>
      <c r="D129" s="24" t="str">
        <f>IFERROR(INDEX('LISTA DE PRECIOS'!D$16:D$1318,MATCH(114,'LISTA DE PRECIOS'!$I$16:$I$1318,0)),"")</f>
        <v/>
      </c>
      <c r="E129" s="23" t="str">
        <f>IFERROR(INDEX('LISTA DE PRECIOS'!E$16:E$1318,MATCH(114,'LISTA DE PRECIOS'!$I$16:$I$1318,0)),"")</f>
        <v/>
      </c>
      <c r="F129" s="23" t="str">
        <f>IFERROR(INDEX('LISTA DE PRECIOS'!F$16:F$1318,MATCH(114,'LISTA DE PRECIOS'!$I$16:$I$1318,0)),"")</f>
        <v/>
      </c>
      <c r="G129" s="25" t="str">
        <f>IFERROR(INDEX('LISTA DE PRECIOS'!G$16:G$1318,MATCH(114,'LISTA DE PRECIOS'!$I$16:$I$1318,0)),"")</f>
        <v/>
      </c>
      <c r="H129" s="26" t="str">
        <f>IFERROR(INDEX('LISTA DE PRECIOS'!H$16:H$1318,MATCH(114,'LISTA DE PRECIOS'!$I$16:$I$1318,0)),"")</f>
        <v/>
      </c>
      <c r="I129" s="27" t="str">
        <f t="shared" si="3"/>
        <v/>
      </c>
    </row>
    <row r="130" spans="1:9">
      <c r="A130" s="22" t="str">
        <f>IFERROR(INDEX('LISTA DE PRECIOS'!A$16:A$1318,MATCH(115,'LISTA DE PRECIOS'!$I$16:$I$1318,0)),"")</f>
        <v/>
      </c>
      <c r="B130" s="23" t="str">
        <f>IFERROR(INDEX('LISTA DE PRECIOS'!B$16:B$1318,MATCH(115,'LISTA DE PRECIOS'!$I$16:$I$1318,0)),"")</f>
        <v/>
      </c>
      <c r="C130" s="23" t="str">
        <f>IFERROR(INDEX('LISTA DE PRECIOS'!C$16:C$1318,MATCH(115,'LISTA DE PRECIOS'!$I$16:$I$1318,0)),"")</f>
        <v/>
      </c>
      <c r="D130" s="24" t="str">
        <f>IFERROR(INDEX('LISTA DE PRECIOS'!D$16:D$1318,MATCH(115,'LISTA DE PRECIOS'!$I$16:$I$1318,0)),"")</f>
        <v/>
      </c>
      <c r="E130" s="23" t="str">
        <f>IFERROR(INDEX('LISTA DE PRECIOS'!E$16:E$1318,MATCH(115,'LISTA DE PRECIOS'!$I$16:$I$1318,0)),"")</f>
        <v/>
      </c>
      <c r="F130" s="23" t="str">
        <f>IFERROR(INDEX('LISTA DE PRECIOS'!F$16:F$1318,MATCH(115,'LISTA DE PRECIOS'!$I$16:$I$1318,0)),"")</f>
        <v/>
      </c>
      <c r="G130" s="25" t="str">
        <f>IFERROR(INDEX('LISTA DE PRECIOS'!G$16:G$1318,MATCH(115,'LISTA DE PRECIOS'!$I$16:$I$1318,0)),"")</f>
        <v/>
      </c>
      <c r="H130" s="26" t="str">
        <f>IFERROR(INDEX('LISTA DE PRECIOS'!H$16:H$1318,MATCH(115,'LISTA DE PRECIOS'!$I$16:$I$1318,0)),"")</f>
        <v/>
      </c>
      <c r="I130" s="27" t="str">
        <f t="shared" si="3"/>
        <v/>
      </c>
    </row>
    <row r="131" spans="1:9">
      <c r="A131" s="22" t="str">
        <f>IFERROR(INDEX('LISTA DE PRECIOS'!A$16:A$1318,MATCH(116,'LISTA DE PRECIOS'!$I$16:$I$1318,0)),"")</f>
        <v/>
      </c>
      <c r="B131" s="23" t="str">
        <f>IFERROR(INDEX('LISTA DE PRECIOS'!B$16:B$1318,MATCH(116,'LISTA DE PRECIOS'!$I$16:$I$1318,0)),"")</f>
        <v/>
      </c>
      <c r="C131" s="23" t="str">
        <f>IFERROR(INDEX('LISTA DE PRECIOS'!C$16:C$1318,MATCH(116,'LISTA DE PRECIOS'!$I$16:$I$1318,0)),"")</f>
        <v/>
      </c>
      <c r="D131" s="24" t="str">
        <f>IFERROR(INDEX('LISTA DE PRECIOS'!D$16:D$1318,MATCH(116,'LISTA DE PRECIOS'!$I$16:$I$1318,0)),"")</f>
        <v/>
      </c>
      <c r="E131" s="23" t="str">
        <f>IFERROR(INDEX('LISTA DE PRECIOS'!E$16:E$1318,MATCH(116,'LISTA DE PRECIOS'!$I$16:$I$1318,0)),"")</f>
        <v/>
      </c>
      <c r="F131" s="23" t="str">
        <f>IFERROR(INDEX('LISTA DE PRECIOS'!F$16:F$1318,MATCH(116,'LISTA DE PRECIOS'!$I$16:$I$1318,0)),"")</f>
        <v/>
      </c>
      <c r="G131" s="25" t="str">
        <f>IFERROR(INDEX('LISTA DE PRECIOS'!G$16:G$1318,MATCH(116,'LISTA DE PRECIOS'!$I$16:$I$1318,0)),"")</f>
        <v/>
      </c>
      <c r="H131" s="26" t="str">
        <f>IFERROR(INDEX('LISTA DE PRECIOS'!H$16:H$1318,MATCH(116,'LISTA DE PRECIOS'!$I$16:$I$1318,0)),"")</f>
        <v/>
      </c>
      <c r="I131" s="27" t="str">
        <f t="shared" si="3"/>
        <v/>
      </c>
    </row>
    <row r="132" spans="1:9">
      <c r="A132" s="22" t="str">
        <f>IFERROR(INDEX('LISTA DE PRECIOS'!A$16:A$1318,MATCH(117,'LISTA DE PRECIOS'!$I$16:$I$1318,0)),"")</f>
        <v/>
      </c>
      <c r="B132" s="23" t="str">
        <f>IFERROR(INDEX('LISTA DE PRECIOS'!B$16:B$1318,MATCH(117,'LISTA DE PRECIOS'!$I$16:$I$1318,0)),"")</f>
        <v/>
      </c>
      <c r="C132" s="23" t="str">
        <f>IFERROR(INDEX('LISTA DE PRECIOS'!C$16:C$1318,MATCH(117,'LISTA DE PRECIOS'!$I$16:$I$1318,0)),"")</f>
        <v/>
      </c>
      <c r="D132" s="24" t="str">
        <f>IFERROR(INDEX('LISTA DE PRECIOS'!D$16:D$1318,MATCH(117,'LISTA DE PRECIOS'!$I$16:$I$1318,0)),"")</f>
        <v/>
      </c>
      <c r="E132" s="23" t="str">
        <f>IFERROR(INDEX('LISTA DE PRECIOS'!E$16:E$1318,MATCH(117,'LISTA DE PRECIOS'!$I$16:$I$1318,0)),"")</f>
        <v/>
      </c>
      <c r="F132" s="23" t="str">
        <f>IFERROR(INDEX('LISTA DE PRECIOS'!F$16:F$1318,MATCH(117,'LISTA DE PRECIOS'!$I$16:$I$1318,0)),"")</f>
        <v/>
      </c>
      <c r="G132" s="25" t="str">
        <f>IFERROR(INDEX('LISTA DE PRECIOS'!G$16:G$1318,MATCH(117,'LISTA DE PRECIOS'!$I$16:$I$1318,0)),"")</f>
        <v/>
      </c>
      <c r="H132" s="26" t="str">
        <f>IFERROR(INDEX('LISTA DE PRECIOS'!H$16:H$1318,MATCH(117,'LISTA DE PRECIOS'!$I$16:$I$1318,0)),"")</f>
        <v/>
      </c>
      <c r="I132" s="27" t="str">
        <f t="shared" si="3"/>
        <v/>
      </c>
    </row>
    <row r="133" spans="1:9">
      <c r="A133" s="22" t="str">
        <f>IFERROR(INDEX('LISTA DE PRECIOS'!A$16:A$1318,MATCH(118,'LISTA DE PRECIOS'!$I$16:$I$1318,0)),"")</f>
        <v/>
      </c>
      <c r="B133" s="23" t="str">
        <f>IFERROR(INDEX('LISTA DE PRECIOS'!B$16:B$1318,MATCH(118,'LISTA DE PRECIOS'!$I$16:$I$1318,0)),"")</f>
        <v/>
      </c>
      <c r="C133" s="23" t="str">
        <f>IFERROR(INDEX('LISTA DE PRECIOS'!C$16:C$1318,MATCH(118,'LISTA DE PRECIOS'!$I$16:$I$1318,0)),"")</f>
        <v/>
      </c>
      <c r="D133" s="24" t="str">
        <f>IFERROR(INDEX('LISTA DE PRECIOS'!D$16:D$1318,MATCH(118,'LISTA DE PRECIOS'!$I$16:$I$1318,0)),"")</f>
        <v/>
      </c>
      <c r="E133" s="23" t="str">
        <f>IFERROR(INDEX('LISTA DE PRECIOS'!E$16:E$1318,MATCH(118,'LISTA DE PRECIOS'!$I$16:$I$1318,0)),"")</f>
        <v/>
      </c>
      <c r="F133" s="23" t="str">
        <f>IFERROR(INDEX('LISTA DE PRECIOS'!F$16:F$1318,MATCH(118,'LISTA DE PRECIOS'!$I$16:$I$1318,0)),"")</f>
        <v/>
      </c>
      <c r="G133" s="25" t="str">
        <f>IFERROR(INDEX('LISTA DE PRECIOS'!G$16:G$1318,MATCH(118,'LISTA DE PRECIOS'!$I$16:$I$1318,0)),"")</f>
        <v/>
      </c>
      <c r="H133" s="26" t="str">
        <f>IFERROR(INDEX('LISTA DE PRECIOS'!H$16:H$1318,MATCH(118,'LISTA DE PRECIOS'!$I$16:$I$1318,0)),"")</f>
        <v/>
      </c>
      <c r="I133" s="27" t="str">
        <f t="shared" si="3"/>
        <v/>
      </c>
    </row>
    <row r="134" spans="1:9">
      <c r="A134" s="22" t="str">
        <f>IFERROR(INDEX('LISTA DE PRECIOS'!A$16:A$1318,MATCH(119,'LISTA DE PRECIOS'!$I$16:$I$1318,0)),"")</f>
        <v/>
      </c>
      <c r="B134" s="23" t="str">
        <f>IFERROR(INDEX('LISTA DE PRECIOS'!B$16:B$1318,MATCH(119,'LISTA DE PRECIOS'!$I$16:$I$1318,0)),"")</f>
        <v/>
      </c>
      <c r="C134" s="23" t="str">
        <f>IFERROR(INDEX('LISTA DE PRECIOS'!C$16:C$1318,MATCH(119,'LISTA DE PRECIOS'!$I$16:$I$1318,0)),"")</f>
        <v/>
      </c>
      <c r="D134" s="24" t="str">
        <f>IFERROR(INDEX('LISTA DE PRECIOS'!D$16:D$1318,MATCH(119,'LISTA DE PRECIOS'!$I$16:$I$1318,0)),"")</f>
        <v/>
      </c>
      <c r="E134" s="23" t="str">
        <f>IFERROR(INDEX('LISTA DE PRECIOS'!E$16:E$1318,MATCH(119,'LISTA DE PRECIOS'!$I$16:$I$1318,0)),"")</f>
        <v/>
      </c>
      <c r="F134" s="23" t="str">
        <f>IFERROR(INDEX('LISTA DE PRECIOS'!F$16:F$1318,MATCH(119,'LISTA DE PRECIOS'!$I$16:$I$1318,0)),"")</f>
        <v/>
      </c>
      <c r="G134" s="25" t="str">
        <f>IFERROR(INDEX('LISTA DE PRECIOS'!G$16:G$1318,MATCH(119,'LISTA DE PRECIOS'!$I$16:$I$1318,0)),"")</f>
        <v/>
      </c>
      <c r="H134" s="26" t="str">
        <f>IFERROR(INDEX('LISTA DE PRECIOS'!H$16:H$1318,MATCH(119,'LISTA DE PRECIOS'!$I$16:$I$1318,0)),"")</f>
        <v/>
      </c>
      <c r="I134" s="27" t="str">
        <f t="shared" si="3"/>
        <v/>
      </c>
    </row>
    <row r="135" spans="1:9">
      <c r="A135" s="22" t="str">
        <f>IFERROR(INDEX('LISTA DE PRECIOS'!A$16:A$1318,MATCH(120,'LISTA DE PRECIOS'!$I$16:$I$1318,0)),"")</f>
        <v/>
      </c>
      <c r="B135" s="23" t="str">
        <f>IFERROR(INDEX('LISTA DE PRECIOS'!B$16:B$1318,MATCH(120,'LISTA DE PRECIOS'!$I$16:$I$1318,0)),"")</f>
        <v/>
      </c>
      <c r="C135" s="23" t="str">
        <f>IFERROR(INDEX('LISTA DE PRECIOS'!C$16:C$1318,MATCH(120,'LISTA DE PRECIOS'!$I$16:$I$1318,0)),"")</f>
        <v/>
      </c>
      <c r="D135" s="24" t="str">
        <f>IFERROR(INDEX('LISTA DE PRECIOS'!D$16:D$1318,MATCH(120,'LISTA DE PRECIOS'!$I$16:$I$1318,0)),"")</f>
        <v/>
      </c>
      <c r="E135" s="23" t="str">
        <f>IFERROR(INDEX('LISTA DE PRECIOS'!E$16:E$1318,MATCH(120,'LISTA DE PRECIOS'!$I$16:$I$1318,0)),"")</f>
        <v/>
      </c>
      <c r="F135" s="23" t="str">
        <f>IFERROR(INDEX('LISTA DE PRECIOS'!F$16:F$1318,MATCH(120,'LISTA DE PRECIOS'!$I$16:$I$1318,0)),"")</f>
        <v/>
      </c>
      <c r="G135" s="25" t="str">
        <f>IFERROR(INDEX('LISTA DE PRECIOS'!G$16:G$1318,MATCH(120,'LISTA DE PRECIOS'!$I$16:$I$1318,0)),"")</f>
        <v/>
      </c>
      <c r="H135" s="26" t="str">
        <f>IFERROR(INDEX('LISTA DE PRECIOS'!H$16:H$1318,MATCH(120,'LISTA DE PRECIOS'!$I$16:$I$1318,0)),"")</f>
        <v/>
      </c>
      <c r="I135" s="27" t="str">
        <f t="shared" si="3"/>
        <v/>
      </c>
    </row>
    <row r="136" spans="1:9">
      <c r="A136" s="22" t="str">
        <f>IFERROR(INDEX('LISTA DE PRECIOS'!A$16:A$1318,MATCH(121,'LISTA DE PRECIOS'!$I$16:$I$1318,0)),"")</f>
        <v/>
      </c>
      <c r="B136" s="23" t="str">
        <f>IFERROR(INDEX('LISTA DE PRECIOS'!B$16:B$1318,MATCH(121,'LISTA DE PRECIOS'!$I$16:$I$1318,0)),"")</f>
        <v/>
      </c>
      <c r="C136" s="23" t="str">
        <f>IFERROR(INDEX('LISTA DE PRECIOS'!C$16:C$1318,MATCH(121,'LISTA DE PRECIOS'!$I$16:$I$1318,0)),"")</f>
        <v/>
      </c>
      <c r="D136" s="24" t="str">
        <f>IFERROR(INDEX('LISTA DE PRECIOS'!D$16:D$1318,MATCH(121,'LISTA DE PRECIOS'!$I$16:$I$1318,0)),"")</f>
        <v/>
      </c>
      <c r="E136" s="23" t="str">
        <f>IFERROR(INDEX('LISTA DE PRECIOS'!E$16:E$1318,MATCH(121,'LISTA DE PRECIOS'!$I$16:$I$1318,0)),"")</f>
        <v/>
      </c>
      <c r="F136" s="23" t="str">
        <f>IFERROR(INDEX('LISTA DE PRECIOS'!F$16:F$1318,MATCH(121,'LISTA DE PRECIOS'!$I$16:$I$1318,0)),"")</f>
        <v/>
      </c>
      <c r="G136" s="25" t="str">
        <f>IFERROR(INDEX('LISTA DE PRECIOS'!G$16:G$1318,MATCH(121,'LISTA DE PRECIOS'!$I$16:$I$1318,0)),"")</f>
        <v/>
      </c>
      <c r="H136" s="26" t="str">
        <f>IFERROR(INDEX('LISTA DE PRECIOS'!H$16:H$1318,MATCH(121,'LISTA DE PRECIOS'!$I$16:$I$1318,0)),"")</f>
        <v/>
      </c>
      <c r="I136" s="27" t="str">
        <f t="shared" si="3"/>
        <v/>
      </c>
    </row>
    <row r="137" spans="1:9">
      <c r="A137" s="22" t="str">
        <f>IFERROR(INDEX('LISTA DE PRECIOS'!A$16:A$1318,MATCH(122,'LISTA DE PRECIOS'!$I$16:$I$1318,0)),"")</f>
        <v/>
      </c>
      <c r="B137" s="23" t="str">
        <f>IFERROR(INDEX('LISTA DE PRECIOS'!B$16:B$1318,MATCH(122,'LISTA DE PRECIOS'!$I$16:$I$1318,0)),"")</f>
        <v/>
      </c>
      <c r="C137" s="23" t="str">
        <f>IFERROR(INDEX('LISTA DE PRECIOS'!C$16:C$1318,MATCH(122,'LISTA DE PRECIOS'!$I$16:$I$1318,0)),"")</f>
        <v/>
      </c>
      <c r="D137" s="24" t="str">
        <f>IFERROR(INDEX('LISTA DE PRECIOS'!D$16:D$1318,MATCH(122,'LISTA DE PRECIOS'!$I$16:$I$1318,0)),"")</f>
        <v/>
      </c>
      <c r="E137" s="23" t="str">
        <f>IFERROR(INDEX('LISTA DE PRECIOS'!E$16:E$1318,MATCH(122,'LISTA DE PRECIOS'!$I$16:$I$1318,0)),"")</f>
        <v/>
      </c>
      <c r="F137" s="23" t="str">
        <f>IFERROR(INDEX('LISTA DE PRECIOS'!F$16:F$1318,MATCH(122,'LISTA DE PRECIOS'!$I$16:$I$1318,0)),"")</f>
        <v/>
      </c>
      <c r="G137" s="25" t="str">
        <f>IFERROR(INDEX('LISTA DE PRECIOS'!G$16:G$1318,MATCH(122,'LISTA DE PRECIOS'!$I$16:$I$1318,0)),"")</f>
        <v/>
      </c>
      <c r="H137" s="26" t="str">
        <f>IFERROR(INDEX('LISTA DE PRECIOS'!H$16:H$1318,MATCH(122,'LISTA DE PRECIOS'!$I$16:$I$1318,0)),"")</f>
        <v/>
      </c>
      <c r="I137" s="27" t="str">
        <f t="shared" si="3"/>
        <v/>
      </c>
    </row>
    <row r="138" spans="1:9">
      <c r="A138" s="22" t="str">
        <f>IFERROR(INDEX('LISTA DE PRECIOS'!A$16:A$1318,MATCH(123,'LISTA DE PRECIOS'!$I$16:$I$1318,0)),"")</f>
        <v/>
      </c>
      <c r="B138" s="23" t="str">
        <f>IFERROR(INDEX('LISTA DE PRECIOS'!B$16:B$1318,MATCH(123,'LISTA DE PRECIOS'!$I$16:$I$1318,0)),"")</f>
        <v/>
      </c>
      <c r="C138" s="23" t="str">
        <f>IFERROR(INDEX('LISTA DE PRECIOS'!C$16:C$1318,MATCH(123,'LISTA DE PRECIOS'!$I$16:$I$1318,0)),"")</f>
        <v/>
      </c>
      <c r="D138" s="24" t="str">
        <f>IFERROR(INDEX('LISTA DE PRECIOS'!D$16:D$1318,MATCH(123,'LISTA DE PRECIOS'!$I$16:$I$1318,0)),"")</f>
        <v/>
      </c>
      <c r="E138" s="23" t="str">
        <f>IFERROR(INDEX('LISTA DE PRECIOS'!E$16:E$1318,MATCH(123,'LISTA DE PRECIOS'!$I$16:$I$1318,0)),"")</f>
        <v/>
      </c>
      <c r="F138" s="23" t="str">
        <f>IFERROR(INDEX('LISTA DE PRECIOS'!F$16:F$1318,MATCH(123,'LISTA DE PRECIOS'!$I$16:$I$1318,0)),"")</f>
        <v/>
      </c>
      <c r="G138" s="25" t="str">
        <f>IFERROR(INDEX('LISTA DE PRECIOS'!G$16:G$1318,MATCH(123,'LISTA DE PRECIOS'!$I$16:$I$1318,0)),"")</f>
        <v/>
      </c>
      <c r="H138" s="26" t="str">
        <f>IFERROR(INDEX('LISTA DE PRECIOS'!H$16:H$1318,MATCH(123,'LISTA DE PRECIOS'!$I$16:$I$1318,0)),"")</f>
        <v/>
      </c>
      <c r="I138" s="27" t="str">
        <f t="shared" si="3"/>
        <v/>
      </c>
    </row>
    <row r="139" spans="1:9">
      <c r="A139" s="22" t="str">
        <f>IFERROR(INDEX('LISTA DE PRECIOS'!A$16:A$1318,MATCH(124,'LISTA DE PRECIOS'!$I$16:$I$1318,0)),"")</f>
        <v/>
      </c>
      <c r="B139" s="23" t="str">
        <f>IFERROR(INDEX('LISTA DE PRECIOS'!B$16:B$1318,MATCH(124,'LISTA DE PRECIOS'!$I$16:$I$1318,0)),"")</f>
        <v/>
      </c>
      <c r="C139" s="23" t="str">
        <f>IFERROR(INDEX('LISTA DE PRECIOS'!C$16:C$1318,MATCH(124,'LISTA DE PRECIOS'!$I$16:$I$1318,0)),"")</f>
        <v/>
      </c>
      <c r="D139" s="24" t="str">
        <f>IFERROR(INDEX('LISTA DE PRECIOS'!D$16:D$1318,MATCH(124,'LISTA DE PRECIOS'!$I$16:$I$1318,0)),"")</f>
        <v/>
      </c>
      <c r="E139" s="23" t="str">
        <f>IFERROR(INDEX('LISTA DE PRECIOS'!E$16:E$1318,MATCH(124,'LISTA DE PRECIOS'!$I$16:$I$1318,0)),"")</f>
        <v/>
      </c>
      <c r="F139" s="23" t="str">
        <f>IFERROR(INDEX('LISTA DE PRECIOS'!F$16:F$1318,MATCH(124,'LISTA DE PRECIOS'!$I$16:$I$1318,0)),"")</f>
        <v/>
      </c>
      <c r="G139" s="25" t="str">
        <f>IFERROR(INDEX('LISTA DE PRECIOS'!G$16:G$1318,MATCH(124,'LISTA DE PRECIOS'!$I$16:$I$1318,0)),"")</f>
        <v/>
      </c>
      <c r="H139" s="26" t="str">
        <f>IFERROR(INDEX('LISTA DE PRECIOS'!H$16:H$1318,MATCH(124,'LISTA DE PRECIOS'!$I$16:$I$1318,0)),"")</f>
        <v/>
      </c>
      <c r="I139" s="27" t="str">
        <f t="shared" si="3"/>
        <v/>
      </c>
    </row>
    <row r="140" spans="1:9">
      <c r="A140" s="22" t="str">
        <f>IFERROR(INDEX('LISTA DE PRECIOS'!A$16:A$1318,MATCH(125,'LISTA DE PRECIOS'!$I$16:$I$1318,0)),"")</f>
        <v/>
      </c>
      <c r="B140" s="23" t="str">
        <f>IFERROR(INDEX('LISTA DE PRECIOS'!B$16:B$1318,MATCH(125,'LISTA DE PRECIOS'!$I$16:$I$1318,0)),"")</f>
        <v/>
      </c>
      <c r="C140" s="23" t="str">
        <f>IFERROR(INDEX('LISTA DE PRECIOS'!C$16:C$1318,MATCH(125,'LISTA DE PRECIOS'!$I$16:$I$1318,0)),"")</f>
        <v/>
      </c>
      <c r="D140" s="24" t="str">
        <f>IFERROR(INDEX('LISTA DE PRECIOS'!D$16:D$1318,MATCH(125,'LISTA DE PRECIOS'!$I$16:$I$1318,0)),"")</f>
        <v/>
      </c>
      <c r="E140" s="23" t="str">
        <f>IFERROR(INDEX('LISTA DE PRECIOS'!E$16:E$1318,MATCH(125,'LISTA DE PRECIOS'!$I$16:$I$1318,0)),"")</f>
        <v/>
      </c>
      <c r="F140" s="23" t="str">
        <f>IFERROR(INDEX('LISTA DE PRECIOS'!F$16:F$1318,MATCH(125,'LISTA DE PRECIOS'!$I$16:$I$1318,0)),"")</f>
        <v/>
      </c>
      <c r="G140" s="25" t="str">
        <f>IFERROR(INDEX('LISTA DE PRECIOS'!G$16:G$1318,MATCH(125,'LISTA DE PRECIOS'!$I$16:$I$1318,0)),"")</f>
        <v/>
      </c>
      <c r="H140" s="26" t="str">
        <f>IFERROR(INDEX('LISTA DE PRECIOS'!H$16:H$1318,MATCH(125,'LISTA DE PRECIOS'!$I$16:$I$1318,0)),"")</f>
        <v/>
      </c>
      <c r="I140" s="27" t="str">
        <f t="shared" si="3"/>
        <v/>
      </c>
    </row>
    <row r="141" spans="1:9">
      <c r="A141" s="22" t="str">
        <f>IFERROR(INDEX('LISTA DE PRECIOS'!A$16:A$1318,MATCH(126,'LISTA DE PRECIOS'!$I$16:$I$1318,0)),"")</f>
        <v/>
      </c>
      <c r="B141" s="23" t="str">
        <f>IFERROR(INDEX('LISTA DE PRECIOS'!B$16:B$1318,MATCH(126,'LISTA DE PRECIOS'!$I$16:$I$1318,0)),"")</f>
        <v/>
      </c>
      <c r="C141" s="23" t="str">
        <f>IFERROR(INDEX('LISTA DE PRECIOS'!C$16:C$1318,MATCH(126,'LISTA DE PRECIOS'!$I$16:$I$1318,0)),"")</f>
        <v/>
      </c>
      <c r="D141" s="24" t="str">
        <f>IFERROR(INDEX('LISTA DE PRECIOS'!D$16:D$1318,MATCH(126,'LISTA DE PRECIOS'!$I$16:$I$1318,0)),"")</f>
        <v/>
      </c>
      <c r="E141" s="23" t="str">
        <f>IFERROR(INDEX('LISTA DE PRECIOS'!E$16:E$1318,MATCH(126,'LISTA DE PRECIOS'!$I$16:$I$1318,0)),"")</f>
        <v/>
      </c>
      <c r="F141" s="23" t="str">
        <f>IFERROR(INDEX('LISTA DE PRECIOS'!F$16:F$1318,MATCH(126,'LISTA DE PRECIOS'!$I$16:$I$1318,0)),"")</f>
        <v/>
      </c>
      <c r="G141" s="25" t="str">
        <f>IFERROR(INDEX('LISTA DE PRECIOS'!G$16:G$1318,MATCH(126,'LISTA DE PRECIOS'!$I$16:$I$1318,0)),"")</f>
        <v/>
      </c>
      <c r="H141" s="26" t="str">
        <f>IFERROR(INDEX('LISTA DE PRECIOS'!H$16:H$1318,MATCH(126,'LISTA DE PRECIOS'!$I$16:$I$1318,0)),"")</f>
        <v/>
      </c>
      <c r="I141" s="27" t="str">
        <f t="shared" si="3"/>
        <v/>
      </c>
    </row>
    <row r="142" spans="1:9">
      <c r="A142" s="22" t="str">
        <f>IFERROR(INDEX('LISTA DE PRECIOS'!A$16:A$1318,MATCH(127,'LISTA DE PRECIOS'!$I$16:$I$1318,0)),"")</f>
        <v/>
      </c>
      <c r="B142" s="23" t="str">
        <f>IFERROR(INDEX('LISTA DE PRECIOS'!B$16:B$1318,MATCH(127,'LISTA DE PRECIOS'!$I$16:$I$1318,0)),"")</f>
        <v/>
      </c>
      <c r="C142" s="23" t="str">
        <f>IFERROR(INDEX('LISTA DE PRECIOS'!C$16:C$1318,MATCH(127,'LISTA DE PRECIOS'!$I$16:$I$1318,0)),"")</f>
        <v/>
      </c>
      <c r="D142" s="24" t="str">
        <f>IFERROR(INDEX('LISTA DE PRECIOS'!D$16:D$1318,MATCH(127,'LISTA DE PRECIOS'!$I$16:$I$1318,0)),"")</f>
        <v/>
      </c>
      <c r="E142" s="23" t="str">
        <f>IFERROR(INDEX('LISTA DE PRECIOS'!E$16:E$1318,MATCH(127,'LISTA DE PRECIOS'!$I$16:$I$1318,0)),"")</f>
        <v/>
      </c>
      <c r="F142" s="23" t="str">
        <f>IFERROR(INDEX('LISTA DE PRECIOS'!F$16:F$1318,MATCH(127,'LISTA DE PRECIOS'!$I$16:$I$1318,0)),"")</f>
        <v/>
      </c>
      <c r="G142" s="25" t="str">
        <f>IFERROR(INDEX('LISTA DE PRECIOS'!G$16:G$1318,MATCH(127,'LISTA DE PRECIOS'!$I$16:$I$1318,0)),"")</f>
        <v/>
      </c>
      <c r="H142" s="26" t="str">
        <f>IFERROR(INDEX('LISTA DE PRECIOS'!H$16:H$1318,MATCH(127,'LISTA DE PRECIOS'!$I$16:$I$1318,0)),"")</f>
        <v/>
      </c>
      <c r="I142" s="27" t="str">
        <f t="shared" si="3"/>
        <v/>
      </c>
    </row>
    <row r="143" spans="1:9">
      <c r="A143" s="22" t="str">
        <f>IFERROR(INDEX('LISTA DE PRECIOS'!A$16:A$1318,MATCH(128,'LISTA DE PRECIOS'!$I$16:$I$1318,0)),"")</f>
        <v/>
      </c>
      <c r="B143" s="23" t="str">
        <f>IFERROR(INDEX('LISTA DE PRECIOS'!B$16:B$1318,MATCH(128,'LISTA DE PRECIOS'!$I$16:$I$1318,0)),"")</f>
        <v/>
      </c>
      <c r="C143" s="23" t="str">
        <f>IFERROR(INDEX('LISTA DE PRECIOS'!C$16:C$1318,MATCH(128,'LISTA DE PRECIOS'!$I$16:$I$1318,0)),"")</f>
        <v/>
      </c>
      <c r="D143" s="24" t="str">
        <f>IFERROR(INDEX('LISTA DE PRECIOS'!D$16:D$1318,MATCH(128,'LISTA DE PRECIOS'!$I$16:$I$1318,0)),"")</f>
        <v/>
      </c>
      <c r="E143" s="23" t="str">
        <f>IFERROR(INDEX('LISTA DE PRECIOS'!E$16:E$1318,MATCH(128,'LISTA DE PRECIOS'!$I$16:$I$1318,0)),"")</f>
        <v/>
      </c>
      <c r="F143" s="23" t="str">
        <f>IFERROR(INDEX('LISTA DE PRECIOS'!F$16:F$1318,MATCH(128,'LISTA DE PRECIOS'!$I$16:$I$1318,0)),"")</f>
        <v/>
      </c>
      <c r="G143" s="25" t="str">
        <f>IFERROR(INDEX('LISTA DE PRECIOS'!G$16:G$1318,MATCH(128,'LISTA DE PRECIOS'!$I$16:$I$1318,0)),"")</f>
        <v/>
      </c>
      <c r="H143" s="26" t="str">
        <f>IFERROR(INDEX('LISTA DE PRECIOS'!H$16:H$1318,MATCH(128,'LISTA DE PRECIOS'!$I$16:$I$1318,0)),"")</f>
        <v/>
      </c>
      <c r="I143" s="27" t="str">
        <f t="shared" si="3"/>
        <v/>
      </c>
    </row>
    <row r="144" spans="1:9">
      <c r="A144" s="22" t="str">
        <f>IFERROR(INDEX('LISTA DE PRECIOS'!A$16:A$1318,MATCH(129,'LISTA DE PRECIOS'!$I$16:$I$1318,0)),"")</f>
        <v/>
      </c>
      <c r="B144" s="23" t="str">
        <f>IFERROR(INDEX('LISTA DE PRECIOS'!B$16:B$1318,MATCH(129,'LISTA DE PRECIOS'!$I$16:$I$1318,0)),"")</f>
        <v/>
      </c>
      <c r="C144" s="23" t="str">
        <f>IFERROR(INDEX('LISTA DE PRECIOS'!C$16:C$1318,MATCH(129,'LISTA DE PRECIOS'!$I$16:$I$1318,0)),"")</f>
        <v/>
      </c>
      <c r="D144" s="24" t="str">
        <f>IFERROR(INDEX('LISTA DE PRECIOS'!D$16:D$1318,MATCH(129,'LISTA DE PRECIOS'!$I$16:$I$1318,0)),"")</f>
        <v/>
      </c>
      <c r="E144" s="23" t="str">
        <f>IFERROR(INDEX('LISTA DE PRECIOS'!E$16:E$1318,MATCH(129,'LISTA DE PRECIOS'!$I$16:$I$1318,0)),"")</f>
        <v/>
      </c>
      <c r="F144" s="23" t="str">
        <f>IFERROR(INDEX('LISTA DE PRECIOS'!F$16:F$1318,MATCH(129,'LISTA DE PRECIOS'!$I$16:$I$1318,0)),"")</f>
        <v/>
      </c>
      <c r="G144" s="25" t="str">
        <f>IFERROR(INDEX('LISTA DE PRECIOS'!G$16:G$1318,MATCH(129,'LISTA DE PRECIOS'!$I$16:$I$1318,0)),"")</f>
        <v/>
      </c>
      <c r="H144" s="26" t="str">
        <f>IFERROR(INDEX('LISTA DE PRECIOS'!H$16:H$1318,MATCH(129,'LISTA DE PRECIOS'!$I$16:$I$1318,0)),"")</f>
        <v/>
      </c>
      <c r="I144" s="27" t="str">
        <f t="shared" ref="I144:I165" si="4">IF(OR(G144="",H144=""),"",G144*H144)</f>
        <v/>
      </c>
    </row>
    <row r="145" spans="1:9">
      <c r="A145" s="22" t="str">
        <f>IFERROR(INDEX('LISTA DE PRECIOS'!A$16:A$1318,MATCH(130,'LISTA DE PRECIOS'!$I$16:$I$1318,0)),"")</f>
        <v/>
      </c>
      <c r="B145" s="23" t="str">
        <f>IFERROR(INDEX('LISTA DE PRECIOS'!B$16:B$1318,MATCH(130,'LISTA DE PRECIOS'!$I$16:$I$1318,0)),"")</f>
        <v/>
      </c>
      <c r="C145" s="23" t="str">
        <f>IFERROR(INDEX('LISTA DE PRECIOS'!C$16:C$1318,MATCH(130,'LISTA DE PRECIOS'!$I$16:$I$1318,0)),"")</f>
        <v/>
      </c>
      <c r="D145" s="24" t="str">
        <f>IFERROR(INDEX('LISTA DE PRECIOS'!D$16:D$1318,MATCH(130,'LISTA DE PRECIOS'!$I$16:$I$1318,0)),"")</f>
        <v/>
      </c>
      <c r="E145" s="23" t="str">
        <f>IFERROR(INDEX('LISTA DE PRECIOS'!E$16:E$1318,MATCH(130,'LISTA DE PRECIOS'!$I$16:$I$1318,0)),"")</f>
        <v/>
      </c>
      <c r="F145" s="23" t="str">
        <f>IFERROR(INDEX('LISTA DE PRECIOS'!F$16:F$1318,MATCH(130,'LISTA DE PRECIOS'!$I$16:$I$1318,0)),"")</f>
        <v/>
      </c>
      <c r="G145" s="25" t="str">
        <f>IFERROR(INDEX('LISTA DE PRECIOS'!G$16:G$1318,MATCH(130,'LISTA DE PRECIOS'!$I$16:$I$1318,0)),"")</f>
        <v/>
      </c>
      <c r="H145" s="26" t="str">
        <f>IFERROR(INDEX('LISTA DE PRECIOS'!H$16:H$1318,MATCH(130,'LISTA DE PRECIOS'!$I$16:$I$1318,0)),"")</f>
        <v/>
      </c>
      <c r="I145" s="27" t="str">
        <f t="shared" si="4"/>
        <v/>
      </c>
    </row>
    <row r="146" spans="1:9">
      <c r="A146" s="22" t="str">
        <f>IFERROR(INDEX('LISTA DE PRECIOS'!A$16:A$1318,MATCH(131,'LISTA DE PRECIOS'!$I$16:$I$1318,0)),"")</f>
        <v/>
      </c>
      <c r="B146" s="23" t="str">
        <f>IFERROR(INDEX('LISTA DE PRECIOS'!B$16:B$1318,MATCH(131,'LISTA DE PRECIOS'!$I$16:$I$1318,0)),"")</f>
        <v/>
      </c>
      <c r="C146" s="23" t="str">
        <f>IFERROR(INDEX('LISTA DE PRECIOS'!C$16:C$1318,MATCH(131,'LISTA DE PRECIOS'!$I$16:$I$1318,0)),"")</f>
        <v/>
      </c>
      <c r="D146" s="24" t="str">
        <f>IFERROR(INDEX('LISTA DE PRECIOS'!D$16:D$1318,MATCH(131,'LISTA DE PRECIOS'!$I$16:$I$1318,0)),"")</f>
        <v/>
      </c>
      <c r="E146" s="23" t="str">
        <f>IFERROR(INDEX('LISTA DE PRECIOS'!E$16:E$1318,MATCH(131,'LISTA DE PRECIOS'!$I$16:$I$1318,0)),"")</f>
        <v/>
      </c>
      <c r="F146" s="23" t="str">
        <f>IFERROR(INDEX('LISTA DE PRECIOS'!F$16:F$1318,MATCH(131,'LISTA DE PRECIOS'!$I$16:$I$1318,0)),"")</f>
        <v/>
      </c>
      <c r="G146" s="25" t="str">
        <f>IFERROR(INDEX('LISTA DE PRECIOS'!G$16:G$1318,MATCH(131,'LISTA DE PRECIOS'!$I$16:$I$1318,0)),"")</f>
        <v/>
      </c>
      <c r="H146" s="26" t="str">
        <f>IFERROR(INDEX('LISTA DE PRECIOS'!H$16:H$1318,MATCH(131,'LISTA DE PRECIOS'!$I$16:$I$1318,0)),"")</f>
        <v/>
      </c>
      <c r="I146" s="27" t="str">
        <f t="shared" si="4"/>
        <v/>
      </c>
    </row>
    <row r="147" spans="1:9">
      <c r="A147" s="22" t="str">
        <f>IFERROR(INDEX('LISTA DE PRECIOS'!A$16:A$1318,MATCH(132,'LISTA DE PRECIOS'!$I$16:$I$1318,0)),"")</f>
        <v/>
      </c>
      <c r="B147" s="23" t="str">
        <f>IFERROR(INDEX('LISTA DE PRECIOS'!B$16:B$1318,MATCH(132,'LISTA DE PRECIOS'!$I$16:$I$1318,0)),"")</f>
        <v/>
      </c>
      <c r="C147" s="23" t="str">
        <f>IFERROR(INDEX('LISTA DE PRECIOS'!C$16:C$1318,MATCH(132,'LISTA DE PRECIOS'!$I$16:$I$1318,0)),"")</f>
        <v/>
      </c>
      <c r="D147" s="24" t="str">
        <f>IFERROR(INDEX('LISTA DE PRECIOS'!D$16:D$1318,MATCH(132,'LISTA DE PRECIOS'!$I$16:$I$1318,0)),"")</f>
        <v/>
      </c>
      <c r="E147" s="23" t="str">
        <f>IFERROR(INDEX('LISTA DE PRECIOS'!E$16:E$1318,MATCH(132,'LISTA DE PRECIOS'!$I$16:$I$1318,0)),"")</f>
        <v/>
      </c>
      <c r="F147" s="23" t="str">
        <f>IFERROR(INDEX('LISTA DE PRECIOS'!F$16:F$1318,MATCH(132,'LISTA DE PRECIOS'!$I$16:$I$1318,0)),"")</f>
        <v/>
      </c>
      <c r="G147" s="25" t="str">
        <f>IFERROR(INDEX('LISTA DE PRECIOS'!G$16:G$1318,MATCH(132,'LISTA DE PRECIOS'!$I$16:$I$1318,0)),"")</f>
        <v/>
      </c>
      <c r="H147" s="26" t="str">
        <f>IFERROR(INDEX('LISTA DE PRECIOS'!H$16:H$1318,MATCH(132,'LISTA DE PRECIOS'!$I$16:$I$1318,0)),"")</f>
        <v/>
      </c>
      <c r="I147" s="27" t="str">
        <f t="shared" si="4"/>
        <v/>
      </c>
    </row>
    <row r="148" spans="1:9">
      <c r="A148" s="22" t="str">
        <f>IFERROR(INDEX('LISTA DE PRECIOS'!A$16:A$1318,MATCH(133,'LISTA DE PRECIOS'!$I$16:$I$1318,0)),"")</f>
        <v/>
      </c>
      <c r="B148" s="23" t="str">
        <f>IFERROR(INDEX('LISTA DE PRECIOS'!B$16:B$1318,MATCH(133,'LISTA DE PRECIOS'!$I$16:$I$1318,0)),"")</f>
        <v/>
      </c>
      <c r="C148" s="23" t="str">
        <f>IFERROR(INDEX('LISTA DE PRECIOS'!C$16:C$1318,MATCH(133,'LISTA DE PRECIOS'!$I$16:$I$1318,0)),"")</f>
        <v/>
      </c>
      <c r="D148" s="24" t="str">
        <f>IFERROR(INDEX('LISTA DE PRECIOS'!D$16:D$1318,MATCH(133,'LISTA DE PRECIOS'!$I$16:$I$1318,0)),"")</f>
        <v/>
      </c>
      <c r="E148" s="23" t="str">
        <f>IFERROR(INDEX('LISTA DE PRECIOS'!E$16:E$1318,MATCH(133,'LISTA DE PRECIOS'!$I$16:$I$1318,0)),"")</f>
        <v/>
      </c>
      <c r="F148" s="23" t="str">
        <f>IFERROR(INDEX('LISTA DE PRECIOS'!F$16:F$1318,MATCH(133,'LISTA DE PRECIOS'!$I$16:$I$1318,0)),"")</f>
        <v/>
      </c>
      <c r="G148" s="25" t="str">
        <f>IFERROR(INDEX('LISTA DE PRECIOS'!G$16:G$1318,MATCH(133,'LISTA DE PRECIOS'!$I$16:$I$1318,0)),"")</f>
        <v/>
      </c>
      <c r="H148" s="26" t="str">
        <f>IFERROR(INDEX('LISTA DE PRECIOS'!H$16:H$1318,MATCH(133,'LISTA DE PRECIOS'!$I$16:$I$1318,0)),"")</f>
        <v/>
      </c>
      <c r="I148" s="27" t="str">
        <f t="shared" si="4"/>
        <v/>
      </c>
    </row>
    <row r="149" spans="1:9">
      <c r="A149" s="22" t="str">
        <f>IFERROR(INDEX('LISTA DE PRECIOS'!A$16:A$1318,MATCH(134,'LISTA DE PRECIOS'!$I$16:$I$1318,0)),"")</f>
        <v/>
      </c>
      <c r="B149" s="23" t="str">
        <f>IFERROR(INDEX('LISTA DE PRECIOS'!B$16:B$1318,MATCH(134,'LISTA DE PRECIOS'!$I$16:$I$1318,0)),"")</f>
        <v/>
      </c>
      <c r="C149" s="23" t="str">
        <f>IFERROR(INDEX('LISTA DE PRECIOS'!C$16:C$1318,MATCH(134,'LISTA DE PRECIOS'!$I$16:$I$1318,0)),"")</f>
        <v/>
      </c>
      <c r="D149" s="24" t="str">
        <f>IFERROR(INDEX('LISTA DE PRECIOS'!D$16:D$1318,MATCH(134,'LISTA DE PRECIOS'!$I$16:$I$1318,0)),"")</f>
        <v/>
      </c>
      <c r="E149" s="23" t="str">
        <f>IFERROR(INDEX('LISTA DE PRECIOS'!E$16:E$1318,MATCH(134,'LISTA DE PRECIOS'!$I$16:$I$1318,0)),"")</f>
        <v/>
      </c>
      <c r="F149" s="23" t="str">
        <f>IFERROR(INDEX('LISTA DE PRECIOS'!F$16:F$1318,MATCH(134,'LISTA DE PRECIOS'!$I$16:$I$1318,0)),"")</f>
        <v/>
      </c>
      <c r="G149" s="25" t="str">
        <f>IFERROR(INDEX('LISTA DE PRECIOS'!G$16:G$1318,MATCH(134,'LISTA DE PRECIOS'!$I$16:$I$1318,0)),"")</f>
        <v/>
      </c>
      <c r="H149" s="26" t="str">
        <f>IFERROR(INDEX('LISTA DE PRECIOS'!H$16:H$1318,MATCH(134,'LISTA DE PRECIOS'!$I$16:$I$1318,0)),"")</f>
        <v/>
      </c>
      <c r="I149" s="27" t="str">
        <f t="shared" si="4"/>
        <v/>
      </c>
    </row>
    <row r="150" spans="1:9">
      <c r="A150" s="22" t="str">
        <f>IFERROR(INDEX('LISTA DE PRECIOS'!A$16:A$1318,MATCH(135,'LISTA DE PRECIOS'!$I$16:$I$1318,0)),"")</f>
        <v/>
      </c>
      <c r="B150" s="23" t="str">
        <f>IFERROR(INDEX('LISTA DE PRECIOS'!B$16:B$1318,MATCH(135,'LISTA DE PRECIOS'!$I$16:$I$1318,0)),"")</f>
        <v/>
      </c>
      <c r="C150" s="23" t="str">
        <f>IFERROR(INDEX('LISTA DE PRECIOS'!C$16:C$1318,MATCH(135,'LISTA DE PRECIOS'!$I$16:$I$1318,0)),"")</f>
        <v/>
      </c>
      <c r="D150" s="24" t="str">
        <f>IFERROR(INDEX('LISTA DE PRECIOS'!D$16:D$1318,MATCH(135,'LISTA DE PRECIOS'!$I$16:$I$1318,0)),"")</f>
        <v/>
      </c>
      <c r="E150" s="23" t="str">
        <f>IFERROR(INDEX('LISTA DE PRECIOS'!E$16:E$1318,MATCH(135,'LISTA DE PRECIOS'!$I$16:$I$1318,0)),"")</f>
        <v/>
      </c>
      <c r="F150" s="23" t="str">
        <f>IFERROR(INDEX('LISTA DE PRECIOS'!F$16:F$1318,MATCH(135,'LISTA DE PRECIOS'!$I$16:$I$1318,0)),"")</f>
        <v/>
      </c>
      <c r="G150" s="25" t="str">
        <f>IFERROR(INDEX('LISTA DE PRECIOS'!G$16:G$1318,MATCH(135,'LISTA DE PRECIOS'!$I$16:$I$1318,0)),"")</f>
        <v/>
      </c>
      <c r="H150" s="26" t="str">
        <f>IFERROR(INDEX('LISTA DE PRECIOS'!H$16:H$1318,MATCH(135,'LISTA DE PRECIOS'!$I$16:$I$1318,0)),"")</f>
        <v/>
      </c>
      <c r="I150" s="27" t="str">
        <f t="shared" si="4"/>
        <v/>
      </c>
    </row>
    <row r="151" spans="1:9">
      <c r="A151" s="22" t="str">
        <f>IFERROR(INDEX('LISTA DE PRECIOS'!A$16:A$1318,MATCH(136,'LISTA DE PRECIOS'!$I$16:$I$1318,0)),"")</f>
        <v/>
      </c>
      <c r="B151" s="23" t="str">
        <f>IFERROR(INDEX('LISTA DE PRECIOS'!B$16:B$1318,MATCH(136,'LISTA DE PRECIOS'!$I$16:$I$1318,0)),"")</f>
        <v/>
      </c>
      <c r="C151" s="23" t="str">
        <f>IFERROR(INDEX('LISTA DE PRECIOS'!C$16:C$1318,MATCH(136,'LISTA DE PRECIOS'!$I$16:$I$1318,0)),"")</f>
        <v/>
      </c>
      <c r="D151" s="24" t="str">
        <f>IFERROR(INDEX('LISTA DE PRECIOS'!D$16:D$1318,MATCH(136,'LISTA DE PRECIOS'!$I$16:$I$1318,0)),"")</f>
        <v/>
      </c>
      <c r="E151" s="23" t="str">
        <f>IFERROR(INDEX('LISTA DE PRECIOS'!E$16:E$1318,MATCH(136,'LISTA DE PRECIOS'!$I$16:$I$1318,0)),"")</f>
        <v/>
      </c>
      <c r="F151" s="23" t="str">
        <f>IFERROR(INDEX('LISTA DE PRECIOS'!F$16:F$1318,MATCH(136,'LISTA DE PRECIOS'!$I$16:$I$1318,0)),"")</f>
        <v/>
      </c>
      <c r="G151" s="25" t="str">
        <f>IFERROR(INDEX('LISTA DE PRECIOS'!G$16:G$1318,MATCH(136,'LISTA DE PRECIOS'!$I$16:$I$1318,0)),"")</f>
        <v/>
      </c>
      <c r="H151" s="26" t="str">
        <f>IFERROR(INDEX('LISTA DE PRECIOS'!H$16:H$1318,MATCH(136,'LISTA DE PRECIOS'!$I$16:$I$1318,0)),"")</f>
        <v/>
      </c>
      <c r="I151" s="27" t="str">
        <f t="shared" si="4"/>
        <v/>
      </c>
    </row>
    <row r="152" spans="1:9">
      <c r="A152" s="22" t="str">
        <f>IFERROR(INDEX('LISTA DE PRECIOS'!A$16:A$1318,MATCH(137,'LISTA DE PRECIOS'!$I$16:$I$1318,0)),"")</f>
        <v/>
      </c>
      <c r="B152" s="23" t="str">
        <f>IFERROR(INDEX('LISTA DE PRECIOS'!B$16:B$1318,MATCH(137,'LISTA DE PRECIOS'!$I$16:$I$1318,0)),"")</f>
        <v/>
      </c>
      <c r="C152" s="23" t="str">
        <f>IFERROR(INDEX('LISTA DE PRECIOS'!C$16:C$1318,MATCH(137,'LISTA DE PRECIOS'!$I$16:$I$1318,0)),"")</f>
        <v/>
      </c>
      <c r="D152" s="24" t="str">
        <f>IFERROR(INDEX('LISTA DE PRECIOS'!D$16:D$1318,MATCH(137,'LISTA DE PRECIOS'!$I$16:$I$1318,0)),"")</f>
        <v/>
      </c>
      <c r="E152" s="23" t="str">
        <f>IFERROR(INDEX('LISTA DE PRECIOS'!E$16:E$1318,MATCH(137,'LISTA DE PRECIOS'!$I$16:$I$1318,0)),"")</f>
        <v/>
      </c>
      <c r="F152" s="23" t="str">
        <f>IFERROR(INDEX('LISTA DE PRECIOS'!F$16:F$1318,MATCH(137,'LISTA DE PRECIOS'!$I$16:$I$1318,0)),"")</f>
        <v/>
      </c>
      <c r="G152" s="25" t="str">
        <f>IFERROR(INDEX('LISTA DE PRECIOS'!G$16:G$1318,MATCH(137,'LISTA DE PRECIOS'!$I$16:$I$1318,0)),"")</f>
        <v/>
      </c>
      <c r="H152" s="26" t="str">
        <f>IFERROR(INDEX('LISTA DE PRECIOS'!H$16:H$1318,MATCH(137,'LISTA DE PRECIOS'!$I$16:$I$1318,0)),"")</f>
        <v/>
      </c>
      <c r="I152" s="27" t="str">
        <f t="shared" si="4"/>
        <v/>
      </c>
    </row>
    <row r="153" spans="1:9">
      <c r="A153" s="22" t="str">
        <f>IFERROR(INDEX('LISTA DE PRECIOS'!A$16:A$1318,MATCH(138,'LISTA DE PRECIOS'!$I$16:$I$1318,0)),"")</f>
        <v/>
      </c>
      <c r="B153" s="23" t="str">
        <f>IFERROR(INDEX('LISTA DE PRECIOS'!B$16:B$1318,MATCH(138,'LISTA DE PRECIOS'!$I$16:$I$1318,0)),"")</f>
        <v/>
      </c>
      <c r="C153" s="23" t="str">
        <f>IFERROR(INDEX('LISTA DE PRECIOS'!C$16:C$1318,MATCH(138,'LISTA DE PRECIOS'!$I$16:$I$1318,0)),"")</f>
        <v/>
      </c>
      <c r="D153" s="24" t="str">
        <f>IFERROR(INDEX('LISTA DE PRECIOS'!D$16:D$1318,MATCH(138,'LISTA DE PRECIOS'!$I$16:$I$1318,0)),"")</f>
        <v/>
      </c>
      <c r="E153" s="23" t="str">
        <f>IFERROR(INDEX('LISTA DE PRECIOS'!E$16:E$1318,MATCH(138,'LISTA DE PRECIOS'!$I$16:$I$1318,0)),"")</f>
        <v/>
      </c>
      <c r="F153" s="23" t="str">
        <f>IFERROR(INDEX('LISTA DE PRECIOS'!F$16:F$1318,MATCH(138,'LISTA DE PRECIOS'!$I$16:$I$1318,0)),"")</f>
        <v/>
      </c>
      <c r="G153" s="25" t="str">
        <f>IFERROR(INDEX('LISTA DE PRECIOS'!G$16:G$1318,MATCH(138,'LISTA DE PRECIOS'!$I$16:$I$1318,0)),"")</f>
        <v/>
      </c>
      <c r="H153" s="26" t="str">
        <f>IFERROR(INDEX('LISTA DE PRECIOS'!H$16:H$1318,MATCH(138,'LISTA DE PRECIOS'!$I$16:$I$1318,0)),"")</f>
        <v/>
      </c>
      <c r="I153" s="27" t="str">
        <f t="shared" si="4"/>
        <v/>
      </c>
    </row>
    <row r="154" spans="1:9">
      <c r="A154" s="22" t="str">
        <f>IFERROR(INDEX('LISTA DE PRECIOS'!A$16:A$1318,MATCH(139,'LISTA DE PRECIOS'!$I$16:$I$1318,0)),"")</f>
        <v/>
      </c>
      <c r="B154" s="23" t="str">
        <f>IFERROR(INDEX('LISTA DE PRECIOS'!B$16:B$1318,MATCH(139,'LISTA DE PRECIOS'!$I$16:$I$1318,0)),"")</f>
        <v/>
      </c>
      <c r="C154" s="23" t="str">
        <f>IFERROR(INDEX('LISTA DE PRECIOS'!C$16:C$1318,MATCH(139,'LISTA DE PRECIOS'!$I$16:$I$1318,0)),"")</f>
        <v/>
      </c>
      <c r="D154" s="24" t="str">
        <f>IFERROR(INDEX('LISTA DE PRECIOS'!D$16:D$1318,MATCH(139,'LISTA DE PRECIOS'!$I$16:$I$1318,0)),"")</f>
        <v/>
      </c>
      <c r="E154" s="23" t="str">
        <f>IFERROR(INDEX('LISTA DE PRECIOS'!E$16:E$1318,MATCH(139,'LISTA DE PRECIOS'!$I$16:$I$1318,0)),"")</f>
        <v/>
      </c>
      <c r="F154" s="23" t="str">
        <f>IFERROR(INDEX('LISTA DE PRECIOS'!F$16:F$1318,MATCH(139,'LISTA DE PRECIOS'!$I$16:$I$1318,0)),"")</f>
        <v/>
      </c>
      <c r="G154" s="25" t="str">
        <f>IFERROR(INDEX('LISTA DE PRECIOS'!G$16:G$1318,MATCH(139,'LISTA DE PRECIOS'!$I$16:$I$1318,0)),"")</f>
        <v/>
      </c>
      <c r="H154" s="26" t="str">
        <f>IFERROR(INDEX('LISTA DE PRECIOS'!H$16:H$1318,MATCH(139,'LISTA DE PRECIOS'!$I$16:$I$1318,0)),"")</f>
        <v/>
      </c>
      <c r="I154" s="27" t="str">
        <f t="shared" si="4"/>
        <v/>
      </c>
    </row>
    <row r="155" spans="1:9">
      <c r="A155" s="22" t="str">
        <f>IFERROR(INDEX('LISTA DE PRECIOS'!A$16:A$1318,MATCH(140,'LISTA DE PRECIOS'!$I$16:$I$1318,0)),"")</f>
        <v/>
      </c>
      <c r="B155" s="23" t="str">
        <f>IFERROR(INDEX('LISTA DE PRECIOS'!B$16:B$1318,MATCH(140,'LISTA DE PRECIOS'!$I$16:$I$1318,0)),"")</f>
        <v/>
      </c>
      <c r="C155" s="23" t="str">
        <f>IFERROR(INDEX('LISTA DE PRECIOS'!C$16:C$1318,MATCH(140,'LISTA DE PRECIOS'!$I$16:$I$1318,0)),"")</f>
        <v/>
      </c>
      <c r="D155" s="24" t="str">
        <f>IFERROR(INDEX('LISTA DE PRECIOS'!D$16:D$1318,MATCH(140,'LISTA DE PRECIOS'!$I$16:$I$1318,0)),"")</f>
        <v/>
      </c>
      <c r="E155" s="23" t="str">
        <f>IFERROR(INDEX('LISTA DE PRECIOS'!E$16:E$1318,MATCH(140,'LISTA DE PRECIOS'!$I$16:$I$1318,0)),"")</f>
        <v/>
      </c>
      <c r="F155" s="23" t="str">
        <f>IFERROR(INDEX('LISTA DE PRECIOS'!F$16:F$1318,MATCH(140,'LISTA DE PRECIOS'!$I$16:$I$1318,0)),"")</f>
        <v/>
      </c>
      <c r="G155" s="25" t="str">
        <f>IFERROR(INDEX('LISTA DE PRECIOS'!G$16:G$1318,MATCH(140,'LISTA DE PRECIOS'!$I$16:$I$1318,0)),"")</f>
        <v/>
      </c>
      <c r="H155" s="26" t="str">
        <f>IFERROR(INDEX('LISTA DE PRECIOS'!H$16:H$1318,MATCH(140,'LISTA DE PRECIOS'!$I$16:$I$1318,0)),"")</f>
        <v/>
      </c>
      <c r="I155" s="27" t="str">
        <f t="shared" si="4"/>
        <v/>
      </c>
    </row>
    <row r="156" spans="1:9">
      <c r="A156" s="22" t="str">
        <f>IFERROR(INDEX('LISTA DE PRECIOS'!A$16:A$1318,MATCH(141,'LISTA DE PRECIOS'!$I$16:$I$1318,0)),"")</f>
        <v/>
      </c>
      <c r="B156" s="23" t="str">
        <f>IFERROR(INDEX('LISTA DE PRECIOS'!B$16:B$1318,MATCH(141,'LISTA DE PRECIOS'!$I$16:$I$1318,0)),"")</f>
        <v/>
      </c>
      <c r="C156" s="23" t="str">
        <f>IFERROR(INDEX('LISTA DE PRECIOS'!C$16:C$1318,MATCH(141,'LISTA DE PRECIOS'!$I$16:$I$1318,0)),"")</f>
        <v/>
      </c>
      <c r="D156" s="24" t="str">
        <f>IFERROR(INDEX('LISTA DE PRECIOS'!D$16:D$1318,MATCH(141,'LISTA DE PRECIOS'!$I$16:$I$1318,0)),"")</f>
        <v/>
      </c>
      <c r="E156" s="23" t="str">
        <f>IFERROR(INDEX('LISTA DE PRECIOS'!E$16:E$1318,MATCH(141,'LISTA DE PRECIOS'!$I$16:$I$1318,0)),"")</f>
        <v/>
      </c>
      <c r="F156" s="23" t="str">
        <f>IFERROR(INDEX('LISTA DE PRECIOS'!F$16:F$1318,MATCH(141,'LISTA DE PRECIOS'!$I$16:$I$1318,0)),"")</f>
        <v/>
      </c>
      <c r="G156" s="25" t="str">
        <f>IFERROR(INDEX('LISTA DE PRECIOS'!G$16:G$1318,MATCH(141,'LISTA DE PRECIOS'!$I$16:$I$1318,0)),"")</f>
        <v/>
      </c>
      <c r="H156" s="26" t="str">
        <f>IFERROR(INDEX('LISTA DE PRECIOS'!H$16:H$1318,MATCH(141,'LISTA DE PRECIOS'!$I$16:$I$1318,0)),"")</f>
        <v/>
      </c>
      <c r="I156" s="27" t="str">
        <f t="shared" si="4"/>
        <v/>
      </c>
    </row>
    <row r="157" spans="1:9">
      <c r="A157" s="22" t="str">
        <f>IFERROR(INDEX('LISTA DE PRECIOS'!A$16:A$1318,MATCH(142,'LISTA DE PRECIOS'!$I$16:$I$1318,0)),"")</f>
        <v/>
      </c>
      <c r="B157" s="23" t="str">
        <f>IFERROR(INDEX('LISTA DE PRECIOS'!B$16:B$1318,MATCH(142,'LISTA DE PRECIOS'!$I$16:$I$1318,0)),"")</f>
        <v/>
      </c>
      <c r="C157" s="23" t="str">
        <f>IFERROR(INDEX('LISTA DE PRECIOS'!C$16:C$1318,MATCH(142,'LISTA DE PRECIOS'!$I$16:$I$1318,0)),"")</f>
        <v/>
      </c>
      <c r="D157" s="24" t="str">
        <f>IFERROR(INDEX('LISTA DE PRECIOS'!D$16:D$1318,MATCH(142,'LISTA DE PRECIOS'!$I$16:$I$1318,0)),"")</f>
        <v/>
      </c>
      <c r="E157" s="23" t="str">
        <f>IFERROR(INDEX('LISTA DE PRECIOS'!E$16:E$1318,MATCH(142,'LISTA DE PRECIOS'!$I$16:$I$1318,0)),"")</f>
        <v/>
      </c>
      <c r="F157" s="23" t="str">
        <f>IFERROR(INDEX('LISTA DE PRECIOS'!F$16:F$1318,MATCH(142,'LISTA DE PRECIOS'!$I$16:$I$1318,0)),"")</f>
        <v/>
      </c>
      <c r="G157" s="25" t="str">
        <f>IFERROR(INDEX('LISTA DE PRECIOS'!G$16:G$1318,MATCH(142,'LISTA DE PRECIOS'!$I$16:$I$1318,0)),"")</f>
        <v/>
      </c>
      <c r="H157" s="26" t="str">
        <f>IFERROR(INDEX('LISTA DE PRECIOS'!H$16:H$1318,MATCH(142,'LISTA DE PRECIOS'!$I$16:$I$1318,0)),"")</f>
        <v/>
      </c>
      <c r="I157" s="27" t="str">
        <f t="shared" si="4"/>
        <v/>
      </c>
    </row>
    <row r="158" spans="1:9">
      <c r="A158" s="22" t="str">
        <f>IFERROR(INDEX('LISTA DE PRECIOS'!A$16:A$1318,MATCH(143,'LISTA DE PRECIOS'!$I$16:$I$1318,0)),"")</f>
        <v/>
      </c>
      <c r="B158" s="23" t="str">
        <f>IFERROR(INDEX('LISTA DE PRECIOS'!B$16:B$1318,MATCH(143,'LISTA DE PRECIOS'!$I$16:$I$1318,0)),"")</f>
        <v/>
      </c>
      <c r="C158" s="23" t="str">
        <f>IFERROR(INDEX('LISTA DE PRECIOS'!C$16:C$1318,MATCH(143,'LISTA DE PRECIOS'!$I$16:$I$1318,0)),"")</f>
        <v/>
      </c>
      <c r="D158" s="24" t="str">
        <f>IFERROR(INDEX('LISTA DE PRECIOS'!D$16:D$1318,MATCH(143,'LISTA DE PRECIOS'!$I$16:$I$1318,0)),"")</f>
        <v/>
      </c>
      <c r="E158" s="23" t="str">
        <f>IFERROR(INDEX('LISTA DE PRECIOS'!E$16:E$1318,MATCH(143,'LISTA DE PRECIOS'!$I$16:$I$1318,0)),"")</f>
        <v/>
      </c>
      <c r="F158" s="23" t="str">
        <f>IFERROR(INDEX('LISTA DE PRECIOS'!F$16:F$1318,MATCH(143,'LISTA DE PRECIOS'!$I$16:$I$1318,0)),"")</f>
        <v/>
      </c>
      <c r="G158" s="25" t="str">
        <f>IFERROR(INDEX('LISTA DE PRECIOS'!G$16:G$1318,MATCH(143,'LISTA DE PRECIOS'!$I$16:$I$1318,0)),"")</f>
        <v/>
      </c>
      <c r="H158" s="26" t="str">
        <f>IFERROR(INDEX('LISTA DE PRECIOS'!H$16:H$1318,MATCH(143,'LISTA DE PRECIOS'!$I$16:$I$1318,0)),"")</f>
        <v/>
      </c>
      <c r="I158" s="27" t="str">
        <f t="shared" si="4"/>
        <v/>
      </c>
    </row>
    <row r="159" spans="1:9">
      <c r="A159" s="22" t="str">
        <f>IFERROR(INDEX('LISTA DE PRECIOS'!A$16:A$1318,MATCH(144,'LISTA DE PRECIOS'!$I$16:$I$1318,0)),"")</f>
        <v/>
      </c>
      <c r="B159" s="23" t="str">
        <f>IFERROR(INDEX('LISTA DE PRECIOS'!B$16:B$1318,MATCH(144,'LISTA DE PRECIOS'!$I$16:$I$1318,0)),"")</f>
        <v/>
      </c>
      <c r="C159" s="23" t="str">
        <f>IFERROR(INDEX('LISTA DE PRECIOS'!C$16:C$1318,MATCH(144,'LISTA DE PRECIOS'!$I$16:$I$1318,0)),"")</f>
        <v/>
      </c>
      <c r="D159" s="24" t="str">
        <f>IFERROR(INDEX('LISTA DE PRECIOS'!D$16:D$1318,MATCH(144,'LISTA DE PRECIOS'!$I$16:$I$1318,0)),"")</f>
        <v/>
      </c>
      <c r="E159" s="23" t="str">
        <f>IFERROR(INDEX('LISTA DE PRECIOS'!E$16:E$1318,MATCH(144,'LISTA DE PRECIOS'!$I$16:$I$1318,0)),"")</f>
        <v/>
      </c>
      <c r="F159" s="23" t="str">
        <f>IFERROR(INDEX('LISTA DE PRECIOS'!F$16:F$1318,MATCH(144,'LISTA DE PRECIOS'!$I$16:$I$1318,0)),"")</f>
        <v/>
      </c>
      <c r="G159" s="25" t="str">
        <f>IFERROR(INDEX('LISTA DE PRECIOS'!G$16:G$1318,MATCH(144,'LISTA DE PRECIOS'!$I$16:$I$1318,0)),"")</f>
        <v/>
      </c>
      <c r="H159" s="26" t="str">
        <f>IFERROR(INDEX('LISTA DE PRECIOS'!H$16:H$1318,MATCH(144,'LISTA DE PRECIOS'!$I$16:$I$1318,0)),"")</f>
        <v/>
      </c>
      <c r="I159" s="27" t="str">
        <f t="shared" si="4"/>
        <v/>
      </c>
    </row>
    <row r="160" spans="1:9">
      <c r="A160" s="22" t="str">
        <f>IFERROR(INDEX('LISTA DE PRECIOS'!A$16:A$1318,MATCH(145,'LISTA DE PRECIOS'!$I$16:$I$1318,0)),"")</f>
        <v/>
      </c>
      <c r="B160" s="23" t="str">
        <f>IFERROR(INDEX('LISTA DE PRECIOS'!B$16:B$1318,MATCH(145,'LISTA DE PRECIOS'!$I$16:$I$1318,0)),"")</f>
        <v/>
      </c>
      <c r="C160" s="23" t="str">
        <f>IFERROR(INDEX('LISTA DE PRECIOS'!C$16:C$1318,MATCH(145,'LISTA DE PRECIOS'!$I$16:$I$1318,0)),"")</f>
        <v/>
      </c>
      <c r="D160" s="24" t="str">
        <f>IFERROR(INDEX('LISTA DE PRECIOS'!D$16:D$1318,MATCH(145,'LISTA DE PRECIOS'!$I$16:$I$1318,0)),"")</f>
        <v/>
      </c>
      <c r="E160" s="23" t="str">
        <f>IFERROR(INDEX('LISTA DE PRECIOS'!E$16:E$1318,MATCH(145,'LISTA DE PRECIOS'!$I$16:$I$1318,0)),"")</f>
        <v/>
      </c>
      <c r="F160" s="23" t="str">
        <f>IFERROR(INDEX('LISTA DE PRECIOS'!F$16:F$1318,MATCH(145,'LISTA DE PRECIOS'!$I$16:$I$1318,0)),"")</f>
        <v/>
      </c>
      <c r="G160" s="25" t="str">
        <f>IFERROR(INDEX('LISTA DE PRECIOS'!G$16:G$1318,MATCH(145,'LISTA DE PRECIOS'!$I$16:$I$1318,0)),"")</f>
        <v/>
      </c>
      <c r="H160" s="26" t="str">
        <f>IFERROR(INDEX('LISTA DE PRECIOS'!H$16:H$1318,MATCH(145,'LISTA DE PRECIOS'!$I$16:$I$1318,0)),"")</f>
        <v/>
      </c>
      <c r="I160" s="27" t="str">
        <f t="shared" si="4"/>
        <v/>
      </c>
    </row>
    <row r="161" spans="1:9">
      <c r="A161" s="22" t="str">
        <f>IFERROR(INDEX('LISTA DE PRECIOS'!A$16:A$1318,MATCH(146,'LISTA DE PRECIOS'!$I$16:$I$1318,0)),"")</f>
        <v/>
      </c>
      <c r="B161" s="23" t="str">
        <f>IFERROR(INDEX('LISTA DE PRECIOS'!B$16:B$1318,MATCH(146,'LISTA DE PRECIOS'!$I$16:$I$1318,0)),"")</f>
        <v/>
      </c>
      <c r="C161" s="23" t="str">
        <f>IFERROR(INDEX('LISTA DE PRECIOS'!C$16:C$1318,MATCH(146,'LISTA DE PRECIOS'!$I$16:$I$1318,0)),"")</f>
        <v/>
      </c>
      <c r="D161" s="24" t="str">
        <f>IFERROR(INDEX('LISTA DE PRECIOS'!D$16:D$1318,MATCH(146,'LISTA DE PRECIOS'!$I$16:$I$1318,0)),"")</f>
        <v/>
      </c>
      <c r="E161" s="23" t="str">
        <f>IFERROR(INDEX('LISTA DE PRECIOS'!E$16:E$1318,MATCH(146,'LISTA DE PRECIOS'!$I$16:$I$1318,0)),"")</f>
        <v/>
      </c>
      <c r="F161" s="23" t="str">
        <f>IFERROR(INDEX('LISTA DE PRECIOS'!F$16:F$1318,MATCH(146,'LISTA DE PRECIOS'!$I$16:$I$1318,0)),"")</f>
        <v/>
      </c>
      <c r="G161" s="25" t="str">
        <f>IFERROR(INDEX('LISTA DE PRECIOS'!G$16:G$1318,MATCH(146,'LISTA DE PRECIOS'!$I$16:$I$1318,0)),"")</f>
        <v/>
      </c>
      <c r="H161" s="26" t="str">
        <f>IFERROR(INDEX('LISTA DE PRECIOS'!H$16:H$1318,MATCH(146,'LISTA DE PRECIOS'!$I$16:$I$1318,0)),"")</f>
        <v/>
      </c>
      <c r="I161" s="27" t="str">
        <f t="shared" si="4"/>
        <v/>
      </c>
    </row>
    <row r="162" spans="1:9">
      <c r="A162" s="22" t="str">
        <f>IFERROR(INDEX('LISTA DE PRECIOS'!A$16:A$1318,MATCH(147,'LISTA DE PRECIOS'!$I$16:$I$1318,0)),"")</f>
        <v/>
      </c>
      <c r="B162" s="23" t="str">
        <f>IFERROR(INDEX('LISTA DE PRECIOS'!B$16:B$1318,MATCH(147,'LISTA DE PRECIOS'!$I$16:$I$1318,0)),"")</f>
        <v/>
      </c>
      <c r="C162" s="23" t="str">
        <f>IFERROR(INDEX('LISTA DE PRECIOS'!C$16:C$1318,MATCH(147,'LISTA DE PRECIOS'!$I$16:$I$1318,0)),"")</f>
        <v/>
      </c>
      <c r="D162" s="24" t="str">
        <f>IFERROR(INDEX('LISTA DE PRECIOS'!D$16:D$1318,MATCH(147,'LISTA DE PRECIOS'!$I$16:$I$1318,0)),"")</f>
        <v/>
      </c>
      <c r="E162" s="23" t="str">
        <f>IFERROR(INDEX('LISTA DE PRECIOS'!E$16:E$1318,MATCH(147,'LISTA DE PRECIOS'!$I$16:$I$1318,0)),"")</f>
        <v/>
      </c>
      <c r="F162" s="23" t="str">
        <f>IFERROR(INDEX('LISTA DE PRECIOS'!F$16:F$1318,MATCH(147,'LISTA DE PRECIOS'!$I$16:$I$1318,0)),"")</f>
        <v/>
      </c>
      <c r="G162" s="25" t="str">
        <f>IFERROR(INDEX('LISTA DE PRECIOS'!G$16:G$1318,MATCH(147,'LISTA DE PRECIOS'!$I$16:$I$1318,0)),"")</f>
        <v/>
      </c>
      <c r="H162" s="26" t="str">
        <f>IFERROR(INDEX('LISTA DE PRECIOS'!H$16:H$1318,MATCH(147,'LISTA DE PRECIOS'!$I$16:$I$1318,0)),"")</f>
        <v/>
      </c>
      <c r="I162" s="27" t="str">
        <f t="shared" si="4"/>
        <v/>
      </c>
    </row>
    <row r="163" spans="1:9">
      <c r="A163" s="22" t="str">
        <f>IFERROR(INDEX('LISTA DE PRECIOS'!A$16:A$1318,MATCH(148,'LISTA DE PRECIOS'!$I$16:$I$1318,0)),"")</f>
        <v/>
      </c>
      <c r="B163" s="23" t="str">
        <f>IFERROR(INDEX('LISTA DE PRECIOS'!B$16:B$1318,MATCH(148,'LISTA DE PRECIOS'!$I$16:$I$1318,0)),"")</f>
        <v/>
      </c>
      <c r="C163" s="23" t="str">
        <f>IFERROR(INDEX('LISTA DE PRECIOS'!C$16:C$1318,MATCH(148,'LISTA DE PRECIOS'!$I$16:$I$1318,0)),"")</f>
        <v/>
      </c>
      <c r="D163" s="24" t="str">
        <f>IFERROR(INDEX('LISTA DE PRECIOS'!D$16:D$1318,MATCH(148,'LISTA DE PRECIOS'!$I$16:$I$1318,0)),"")</f>
        <v/>
      </c>
      <c r="E163" s="23" t="str">
        <f>IFERROR(INDEX('LISTA DE PRECIOS'!E$16:E$1318,MATCH(148,'LISTA DE PRECIOS'!$I$16:$I$1318,0)),"")</f>
        <v/>
      </c>
      <c r="F163" s="23" t="str">
        <f>IFERROR(INDEX('LISTA DE PRECIOS'!F$16:F$1318,MATCH(148,'LISTA DE PRECIOS'!$I$16:$I$1318,0)),"")</f>
        <v/>
      </c>
      <c r="G163" s="25" t="str">
        <f>IFERROR(INDEX('LISTA DE PRECIOS'!G$16:G$1318,MATCH(148,'LISTA DE PRECIOS'!$I$16:$I$1318,0)),"")</f>
        <v/>
      </c>
      <c r="H163" s="26" t="str">
        <f>IFERROR(INDEX('LISTA DE PRECIOS'!H$16:H$1318,MATCH(148,'LISTA DE PRECIOS'!$I$16:$I$1318,0)),"")</f>
        <v/>
      </c>
      <c r="I163" s="27" t="str">
        <f t="shared" si="4"/>
        <v/>
      </c>
    </row>
    <row r="164" spans="1:9">
      <c r="A164" s="22" t="str">
        <f>IFERROR(INDEX('LISTA DE PRECIOS'!A$16:A$1318,MATCH(149,'LISTA DE PRECIOS'!$I$16:$I$1318,0)),"")</f>
        <v/>
      </c>
      <c r="B164" s="23" t="str">
        <f>IFERROR(INDEX('LISTA DE PRECIOS'!B$16:B$1318,MATCH(149,'LISTA DE PRECIOS'!$I$16:$I$1318,0)),"")</f>
        <v/>
      </c>
      <c r="C164" s="23" t="str">
        <f>IFERROR(INDEX('LISTA DE PRECIOS'!C$16:C$1318,MATCH(149,'LISTA DE PRECIOS'!$I$16:$I$1318,0)),"")</f>
        <v/>
      </c>
      <c r="D164" s="24" t="str">
        <f>IFERROR(INDEX('LISTA DE PRECIOS'!D$16:D$1318,MATCH(149,'LISTA DE PRECIOS'!$I$16:$I$1318,0)),"")</f>
        <v/>
      </c>
      <c r="E164" s="23" t="str">
        <f>IFERROR(INDEX('LISTA DE PRECIOS'!E$16:E$1318,MATCH(149,'LISTA DE PRECIOS'!$I$16:$I$1318,0)),"")</f>
        <v/>
      </c>
      <c r="F164" s="23" t="str">
        <f>IFERROR(INDEX('LISTA DE PRECIOS'!F$16:F$1318,MATCH(149,'LISTA DE PRECIOS'!$I$16:$I$1318,0)),"")</f>
        <v/>
      </c>
      <c r="G164" s="25" t="str">
        <f>IFERROR(INDEX('LISTA DE PRECIOS'!G$16:G$1318,MATCH(149,'LISTA DE PRECIOS'!$I$16:$I$1318,0)),"")</f>
        <v/>
      </c>
      <c r="H164" s="26" t="str">
        <f>IFERROR(INDEX('LISTA DE PRECIOS'!H$16:H$1318,MATCH(149,'LISTA DE PRECIOS'!$I$16:$I$1318,0)),"")</f>
        <v/>
      </c>
      <c r="I164" s="27" t="str">
        <f t="shared" si="4"/>
        <v/>
      </c>
    </row>
    <row r="165" spans="1:9">
      <c r="A165" s="22" t="str">
        <f>IFERROR(INDEX('LISTA DE PRECIOS'!A$16:A$1318,MATCH(150,'LISTA DE PRECIOS'!$I$16:$I$1318,0)),"")</f>
        <v/>
      </c>
      <c r="B165" s="23" t="str">
        <f>IFERROR(INDEX('LISTA DE PRECIOS'!B$16:B$1318,MATCH(150,'LISTA DE PRECIOS'!$I$16:$I$1318,0)),"")</f>
        <v/>
      </c>
      <c r="C165" s="23" t="str">
        <f>IFERROR(INDEX('LISTA DE PRECIOS'!C$16:C$1318,MATCH(150,'LISTA DE PRECIOS'!$I$16:$I$1318,0)),"")</f>
        <v/>
      </c>
      <c r="D165" s="24" t="str">
        <f>IFERROR(INDEX('LISTA DE PRECIOS'!D$16:D$1318,MATCH(150,'LISTA DE PRECIOS'!$I$16:$I$1318,0)),"")</f>
        <v/>
      </c>
      <c r="E165" s="23" t="str">
        <f>IFERROR(INDEX('LISTA DE PRECIOS'!E$16:E$1318,MATCH(150,'LISTA DE PRECIOS'!$I$16:$I$1318,0)),"")</f>
        <v/>
      </c>
      <c r="F165" s="23" t="str">
        <f>IFERROR(INDEX('LISTA DE PRECIOS'!F$16:F$1318,MATCH(150,'LISTA DE PRECIOS'!$I$16:$I$1318,0)),"")</f>
        <v/>
      </c>
      <c r="G165" s="25" t="str">
        <f>IFERROR(INDEX('LISTA DE PRECIOS'!G$16:G$1318,MATCH(150,'LISTA DE PRECIOS'!$I$16:$I$1318,0)),"")</f>
        <v/>
      </c>
      <c r="H165" s="26" t="str">
        <f>IFERROR(INDEX('LISTA DE PRECIOS'!H$16:H$1318,MATCH(150,'LISTA DE PRECIOS'!$I$16:$I$1318,0)),"")</f>
        <v/>
      </c>
      <c r="I165" s="27" t="str">
        <f t="shared" si="4"/>
        <v/>
      </c>
    </row>
    <row r="166" spans="1:9" ht="15" customHeight="1">
      <c r="G166" s="109"/>
      <c r="H166" s="103"/>
    </row>
    <row r="167" spans="1:9">
      <c r="H167" s="32" t="s">
        <v>2729</v>
      </c>
      <c r="I167" s="33">
        <f>SUM(I16:I165)</f>
        <v>0</v>
      </c>
    </row>
    <row r="401" spans="1:9">
      <c r="A401" t="str">
        <f>IF('LISTA DE PRECIOS'!$H410&gt;0,'LISTA DE PRECIOS'!A410,"")</f>
        <v/>
      </c>
      <c r="B401" t="str">
        <f>IF('LISTA DE PRECIOS'!$H410&gt;0,'LISTA DE PRECIOS'!B410,"")</f>
        <v/>
      </c>
      <c r="C401" t="str">
        <f>IF('LISTA DE PRECIOS'!$H410&gt;0,'LISTA DE PRECIOS'!C410,"")</f>
        <v/>
      </c>
      <c r="D401" s="67" t="str">
        <f>IF('LISTA DE PRECIOS'!$H410&gt;0,'LISTA DE PRECIOS'!D410,"")</f>
        <v/>
      </c>
      <c r="E401" t="str">
        <f>IF('LISTA DE PRECIOS'!$H410&gt;0,'LISTA DE PRECIOS'!E410,"")</f>
        <v/>
      </c>
      <c r="F401" t="str">
        <f>IF('LISTA DE PRECIOS'!$H410&gt;0,'LISTA DE PRECIOS'!F410,"")</f>
        <v/>
      </c>
      <c r="G401" s="31" t="str">
        <f>IF('LISTA DE PRECIOS'!$H410&gt;0,'LISTA DE PRECIOS'!G410,"")</f>
        <v/>
      </c>
      <c r="H401" s="67" t="str">
        <f>IF('LISTA DE PRECIOS'!$H410&gt;0,'LISTA DE PRECIOS'!H410,"")</f>
        <v/>
      </c>
      <c r="I401" s="31" t="str">
        <f t="shared" ref="I401:I464" si="5">IF(OR(G401="",H401=""),"",G401*H401)</f>
        <v/>
      </c>
    </row>
    <row r="402" spans="1:9">
      <c r="A402" t="str">
        <f>IF('LISTA DE PRECIOS'!$H411&gt;0,'LISTA DE PRECIOS'!A411,"")</f>
        <v/>
      </c>
      <c r="B402" t="str">
        <f>IF('LISTA DE PRECIOS'!$H411&gt;0,'LISTA DE PRECIOS'!B411,"")</f>
        <v/>
      </c>
      <c r="C402" t="str">
        <f>IF('LISTA DE PRECIOS'!$H411&gt;0,'LISTA DE PRECIOS'!C411,"")</f>
        <v/>
      </c>
      <c r="D402" s="67" t="str">
        <f>IF('LISTA DE PRECIOS'!$H411&gt;0,'LISTA DE PRECIOS'!D411,"")</f>
        <v/>
      </c>
      <c r="E402" t="str">
        <f>IF('LISTA DE PRECIOS'!$H411&gt;0,'LISTA DE PRECIOS'!E411,"")</f>
        <v/>
      </c>
      <c r="F402" t="str">
        <f>IF('LISTA DE PRECIOS'!$H411&gt;0,'LISTA DE PRECIOS'!F411,"")</f>
        <v/>
      </c>
      <c r="G402" s="31" t="str">
        <f>IF('LISTA DE PRECIOS'!$H411&gt;0,'LISTA DE PRECIOS'!G411,"")</f>
        <v/>
      </c>
      <c r="H402" s="67" t="str">
        <f>IF('LISTA DE PRECIOS'!$H411&gt;0,'LISTA DE PRECIOS'!H411,"")</f>
        <v/>
      </c>
      <c r="I402" s="31" t="str">
        <f t="shared" si="5"/>
        <v/>
      </c>
    </row>
    <row r="403" spans="1:9">
      <c r="A403" t="str">
        <f>IF('LISTA DE PRECIOS'!$H412&gt;0,'LISTA DE PRECIOS'!A412,"")</f>
        <v/>
      </c>
      <c r="B403" t="str">
        <f>IF('LISTA DE PRECIOS'!$H412&gt;0,'LISTA DE PRECIOS'!B412,"")</f>
        <v/>
      </c>
      <c r="C403" t="str">
        <f>IF('LISTA DE PRECIOS'!$H412&gt;0,'LISTA DE PRECIOS'!C412,"")</f>
        <v/>
      </c>
      <c r="D403" s="67" t="str">
        <f>IF('LISTA DE PRECIOS'!$H412&gt;0,'LISTA DE PRECIOS'!D412,"")</f>
        <v/>
      </c>
      <c r="E403" t="str">
        <f>IF('LISTA DE PRECIOS'!$H412&gt;0,'LISTA DE PRECIOS'!E412,"")</f>
        <v/>
      </c>
      <c r="F403" t="str">
        <f>IF('LISTA DE PRECIOS'!$H412&gt;0,'LISTA DE PRECIOS'!F412,"")</f>
        <v/>
      </c>
      <c r="G403" s="31" t="str">
        <f>IF('LISTA DE PRECIOS'!$H412&gt;0,'LISTA DE PRECIOS'!G412,"")</f>
        <v/>
      </c>
      <c r="H403" s="67" t="str">
        <f>IF('LISTA DE PRECIOS'!$H412&gt;0,'LISTA DE PRECIOS'!H412,"")</f>
        <v/>
      </c>
      <c r="I403" s="31" t="str">
        <f t="shared" si="5"/>
        <v/>
      </c>
    </row>
    <row r="404" spans="1:9">
      <c r="A404" t="str">
        <f>IF('LISTA DE PRECIOS'!$H413&gt;0,'LISTA DE PRECIOS'!A413,"")</f>
        <v/>
      </c>
      <c r="B404" t="str">
        <f>IF('LISTA DE PRECIOS'!$H413&gt;0,'LISTA DE PRECIOS'!B413,"")</f>
        <v/>
      </c>
      <c r="C404" t="str">
        <f>IF('LISTA DE PRECIOS'!$H413&gt;0,'LISTA DE PRECIOS'!C413,"")</f>
        <v/>
      </c>
      <c r="D404" s="67" t="str">
        <f>IF('LISTA DE PRECIOS'!$H413&gt;0,'LISTA DE PRECIOS'!D413,"")</f>
        <v/>
      </c>
      <c r="E404" t="str">
        <f>IF('LISTA DE PRECIOS'!$H413&gt;0,'LISTA DE PRECIOS'!E413,"")</f>
        <v/>
      </c>
      <c r="F404" t="str">
        <f>IF('LISTA DE PRECIOS'!$H413&gt;0,'LISTA DE PRECIOS'!F413,"")</f>
        <v/>
      </c>
      <c r="G404" s="31" t="str">
        <f>IF('LISTA DE PRECIOS'!$H413&gt;0,'LISTA DE PRECIOS'!G413,"")</f>
        <v/>
      </c>
      <c r="H404" s="67" t="str">
        <f>IF('LISTA DE PRECIOS'!$H413&gt;0,'LISTA DE PRECIOS'!H413,"")</f>
        <v/>
      </c>
      <c r="I404" s="31" t="str">
        <f t="shared" si="5"/>
        <v/>
      </c>
    </row>
    <row r="405" spans="1:9">
      <c r="A405" t="str">
        <f>IF('LISTA DE PRECIOS'!$H414&gt;0,'LISTA DE PRECIOS'!A414,"")</f>
        <v/>
      </c>
      <c r="B405" t="str">
        <f>IF('LISTA DE PRECIOS'!$H414&gt;0,'LISTA DE PRECIOS'!B414,"")</f>
        <v/>
      </c>
      <c r="C405" t="str">
        <f>IF('LISTA DE PRECIOS'!$H414&gt;0,'LISTA DE PRECIOS'!C414,"")</f>
        <v/>
      </c>
      <c r="D405" s="67" t="str">
        <f>IF('LISTA DE PRECIOS'!$H414&gt;0,'LISTA DE PRECIOS'!D414,"")</f>
        <v/>
      </c>
      <c r="E405" t="str">
        <f>IF('LISTA DE PRECIOS'!$H414&gt;0,'LISTA DE PRECIOS'!E414,"")</f>
        <v/>
      </c>
      <c r="F405" t="str">
        <f>IF('LISTA DE PRECIOS'!$H414&gt;0,'LISTA DE PRECIOS'!F414,"")</f>
        <v/>
      </c>
      <c r="G405" s="31" t="str">
        <f>IF('LISTA DE PRECIOS'!$H414&gt;0,'LISTA DE PRECIOS'!G414,"")</f>
        <v/>
      </c>
      <c r="H405" s="67" t="str">
        <f>IF('LISTA DE PRECIOS'!$H414&gt;0,'LISTA DE PRECIOS'!H414,"")</f>
        <v/>
      </c>
      <c r="I405" s="31" t="str">
        <f t="shared" si="5"/>
        <v/>
      </c>
    </row>
    <row r="406" spans="1:9">
      <c r="A406" t="str">
        <f>IF('LISTA DE PRECIOS'!$H415&gt;0,'LISTA DE PRECIOS'!A415,"")</f>
        <v/>
      </c>
      <c r="B406" t="str">
        <f>IF('LISTA DE PRECIOS'!$H415&gt;0,'LISTA DE PRECIOS'!B415,"")</f>
        <v/>
      </c>
      <c r="C406" t="str">
        <f>IF('LISTA DE PRECIOS'!$H415&gt;0,'LISTA DE PRECIOS'!C415,"")</f>
        <v/>
      </c>
      <c r="D406" s="67" t="str">
        <f>IF('LISTA DE PRECIOS'!$H415&gt;0,'LISTA DE PRECIOS'!D415,"")</f>
        <v/>
      </c>
      <c r="E406" t="str">
        <f>IF('LISTA DE PRECIOS'!$H415&gt;0,'LISTA DE PRECIOS'!E415,"")</f>
        <v/>
      </c>
      <c r="F406" t="str">
        <f>IF('LISTA DE PRECIOS'!$H415&gt;0,'LISTA DE PRECIOS'!F415,"")</f>
        <v/>
      </c>
      <c r="G406" s="31" t="str">
        <f>IF('LISTA DE PRECIOS'!$H415&gt;0,'LISTA DE PRECIOS'!G415,"")</f>
        <v/>
      </c>
      <c r="H406" s="67" t="str">
        <f>IF('LISTA DE PRECIOS'!$H415&gt;0,'LISTA DE PRECIOS'!H415,"")</f>
        <v/>
      </c>
      <c r="I406" s="31" t="str">
        <f t="shared" si="5"/>
        <v/>
      </c>
    </row>
    <row r="407" spans="1:9">
      <c r="A407" t="str">
        <f>IF('LISTA DE PRECIOS'!$H416&gt;0,'LISTA DE PRECIOS'!A416,"")</f>
        <v/>
      </c>
      <c r="B407" t="str">
        <f>IF('LISTA DE PRECIOS'!$H416&gt;0,'LISTA DE PRECIOS'!B416,"")</f>
        <v/>
      </c>
      <c r="C407" t="str">
        <f>IF('LISTA DE PRECIOS'!$H416&gt;0,'LISTA DE PRECIOS'!C416,"")</f>
        <v/>
      </c>
      <c r="D407" s="67" t="str">
        <f>IF('LISTA DE PRECIOS'!$H416&gt;0,'LISTA DE PRECIOS'!D416,"")</f>
        <v/>
      </c>
      <c r="E407" t="str">
        <f>IF('LISTA DE PRECIOS'!$H416&gt;0,'LISTA DE PRECIOS'!E416,"")</f>
        <v/>
      </c>
      <c r="F407" t="str">
        <f>IF('LISTA DE PRECIOS'!$H416&gt;0,'LISTA DE PRECIOS'!F416,"")</f>
        <v/>
      </c>
      <c r="G407" s="31" t="str">
        <f>IF('LISTA DE PRECIOS'!$H416&gt;0,'LISTA DE PRECIOS'!G416,"")</f>
        <v/>
      </c>
      <c r="H407" s="67" t="str">
        <f>IF('LISTA DE PRECIOS'!$H416&gt;0,'LISTA DE PRECIOS'!H416,"")</f>
        <v/>
      </c>
      <c r="I407" s="31" t="str">
        <f t="shared" si="5"/>
        <v/>
      </c>
    </row>
    <row r="408" spans="1:9">
      <c r="A408" t="str">
        <f>IF('LISTA DE PRECIOS'!$H417&gt;0,'LISTA DE PRECIOS'!A417,"")</f>
        <v/>
      </c>
      <c r="B408" t="str">
        <f>IF('LISTA DE PRECIOS'!$H417&gt;0,'LISTA DE PRECIOS'!B417,"")</f>
        <v/>
      </c>
      <c r="C408" t="str">
        <f>IF('LISTA DE PRECIOS'!$H417&gt;0,'LISTA DE PRECIOS'!C417,"")</f>
        <v/>
      </c>
      <c r="D408" s="67" t="str">
        <f>IF('LISTA DE PRECIOS'!$H417&gt;0,'LISTA DE PRECIOS'!D417,"")</f>
        <v/>
      </c>
      <c r="E408" t="str">
        <f>IF('LISTA DE PRECIOS'!$H417&gt;0,'LISTA DE PRECIOS'!E417,"")</f>
        <v/>
      </c>
      <c r="F408" t="str">
        <f>IF('LISTA DE PRECIOS'!$H417&gt;0,'LISTA DE PRECIOS'!F417,"")</f>
        <v/>
      </c>
      <c r="G408" s="31" t="str">
        <f>IF('LISTA DE PRECIOS'!$H417&gt;0,'LISTA DE PRECIOS'!G417,"")</f>
        <v/>
      </c>
      <c r="H408" s="67" t="str">
        <f>IF('LISTA DE PRECIOS'!$H417&gt;0,'LISTA DE PRECIOS'!H417,"")</f>
        <v/>
      </c>
      <c r="I408" s="31" t="str">
        <f t="shared" si="5"/>
        <v/>
      </c>
    </row>
    <row r="409" spans="1:9">
      <c r="A409" t="str">
        <f>IF('LISTA DE PRECIOS'!$H418&gt;0,'LISTA DE PRECIOS'!A418,"")</f>
        <v/>
      </c>
      <c r="B409" t="str">
        <f>IF('LISTA DE PRECIOS'!$H418&gt;0,'LISTA DE PRECIOS'!B418,"")</f>
        <v/>
      </c>
      <c r="C409" t="str">
        <f>IF('LISTA DE PRECIOS'!$H418&gt;0,'LISTA DE PRECIOS'!C418,"")</f>
        <v/>
      </c>
      <c r="D409" s="67" t="str">
        <f>IF('LISTA DE PRECIOS'!$H418&gt;0,'LISTA DE PRECIOS'!D418,"")</f>
        <v/>
      </c>
      <c r="E409" t="str">
        <f>IF('LISTA DE PRECIOS'!$H418&gt;0,'LISTA DE PRECIOS'!E418,"")</f>
        <v/>
      </c>
      <c r="F409" t="str">
        <f>IF('LISTA DE PRECIOS'!$H418&gt;0,'LISTA DE PRECIOS'!F418,"")</f>
        <v/>
      </c>
      <c r="G409" s="31" t="str">
        <f>IF('LISTA DE PRECIOS'!$H418&gt;0,'LISTA DE PRECIOS'!G418,"")</f>
        <v/>
      </c>
      <c r="H409" s="67" t="str">
        <f>IF('LISTA DE PRECIOS'!$H418&gt;0,'LISTA DE PRECIOS'!H418,"")</f>
        <v/>
      </c>
      <c r="I409" s="31" t="str">
        <f t="shared" si="5"/>
        <v/>
      </c>
    </row>
    <row r="410" spans="1:9">
      <c r="A410" t="str">
        <f>IF('LISTA DE PRECIOS'!$H419&gt;0,'LISTA DE PRECIOS'!A419,"")</f>
        <v/>
      </c>
      <c r="B410" t="str">
        <f>IF('LISTA DE PRECIOS'!$H419&gt;0,'LISTA DE PRECIOS'!B419,"")</f>
        <v/>
      </c>
      <c r="C410" t="str">
        <f>IF('LISTA DE PRECIOS'!$H419&gt;0,'LISTA DE PRECIOS'!C419,"")</f>
        <v/>
      </c>
      <c r="D410" s="67" t="str">
        <f>IF('LISTA DE PRECIOS'!$H419&gt;0,'LISTA DE PRECIOS'!D419,"")</f>
        <v/>
      </c>
      <c r="E410" t="str">
        <f>IF('LISTA DE PRECIOS'!$H419&gt;0,'LISTA DE PRECIOS'!E419,"")</f>
        <v/>
      </c>
      <c r="F410" t="str">
        <f>IF('LISTA DE PRECIOS'!$H419&gt;0,'LISTA DE PRECIOS'!F419,"")</f>
        <v/>
      </c>
      <c r="G410" s="31" t="str">
        <f>IF('LISTA DE PRECIOS'!$H419&gt;0,'LISTA DE PRECIOS'!G419,"")</f>
        <v/>
      </c>
      <c r="H410" s="67" t="str">
        <f>IF('LISTA DE PRECIOS'!$H419&gt;0,'LISTA DE PRECIOS'!H419,"")</f>
        <v/>
      </c>
      <c r="I410" s="31" t="str">
        <f t="shared" si="5"/>
        <v/>
      </c>
    </row>
    <row r="411" spans="1:9">
      <c r="A411" t="str">
        <f>IF('LISTA DE PRECIOS'!$H420&gt;0,'LISTA DE PRECIOS'!A420,"")</f>
        <v/>
      </c>
      <c r="B411" t="str">
        <f>IF('LISTA DE PRECIOS'!$H420&gt;0,'LISTA DE PRECIOS'!B420,"")</f>
        <v/>
      </c>
      <c r="C411" t="str">
        <f>IF('LISTA DE PRECIOS'!$H420&gt;0,'LISTA DE PRECIOS'!C420,"")</f>
        <v/>
      </c>
      <c r="D411" s="67" t="str">
        <f>IF('LISTA DE PRECIOS'!$H420&gt;0,'LISTA DE PRECIOS'!D420,"")</f>
        <v/>
      </c>
      <c r="E411" t="str">
        <f>IF('LISTA DE PRECIOS'!$H420&gt;0,'LISTA DE PRECIOS'!E420,"")</f>
        <v/>
      </c>
      <c r="F411" t="str">
        <f>IF('LISTA DE PRECIOS'!$H420&gt;0,'LISTA DE PRECIOS'!F420,"")</f>
        <v/>
      </c>
      <c r="G411" s="31" t="str">
        <f>IF('LISTA DE PRECIOS'!$H420&gt;0,'LISTA DE PRECIOS'!G420,"")</f>
        <v/>
      </c>
      <c r="H411" s="67" t="str">
        <f>IF('LISTA DE PRECIOS'!$H420&gt;0,'LISTA DE PRECIOS'!H420,"")</f>
        <v/>
      </c>
      <c r="I411" s="31" t="str">
        <f t="shared" si="5"/>
        <v/>
      </c>
    </row>
    <row r="412" spans="1:9">
      <c r="A412" t="str">
        <f>IF('LISTA DE PRECIOS'!$H421&gt;0,'LISTA DE PRECIOS'!A421,"")</f>
        <v/>
      </c>
      <c r="B412" t="str">
        <f>IF('LISTA DE PRECIOS'!$H421&gt;0,'LISTA DE PRECIOS'!B421,"")</f>
        <v/>
      </c>
      <c r="C412" t="str">
        <f>IF('LISTA DE PRECIOS'!$H421&gt;0,'LISTA DE PRECIOS'!C421,"")</f>
        <v/>
      </c>
      <c r="D412" s="67" t="str">
        <f>IF('LISTA DE PRECIOS'!$H421&gt;0,'LISTA DE PRECIOS'!D421,"")</f>
        <v/>
      </c>
      <c r="E412" t="str">
        <f>IF('LISTA DE PRECIOS'!$H421&gt;0,'LISTA DE PRECIOS'!E421,"")</f>
        <v/>
      </c>
      <c r="F412" t="str">
        <f>IF('LISTA DE PRECIOS'!$H421&gt;0,'LISTA DE PRECIOS'!F421,"")</f>
        <v/>
      </c>
      <c r="G412" s="31" t="str">
        <f>IF('LISTA DE PRECIOS'!$H421&gt;0,'LISTA DE PRECIOS'!G421,"")</f>
        <v/>
      </c>
      <c r="H412" s="67" t="str">
        <f>IF('LISTA DE PRECIOS'!$H421&gt;0,'LISTA DE PRECIOS'!H421,"")</f>
        <v/>
      </c>
      <c r="I412" s="31" t="str">
        <f t="shared" si="5"/>
        <v/>
      </c>
    </row>
    <row r="413" spans="1:9">
      <c r="A413" t="str">
        <f>IF('LISTA DE PRECIOS'!$H422&gt;0,'LISTA DE PRECIOS'!A422,"")</f>
        <v/>
      </c>
      <c r="B413" t="str">
        <f>IF('LISTA DE PRECIOS'!$H422&gt;0,'LISTA DE PRECIOS'!B422,"")</f>
        <v/>
      </c>
      <c r="C413" t="str">
        <f>IF('LISTA DE PRECIOS'!$H422&gt;0,'LISTA DE PRECIOS'!C422,"")</f>
        <v/>
      </c>
      <c r="D413" s="67" t="str">
        <f>IF('LISTA DE PRECIOS'!$H422&gt;0,'LISTA DE PRECIOS'!D422,"")</f>
        <v/>
      </c>
      <c r="E413" t="str">
        <f>IF('LISTA DE PRECIOS'!$H422&gt;0,'LISTA DE PRECIOS'!E422,"")</f>
        <v/>
      </c>
      <c r="F413" t="str">
        <f>IF('LISTA DE PRECIOS'!$H422&gt;0,'LISTA DE PRECIOS'!F422,"")</f>
        <v/>
      </c>
      <c r="G413" s="31" t="str">
        <f>IF('LISTA DE PRECIOS'!$H422&gt;0,'LISTA DE PRECIOS'!G422,"")</f>
        <v/>
      </c>
      <c r="H413" s="67" t="str">
        <f>IF('LISTA DE PRECIOS'!$H422&gt;0,'LISTA DE PRECIOS'!H422,"")</f>
        <v/>
      </c>
      <c r="I413" s="31" t="str">
        <f t="shared" si="5"/>
        <v/>
      </c>
    </row>
    <row r="414" spans="1:9">
      <c r="A414" t="str">
        <f>IF('LISTA DE PRECIOS'!$H423&gt;0,'LISTA DE PRECIOS'!A423,"")</f>
        <v/>
      </c>
      <c r="B414" t="str">
        <f>IF('LISTA DE PRECIOS'!$H423&gt;0,'LISTA DE PRECIOS'!B423,"")</f>
        <v/>
      </c>
      <c r="C414" t="str">
        <f>IF('LISTA DE PRECIOS'!$H423&gt;0,'LISTA DE PRECIOS'!C423,"")</f>
        <v/>
      </c>
      <c r="D414" s="67" t="str">
        <f>IF('LISTA DE PRECIOS'!$H423&gt;0,'LISTA DE PRECIOS'!D423,"")</f>
        <v/>
      </c>
      <c r="E414" t="str">
        <f>IF('LISTA DE PRECIOS'!$H423&gt;0,'LISTA DE PRECIOS'!E423,"")</f>
        <v/>
      </c>
      <c r="F414" t="str">
        <f>IF('LISTA DE PRECIOS'!$H423&gt;0,'LISTA DE PRECIOS'!F423,"")</f>
        <v/>
      </c>
      <c r="G414" s="31" t="str">
        <f>IF('LISTA DE PRECIOS'!$H423&gt;0,'LISTA DE PRECIOS'!G423,"")</f>
        <v/>
      </c>
      <c r="H414" s="67" t="str">
        <f>IF('LISTA DE PRECIOS'!$H423&gt;0,'LISTA DE PRECIOS'!H423,"")</f>
        <v/>
      </c>
      <c r="I414" s="31" t="str">
        <f t="shared" si="5"/>
        <v/>
      </c>
    </row>
    <row r="415" spans="1:9">
      <c r="A415" t="str">
        <f>IF('LISTA DE PRECIOS'!$H424&gt;0,'LISTA DE PRECIOS'!A424,"")</f>
        <v/>
      </c>
      <c r="B415" t="str">
        <f>IF('LISTA DE PRECIOS'!$H424&gt;0,'LISTA DE PRECIOS'!B424,"")</f>
        <v/>
      </c>
      <c r="C415" t="str">
        <f>IF('LISTA DE PRECIOS'!$H424&gt;0,'LISTA DE PRECIOS'!C424,"")</f>
        <v/>
      </c>
      <c r="D415" s="67" t="str">
        <f>IF('LISTA DE PRECIOS'!$H424&gt;0,'LISTA DE PRECIOS'!D424,"")</f>
        <v/>
      </c>
      <c r="E415" t="str">
        <f>IF('LISTA DE PRECIOS'!$H424&gt;0,'LISTA DE PRECIOS'!E424,"")</f>
        <v/>
      </c>
      <c r="F415" t="str">
        <f>IF('LISTA DE PRECIOS'!$H424&gt;0,'LISTA DE PRECIOS'!F424,"")</f>
        <v/>
      </c>
      <c r="G415" s="31" t="str">
        <f>IF('LISTA DE PRECIOS'!$H424&gt;0,'LISTA DE PRECIOS'!G424,"")</f>
        <v/>
      </c>
      <c r="H415" s="67" t="str">
        <f>IF('LISTA DE PRECIOS'!$H424&gt;0,'LISTA DE PRECIOS'!H424,"")</f>
        <v/>
      </c>
      <c r="I415" s="31" t="str">
        <f t="shared" si="5"/>
        <v/>
      </c>
    </row>
    <row r="416" spans="1:9">
      <c r="A416" t="str">
        <f>IF('LISTA DE PRECIOS'!$H425&gt;0,'LISTA DE PRECIOS'!A425,"")</f>
        <v/>
      </c>
      <c r="B416" t="str">
        <f>IF('LISTA DE PRECIOS'!$H425&gt;0,'LISTA DE PRECIOS'!B425,"")</f>
        <v/>
      </c>
      <c r="C416" t="str">
        <f>IF('LISTA DE PRECIOS'!$H425&gt;0,'LISTA DE PRECIOS'!C425,"")</f>
        <v/>
      </c>
      <c r="D416" s="67" t="str">
        <f>IF('LISTA DE PRECIOS'!$H425&gt;0,'LISTA DE PRECIOS'!D425,"")</f>
        <v/>
      </c>
      <c r="E416" t="str">
        <f>IF('LISTA DE PRECIOS'!$H425&gt;0,'LISTA DE PRECIOS'!E425,"")</f>
        <v/>
      </c>
      <c r="F416" t="str">
        <f>IF('LISTA DE PRECIOS'!$H425&gt;0,'LISTA DE PRECIOS'!F425,"")</f>
        <v/>
      </c>
      <c r="G416" s="31" t="str">
        <f>IF('LISTA DE PRECIOS'!$H425&gt;0,'LISTA DE PRECIOS'!G425,"")</f>
        <v/>
      </c>
      <c r="H416" s="67" t="str">
        <f>IF('LISTA DE PRECIOS'!$H425&gt;0,'LISTA DE PRECIOS'!H425,"")</f>
        <v/>
      </c>
      <c r="I416" s="31" t="str">
        <f t="shared" si="5"/>
        <v/>
      </c>
    </row>
    <row r="417" spans="1:9">
      <c r="A417" t="str">
        <f>IF('LISTA DE PRECIOS'!$H426&gt;0,'LISTA DE PRECIOS'!A426,"")</f>
        <v/>
      </c>
      <c r="B417" t="str">
        <f>IF('LISTA DE PRECIOS'!$H426&gt;0,'LISTA DE PRECIOS'!B426,"")</f>
        <v/>
      </c>
      <c r="C417" t="str">
        <f>IF('LISTA DE PRECIOS'!$H426&gt;0,'LISTA DE PRECIOS'!C426,"")</f>
        <v/>
      </c>
      <c r="D417" s="67" t="str">
        <f>IF('LISTA DE PRECIOS'!$H426&gt;0,'LISTA DE PRECIOS'!D426,"")</f>
        <v/>
      </c>
      <c r="E417" t="str">
        <f>IF('LISTA DE PRECIOS'!$H426&gt;0,'LISTA DE PRECIOS'!E426,"")</f>
        <v/>
      </c>
      <c r="F417" t="str">
        <f>IF('LISTA DE PRECIOS'!$H426&gt;0,'LISTA DE PRECIOS'!F426,"")</f>
        <v/>
      </c>
      <c r="G417" s="31" t="str">
        <f>IF('LISTA DE PRECIOS'!$H426&gt;0,'LISTA DE PRECIOS'!G426,"")</f>
        <v/>
      </c>
      <c r="H417" s="67" t="str">
        <f>IF('LISTA DE PRECIOS'!$H426&gt;0,'LISTA DE PRECIOS'!H426,"")</f>
        <v/>
      </c>
      <c r="I417" s="31" t="str">
        <f t="shared" si="5"/>
        <v/>
      </c>
    </row>
    <row r="418" spans="1:9">
      <c r="A418" t="str">
        <f>IF('LISTA DE PRECIOS'!$H427&gt;0,'LISTA DE PRECIOS'!A427,"")</f>
        <v/>
      </c>
      <c r="B418" t="str">
        <f>IF('LISTA DE PRECIOS'!$H427&gt;0,'LISTA DE PRECIOS'!B427,"")</f>
        <v/>
      </c>
      <c r="C418" t="str">
        <f>IF('LISTA DE PRECIOS'!$H427&gt;0,'LISTA DE PRECIOS'!C427,"")</f>
        <v/>
      </c>
      <c r="D418" s="67" t="str">
        <f>IF('LISTA DE PRECIOS'!$H427&gt;0,'LISTA DE PRECIOS'!D427,"")</f>
        <v/>
      </c>
      <c r="E418" t="str">
        <f>IF('LISTA DE PRECIOS'!$H427&gt;0,'LISTA DE PRECIOS'!E427,"")</f>
        <v/>
      </c>
      <c r="F418" t="str">
        <f>IF('LISTA DE PRECIOS'!$H427&gt;0,'LISTA DE PRECIOS'!F427,"")</f>
        <v/>
      </c>
      <c r="G418" s="31" t="str">
        <f>IF('LISTA DE PRECIOS'!$H427&gt;0,'LISTA DE PRECIOS'!G427,"")</f>
        <v/>
      </c>
      <c r="H418" s="67" t="str">
        <f>IF('LISTA DE PRECIOS'!$H427&gt;0,'LISTA DE PRECIOS'!H427,"")</f>
        <v/>
      </c>
      <c r="I418" s="31" t="str">
        <f t="shared" si="5"/>
        <v/>
      </c>
    </row>
    <row r="419" spans="1:9">
      <c r="A419" t="str">
        <f>IF('LISTA DE PRECIOS'!$H428&gt;0,'LISTA DE PRECIOS'!A428,"")</f>
        <v/>
      </c>
      <c r="B419" t="str">
        <f>IF('LISTA DE PRECIOS'!$H428&gt;0,'LISTA DE PRECIOS'!B428,"")</f>
        <v/>
      </c>
      <c r="C419" t="str">
        <f>IF('LISTA DE PRECIOS'!$H428&gt;0,'LISTA DE PRECIOS'!C428,"")</f>
        <v/>
      </c>
      <c r="D419" s="67" t="str">
        <f>IF('LISTA DE PRECIOS'!$H428&gt;0,'LISTA DE PRECIOS'!D428,"")</f>
        <v/>
      </c>
      <c r="E419" t="str">
        <f>IF('LISTA DE PRECIOS'!$H428&gt;0,'LISTA DE PRECIOS'!E428,"")</f>
        <v/>
      </c>
      <c r="F419" t="str">
        <f>IF('LISTA DE PRECIOS'!$H428&gt;0,'LISTA DE PRECIOS'!F428,"")</f>
        <v/>
      </c>
      <c r="G419" s="31" t="str">
        <f>IF('LISTA DE PRECIOS'!$H428&gt;0,'LISTA DE PRECIOS'!G428,"")</f>
        <v/>
      </c>
      <c r="H419" s="67" t="str">
        <f>IF('LISTA DE PRECIOS'!$H428&gt;0,'LISTA DE PRECIOS'!H428,"")</f>
        <v/>
      </c>
      <c r="I419" s="31" t="str">
        <f t="shared" si="5"/>
        <v/>
      </c>
    </row>
    <row r="420" spans="1:9">
      <c r="A420" t="str">
        <f>IF('LISTA DE PRECIOS'!$H429&gt;0,'LISTA DE PRECIOS'!A429,"")</f>
        <v/>
      </c>
      <c r="B420" t="str">
        <f>IF('LISTA DE PRECIOS'!$H429&gt;0,'LISTA DE PRECIOS'!B429,"")</f>
        <v/>
      </c>
      <c r="C420" t="str">
        <f>IF('LISTA DE PRECIOS'!$H429&gt;0,'LISTA DE PRECIOS'!C429,"")</f>
        <v/>
      </c>
      <c r="D420" s="67" t="str">
        <f>IF('LISTA DE PRECIOS'!$H429&gt;0,'LISTA DE PRECIOS'!D429,"")</f>
        <v/>
      </c>
      <c r="E420" t="str">
        <f>IF('LISTA DE PRECIOS'!$H429&gt;0,'LISTA DE PRECIOS'!E429,"")</f>
        <v/>
      </c>
      <c r="F420" t="str">
        <f>IF('LISTA DE PRECIOS'!$H429&gt;0,'LISTA DE PRECIOS'!F429,"")</f>
        <v/>
      </c>
      <c r="G420" s="31" t="str">
        <f>IF('LISTA DE PRECIOS'!$H429&gt;0,'LISTA DE PRECIOS'!G429,"")</f>
        <v/>
      </c>
      <c r="H420" s="67" t="str">
        <f>IF('LISTA DE PRECIOS'!$H429&gt;0,'LISTA DE PRECIOS'!H429,"")</f>
        <v/>
      </c>
      <c r="I420" s="31" t="str">
        <f t="shared" si="5"/>
        <v/>
      </c>
    </row>
    <row r="421" spans="1:9">
      <c r="A421" t="str">
        <f>IF('LISTA DE PRECIOS'!$H430&gt;0,'LISTA DE PRECIOS'!A430,"")</f>
        <v/>
      </c>
      <c r="B421" t="str">
        <f>IF('LISTA DE PRECIOS'!$H430&gt;0,'LISTA DE PRECIOS'!B430,"")</f>
        <v/>
      </c>
      <c r="C421" t="str">
        <f>IF('LISTA DE PRECIOS'!$H430&gt;0,'LISTA DE PRECIOS'!C430,"")</f>
        <v/>
      </c>
      <c r="D421" s="67" t="str">
        <f>IF('LISTA DE PRECIOS'!$H430&gt;0,'LISTA DE PRECIOS'!D430,"")</f>
        <v/>
      </c>
      <c r="E421" t="str">
        <f>IF('LISTA DE PRECIOS'!$H430&gt;0,'LISTA DE PRECIOS'!E430,"")</f>
        <v/>
      </c>
      <c r="F421" t="str">
        <f>IF('LISTA DE PRECIOS'!$H430&gt;0,'LISTA DE PRECIOS'!F430,"")</f>
        <v/>
      </c>
      <c r="G421" s="31" t="str">
        <f>IF('LISTA DE PRECIOS'!$H430&gt;0,'LISTA DE PRECIOS'!G430,"")</f>
        <v/>
      </c>
      <c r="H421" s="67" t="str">
        <f>IF('LISTA DE PRECIOS'!$H430&gt;0,'LISTA DE PRECIOS'!H430,"")</f>
        <v/>
      </c>
      <c r="I421" s="31" t="str">
        <f t="shared" si="5"/>
        <v/>
      </c>
    </row>
    <row r="422" spans="1:9">
      <c r="A422" t="str">
        <f>IF('LISTA DE PRECIOS'!$H431&gt;0,'LISTA DE PRECIOS'!A431,"")</f>
        <v/>
      </c>
      <c r="B422" t="str">
        <f>IF('LISTA DE PRECIOS'!$H431&gt;0,'LISTA DE PRECIOS'!B431,"")</f>
        <v/>
      </c>
      <c r="C422" t="str">
        <f>IF('LISTA DE PRECIOS'!$H431&gt;0,'LISTA DE PRECIOS'!C431,"")</f>
        <v/>
      </c>
      <c r="D422" s="67" t="str">
        <f>IF('LISTA DE PRECIOS'!$H431&gt;0,'LISTA DE PRECIOS'!D431,"")</f>
        <v/>
      </c>
      <c r="E422" t="str">
        <f>IF('LISTA DE PRECIOS'!$H431&gt;0,'LISTA DE PRECIOS'!E431,"")</f>
        <v/>
      </c>
      <c r="F422" t="str">
        <f>IF('LISTA DE PRECIOS'!$H431&gt;0,'LISTA DE PRECIOS'!F431,"")</f>
        <v/>
      </c>
      <c r="G422" s="31" t="str">
        <f>IF('LISTA DE PRECIOS'!$H431&gt;0,'LISTA DE PRECIOS'!G431,"")</f>
        <v/>
      </c>
      <c r="H422" s="67" t="str">
        <f>IF('LISTA DE PRECIOS'!$H431&gt;0,'LISTA DE PRECIOS'!H431,"")</f>
        <v/>
      </c>
      <c r="I422" s="31" t="str">
        <f t="shared" si="5"/>
        <v/>
      </c>
    </row>
    <row r="423" spans="1:9">
      <c r="A423" t="str">
        <f>IF('LISTA DE PRECIOS'!$H432&gt;0,'LISTA DE PRECIOS'!A432,"")</f>
        <v/>
      </c>
      <c r="B423" t="str">
        <f>IF('LISTA DE PRECIOS'!$H432&gt;0,'LISTA DE PRECIOS'!B432,"")</f>
        <v/>
      </c>
      <c r="C423" t="str">
        <f>IF('LISTA DE PRECIOS'!$H432&gt;0,'LISTA DE PRECIOS'!C432,"")</f>
        <v/>
      </c>
      <c r="D423" s="67" t="str">
        <f>IF('LISTA DE PRECIOS'!$H432&gt;0,'LISTA DE PRECIOS'!D432,"")</f>
        <v/>
      </c>
      <c r="E423" t="str">
        <f>IF('LISTA DE PRECIOS'!$H432&gt;0,'LISTA DE PRECIOS'!E432,"")</f>
        <v/>
      </c>
      <c r="F423" t="str">
        <f>IF('LISTA DE PRECIOS'!$H432&gt;0,'LISTA DE PRECIOS'!F432,"")</f>
        <v/>
      </c>
      <c r="G423" s="31" t="str">
        <f>IF('LISTA DE PRECIOS'!$H432&gt;0,'LISTA DE PRECIOS'!G432,"")</f>
        <v/>
      </c>
      <c r="H423" s="67" t="str">
        <f>IF('LISTA DE PRECIOS'!$H432&gt;0,'LISTA DE PRECIOS'!H432,"")</f>
        <v/>
      </c>
      <c r="I423" s="31" t="str">
        <f t="shared" si="5"/>
        <v/>
      </c>
    </row>
    <row r="424" spans="1:9">
      <c r="A424" t="str">
        <f>IF('LISTA DE PRECIOS'!$H433&gt;0,'LISTA DE PRECIOS'!A433,"")</f>
        <v/>
      </c>
      <c r="B424" t="str">
        <f>IF('LISTA DE PRECIOS'!$H433&gt;0,'LISTA DE PRECIOS'!B433,"")</f>
        <v/>
      </c>
      <c r="C424" t="str">
        <f>IF('LISTA DE PRECIOS'!$H433&gt;0,'LISTA DE PRECIOS'!C433,"")</f>
        <v/>
      </c>
      <c r="D424" s="67" t="str">
        <f>IF('LISTA DE PRECIOS'!$H433&gt;0,'LISTA DE PRECIOS'!D433,"")</f>
        <v/>
      </c>
      <c r="E424" t="str">
        <f>IF('LISTA DE PRECIOS'!$H433&gt;0,'LISTA DE PRECIOS'!E433,"")</f>
        <v/>
      </c>
      <c r="F424" t="str">
        <f>IF('LISTA DE PRECIOS'!$H433&gt;0,'LISTA DE PRECIOS'!F433,"")</f>
        <v/>
      </c>
      <c r="G424" s="31" t="str">
        <f>IF('LISTA DE PRECIOS'!$H433&gt;0,'LISTA DE PRECIOS'!G433,"")</f>
        <v/>
      </c>
      <c r="H424" s="67" t="str">
        <f>IF('LISTA DE PRECIOS'!$H433&gt;0,'LISTA DE PRECIOS'!H433,"")</f>
        <v/>
      </c>
      <c r="I424" s="31" t="str">
        <f t="shared" si="5"/>
        <v/>
      </c>
    </row>
    <row r="425" spans="1:9">
      <c r="A425" t="str">
        <f>IF('LISTA DE PRECIOS'!$H434&gt;0,'LISTA DE PRECIOS'!A434,"")</f>
        <v/>
      </c>
      <c r="B425" t="str">
        <f>IF('LISTA DE PRECIOS'!$H434&gt;0,'LISTA DE PRECIOS'!B434,"")</f>
        <v/>
      </c>
      <c r="C425" t="str">
        <f>IF('LISTA DE PRECIOS'!$H434&gt;0,'LISTA DE PRECIOS'!C434,"")</f>
        <v/>
      </c>
      <c r="D425" s="67" t="str">
        <f>IF('LISTA DE PRECIOS'!$H434&gt;0,'LISTA DE PRECIOS'!D434,"")</f>
        <v/>
      </c>
      <c r="E425" t="str">
        <f>IF('LISTA DE PRECIOS'!$H434&gt;0,'LISTA DE PRECIOS'!E434,"")</f>
        <v/>
      </c>
      <c r="F425" t="str">
        <f>IF('LISTA DE PRECIOS'!$H434&gt;0,'LISTA DE PRECIOS'!F434,"")</f>
        <v/>
      </c>
      <c r="G425" s="31" t="str">
        <f>IF('LISTA DE PRECIOS'!$H434&gt;0,'LISTA DE PRECIOS'!G434,"")</f>
        <v/>
      </c>
      <c r="H425" s="67" t="str">
        <f>IF('LISTA DE PRECIOS'!$H434&gt;0,'LISTA DE PRECIOS'!H434,"")</f>
        <v/>
      </c>
      <c r="I425" s="31" t="str">
        <f t="shared" si="5"/>
        <v/>
      </c>
    </row>
    <row r="426" spans="1:9">
      <c r="A426" t="str">
        <f>IF('LISTA DE PRECIOS'!$H435&gt;0,'LISTA DE PRECIOS'!A435,"")</f>
        <v/>
      </c>
      <c r="B426" t="str">
        <f>IF('LISTA DE PRECIOS'!$H435&gt;0,'LISTA DE PRECIOS'!B435,"")</f>
        <v/>
      </c>
      <c r="C426" t="str">
        <f>IF('LISTA DE PRECIOS'!$H435&gt;0,'LISTA DE PRECIOS'!C435,"")</f>
        <v/>
      </c>
      <c r="D426" s="67" t="str">
        <f>IF('LISTA DE PRECIOS'!$H435&gt;0,'LISTA DE PRECIOS'!D435,"")</f>
        <v/>
      </c>
      <c r="E426" t="str">
        <f>IF('LISTA DE PRECIOS'!$H435&gt;0,'LISTA DE PRECIOS'!E435,"")</f>
        <v/>
      </c>
      <c r="F426" t="str">
        <f>IF('LISTA DE PRECIOS'!$H435&gt;0,'LISTA DE PRECIOS'!F435,"")</f>
        <v/>
      </c>
      <c r="G426" s="31" t="str">
        <f>IF('LISTA DE PRECIOS'!$H435&gt;0,'LISTA DE PRECIOS'!G435,"")</f>
        <v/>
      </c>
      <c r="H426" s="67" t="str">
        <f>IF('LISTA DE PRECIOS'!$H435&gt;0,'LISTA DE PRECIOS'!H435,"")</f>
        <v/>
      </c>
      <c r="I426" s="31" t="str">
        <f t="shared" si="5"/>
        <v/>
      </c>
    </row>
    <row r="427" spans="1:9">
      <c r="A427" t="str">
        <f>IF('LISTA DE PRECIOS'!$H436&gt;0,'LISTA DE PRECIOS'!A436,"")</f>
        <v/>
      </c>
      <c r="B427" t="str">
        <f>IF('LISTA DE PRECIOS'!$H436&gt;0,'LISTA DE PRECIOS'!B436,"")</f>
        <v/>
      </c>
      <c r="C427" t="str">
        <f>IF('LISTA DE PRECIOS'!$H436&gt;0,'LISTA DE PRECIOS'!C436,"")</f>
        <v/>
      </c>
      <c r="D427" s="67" t="str">
        <f>IF('LISTA DE PRECIOS'!$H436&gt;0,'LISTA DE PRECIOS'!D436,"")</f>
        <v/>
      </c>
      <c r="E427" t="str">
        <f>IF('LISTA DE PRECIOS'!$H436&gt;0,'LISTA DE PRECIOS'!E436,"")</f>
        <v/>
      </c>
      <c r="F427" t="str">
        <f>IF('LISTA DE PRECIOS'!$H436&gt;0,'LISTA DE PRECIOS'!F436,"")</f>
        <v/>
      </c>
      <c r="G427" s="31" t="str">
        <f>IF('LISTA DE PRECIOS'!$H436&gt;0,'LISTA DE PRECIOS'!G436,"")</f>
        <v/>
      </c>
      <c r="H427" s="67" t="str">
        <f>IF('LISTA DE PRECIOS'!$H436&gt;0,'LISTA DE PRECIOS'!H436,"")</f>
        <v/>
      </c>
      <c r="I427" s="31" t="str">
        <f t="shared" si="5"/>
        <v/>
      </c>
    </row>
    <row r="428" spans="1:9">
      <c r="A428" t="str">
        <f>IF('LISTA DE PRECIOS'!$H437&gt;0,'LISTA DE PRECIOS'!A437,"")</f>
        <v/>
      </c>
      <c r="B428" t="str">
        <f>IF('LISTA DE PRECIOS'!$H437&gt;0,'LISTA DE PRECIOS'!B437,"")</f>
        <v/>
      </c>
      <c r="C428" t="str">
        <f>IF('LISTA DE PRECIOS'!$H437&gt;0,'LISTA DE PRECIOS'!C437,"")</f>
        <v/>
      </c>
      <c r="D428" s="67" t="str">
        <f>IF('LISTA DE PRECIOS'!$H437&gt;0,'LISTA DE PRECIOS'!D437,"")</f>
        <v/>
      </c>
      <c r="E428" t="str">
        <f>IF('LISTA DE PRECIOS'!$H437&gt;0,'LISTA DE PRECIOS'!E437,"")</f>
        <v/>
      </c>
      <c r="F428" t="str">
        <f>IF('LISTA DE PRECIOS'!$H437&gt;0,'LISTA DE PRECIOS'!F437,"")</f>
        <v/>
      </c>
      <c r="G428" s="31" t="str">
        <f>IF('LISTA DE PRECIOS'!$H437&gt;0,'LISTA DE PRECIOS'!G437,"")</f>
        <v/>
      </c>
      <c r="H428" s="67" t="str">
        <f>IF('LISTA DE PRECIOS'!$H437&gt;0,'LISTA DE PRECIOS'!H437,"")</f>
        <v/>
      </c>
      <c r="I428" s="31" t="str">
        <f t="shared" si="5"/>
        <v/>
      </c>
    </row>
    <row r="429" spans="1:9">
      <c r="A429" t="str">
        <f>IF('LISTA DE PRECIOS'!$H438&gt;0,'LISTA DE PRECIOS'!A438,"")</f>
        <v/>
      </c>
      <c r="B429" t="str">
        <f>IF('LISTA DE PRECIOS'!$H438&gt;0,'LISTA DE PRECIOS'!B438,"")</f>
        <v/>
      </c>
      <c r="C429" t="str">
        <f>IF('LISTA DE PRECIOS'!$H438&gt;0,'LISTA DE PRECIOS'!C438,"")</f>
        <v/>
      </c>
      <c r="D429" s="67" t="str">
        <f>IF('LISTA DE PRECIOS'!$H438&gt;0,'LISTA DE PRECIOS'!D438,"")</f>
        <v/>
      </c>
      <c r="E429" t="str">
        <f>IF('LISTA DE PRECIOS'!$H438&gt;0,'LISTA DE PRECIOS'!E438,"")</f>
        <v/>
      </c>
      <c r="F429" t="str">
        <f>IF('LISTA DE PRECIOS'!$H438&gt;0,'LISTA DE PRECIOS'!F438,"")</f>
        <v/>
      </c>
      <c r="G429" s="31" t="str">
        <f>IF('LISTA DE PRECIOS'!$H438&gt;0,'LISTA DE PRECIOS'!G438,"")</f>
        <v/>
      </c>
      <c r="H429" s="67" t="str">
        <f>IF('LISTA DE PRECIOS'!$H438&gt;0,'LISTA DE PRECIOS'!H438,"")</f>
        <v/>
      </c>
      <c r="I429" s="31" t="str">
        <f t="shared" si="5"/>
        <v/>
      </c>
    </row>
    <row r="430" spans="1:9">
      <c r="A430" t="str">
        <f>IF('LISTA DE PRECIOS'!$H439&gt;0,'LISTA DE PRECIOS'!A439,"")</f>
        <v/>
      </c>
      <c r="B430" t="str">
        <f>IF('LISTA DE PRECIOS'!$H439&gt;0,'LISTA DE PRECIOS'!B439,"")</f>
        <v/>
      </c>
      <c r="C430" t="str">
        <f>IF('LISTA DE PRECIOS'!$H439&gt;0,'LISTA DE PRECIOS'!C439,"")</f>
        <v/>
      </c>
      <c r="D430" s="67" t="str">
        <f>IF('LISTA DE PRECIOS'!$H439&gt;0,'LISTA DE PRECIOS'!D439,"")</f>
        <v/>
      </c>
      <c r="E430" t="str">
        <f>IF('LISTA DE PRECIOS'!$H439&gt;0,'LISTA DE PRECIOS'!E439,"")</f>
        <v/>
      </c>
      <c r="F430" t="str">
        <f>IF('LISTA DE PRECIOS'!$H439&gt;0,'LISTA DE PRECIOS'!F439,"")</f>
        <v/>
      </c>
      <c r="G430" s="31" t="str">
        <f>IF('LISTA DE PRECIOS'!$H439&gt;0,'LISTA DE PRECIOS'!G439,"")</f>
        <v/>
      </c>
      <c r="H430" s="67" t="str">
        <f>IF('LISTA DE PRECIOS'!$H439&gt;0,'LISTA DE PRECIOS'!H439,"")</f>
        <v/>
      </c>
      <c r="I430" s="31" t="str">
        <f t="shared" si="5"/>
        <v/>
      </c>
    </row>
    <row r="431" spans="1:9">
      <c r="A431" t="str">
        <f>IF('LISTA DE PRECIOS'!$H440&gt;0,'LISTA DE PRECIOS'!A440,"")</f>
        <v/>
      </c>
      <c r="B431" t="str">
        <f>IF('LISTA DE PRECIOS'!$H440&gt;0,'LISTA DE PRECIOS'!B440,"")</f>
        <v/>
      </c>
      <c r="C431" t="str">
        <f>IF('LISTA DE PRECIOS'!$H440&gt;0,'LISTA DE PRECIOS'!C440,"")</f>
        <v/>
      </c>
      <c r="D431" s="67" t="str">
        <f>IF('LISTA DE PRECIOS'!$H440&gt;0,'LISTA DE PRECIOS'!D440,"")</f>
        <v/>
      </c>
      <c r="E431" t="str">
        <f>IF('LISTA DE PRECIOS'!$H440&gt;0,'LISTA DE PRECIOS'!E440,"")</f>
        <v/>
      </c>
      <c r="F431" t="str">
        <f>IF('LISTA DE PRECIOS'!$H440&gt;0,'LISTA DE PRECIOS'!F440,"")</f>
        <v/>
      </c>
      <c r="G431" s="31" t="str">
        <f>IF('LISTA DE PRECIOS'!$H440&gt;0,'LISTA DE PRECIOS'!G440,"")</f>
        <v/>
      </c>
      <c r="H431" s="67" t="str">
        <f>IF('LISTA DE PRECIOS'!$H440&gt;0,'LISTA DE PRECIOS'!H440,"")</f>
        <v/>
      </c>
      <c r="I431" s="31" t="str">
        <f t="shared" si="5"/>
        <v/>
      </c>
    </row>
    <row r="432" spans="1:9">
      <c r="A432" t="str">
        <f>IF('LISTA DE PRECIOS'!$H441&gt;0,'LISTA DE PRECIOS'!A441,"")</f>
        <v/>
      </c>
      <c r="B432" t="str">
        <f>IF('LISTA DE PRECIOS'!$H441&gt;0,'LISTA DE PRECIOS'!B441,"")</f>
        <v/>
      </c>
      <c r="C432" t="str">
        <f>IF('LISTA DE PRECIOS'!$H441&gt;0,'LISTA DE PRECIOS'!C441,"")</f>
        <v/>
      </c>
      <c r="D432" s="67" t="str">
        <f>IF('LISTA DE PRECIOS'!$H441&gt;0,'LISTA DE PRECIOS'!D441,"")</f>
        <v/>
      </c>
      <c r="E432" t="str">
        <f>IF('LISTA DE PRECIOS'!$H441&gt;0,'LISTA DE PRECIOS'!E441,"")</f>
        <v/>
      </c>
      <c r="F432" t="str">
        <f>IF('LISTA DE PRECIOS'!$H441&gt;0,'LISTA DE PRECIOS'!F441,"")</f>
        <v/>
      </c>
      <c r="G432" s="31" t="str">
        <f>IF('LISTA DE PRECIOS'!$H441&gt;0,'LISTA DE PRECIOS'!G441,"")</f>
        <v/>
      </c>
      <c r="H432" s="67" t="str">
        <f>IF('LISTA DE PRECIOS'!$H441&gt;0,'LISTA DE PRECIOS'!H441,"")</f>
        <v/>
      </c>
      <c r="I432" s="31" t="str">
        <f t="shared" si="5"/>
        <v/>
      </c>
    </row>
    <row r="433" spans="1:9">
      <c r="A433" t="str">
        <f>IF('LISTA DE PRECIOS'!$H442&gt;0,'LISTA DE PRECIOS'!A442,"")</f>
        <v/>
      </c>
      <c r="B433" t="str">
        <f>IF('LISTA DE PRECIOS'!$H442&gt;0,'LISTA DE PRECIOS'!B442,"")</f>
        <v/>
      </c>
      <c r="C433" t="str">
        <f>IF('LISTA DE PRECIOS'!$H442&gt;0,'LISTA DE PRECIOS'!C442,"")</f>
        <v/>
      </c>
      <c r="D433" s="67" t="str">
        <f>IF('LISTA DE PRECIOS'!$H442&gt;0,'LISTA DE PRECIOS'!D442,"")</f>
        <v/>
      </c>
      <c r="E433" t="str">
        <f>IF('LISTA DE PRECIOS'!$H442&gt;0,'LISTA DE PRECIOS'!E442,"")</f>
        <v/>
      </c>
      <c r="F433" t="str">
        <f>IF('LISTA DE PRECIOS'!$H442&gt;0,'LISTA DE PRECIOS'!F442,"")</f>
        <v/>
      </c>
      <c r="G433" s="31" t="str">
        <f>IF('LISTA DE PRECIOS'!$H442&gt;0,'LISTA DE PRECIOS'!G442,"")</f>
        <v/>
      </c>
      <c r="H433" s="67" t="str">
        <f>IF('LISTA DE PRECIOS'!$H442&gt;0,'LISTA DE PRECIOS'!H442,"")</f>
        <v/>
      </c>
      <c r="I433" s="31" t="str">
        <f t="shared" si="5"/>
        <v/>
      </c>
    </row>
    <row r="434" spans="1:9">
      <c r="A434" t="str">
        <f>IF('LISTA DE PRECIOS'!$H443&gt;0,'LISTA DE PRECIOS'!A443,"")</f>
        <v/>
      </c>
      <c r="B434" t="str">
        <f>IF('LISTA DE PRECIOS'!$H443&gt;0,'LISTA DE PRECIOS'!B443,"")</f>
        <v/>
      </c>
      <c r="C434" t="str">
        <f>IF('LISTA DE PRECIOS'!$H443&gt;0,'LISTA DE PRECIOS'!C443,"")</f>
        <v/>
      </c>
      <c r="D434" s="67" t="str">
        <f>IF('LISTA DE PRECIOS'!$H443&gt;0,'LISTA DE PRECIOS'!D443,"")</f>
        <v/>
      </c>
      <c r="E434" t="str">
        <f>IF('LISTA DE PRECIOS'!$H443&gt;0,'LISTA DE PRECIOS'!E443,"")</f>
        <v/>
      </c>
      <c r="F434" t="str">
        <f>IF('LISTA DE PRECIOS'!$H443&gt;0,'LISTA DE PRECIOS'!F443,"")</f>
        <v/>
      </c>
      <c r="G434" s="31" t="str">
        <f>IF('LISTA DE PRECIOS'!$H443&gt;0,'LISTA DE PRECIOS'!G443,"")</f>
        <v/>
      </c>
      <c r="H434" s="67" t="str">
        <f>IF('LISTA DE PRECIOS'!$H443&gt;0,'LISTA DE PRECIOS'!H443,"")</f>
        <v/>
      </c>
      <c r="I434" s="31" t="str">
        <f t="shared" si="5"/>
        <v/>
      </c>
    </row>
    <row r="435" spans="1:9">
      <c r="A435" t="str">
        <f>IF('LISTA DE PRECIOS'!$H444&gt;0,'LISTA DE PRECIOS'!A444,"")</f>
        <v/>
      </c>
      <c r="B435" t="str">
        <f>IF('LISTA DE PRECIOS'!$H444&gt;0,'LISTA DE PRECIOS'!B444,"")</f>
        <v/>
      </c>
      <c r="C435" t="str">
        <f>IF('LISTA DE PRECIOS'!$H444&gt;0,'LISTA DE PRECIOS'!C444,"")</f>
        <v/>
      </c>
      <c r="D435" s="67" t="str">
        <f>IF('LISTA DE PRECIOS'!$H444&gt;0,'LISTA DE PRECIOS'!D444,"")</f>
        <v/>
      </c>
      <c r="E435" t="str">
        <f>IF('LISTA DE PRECIOS'!$H444&gt;0,'LISTA DE PRECIOS'!E444,"")</f>
        <v/>
      </c>
      <c r="F435" t="str">
        <f>IF('LISTA DE PRECIOS'!$H444&gt;0,'LISTA DE PRECIOS'!F444,"")</f>
        <v/>
      </c>
      <c r="G435" s="31" t="str">
        <f>IF('LISTA DE PRECIOS'!$H444&gt;0,'LISTA DE PRECIOS'!G444,"")</f>
        <v/>
      </c>
      <c r="H435" s="67" t="str">
        <f>IF('LISTA DE PRECIOS'!$H444&gt;0,'LISTA DE PRECIOS'!H444,"")</f>
        <v/>
      </c>
      <c r="I435" s="31" t="str">
        <f t="shared" si="5"/>
        <v/>
      </c>
    </row>
    <row r="436" spans="1:9">
      <c r="A436" t="str">
        <f>IF('LISTA DE PRECIOS'!$H445&gt;0,'LISTA DE PRECIOS'!A445,"")</f>
        <v/>
      </c>
      <c r="B436" t="str">
        <f>IF('LISTA DE PRECIOS'!$H445&gt;0,'LISTA DE PRECIOS'!B445,"")</f>
        <v/>
      </c>
      <c r="C436" t="str">
        <f>IF('LISTA DE PRECIOS'!$H445&gt;0,'LISTA DE PRECIOS'!C445,"")</f>
        <v/>
      </c>
      <c r="D436" s="67" t="str">
        <f>IF('LISTA DE PRECIOS'!$H445&gt;0,'LISTA DE PRECIOS'!D445,"")</f>
        <v/>
      </c>
      <c r="E436" t="str">
        <f>IF('LISTA DE PRECIOS'!$H445&gt;0,'LISTA DE PRECIOS'!E445,"")</f>
        <v/>
      </c>
      <c r="F436" t="str">
        <f>IF('LISTA DE PRECIOS'!$H445&gt;0,'LISTA DE PRECIOS'!F445,"")</f>
        <v/>
      </c>
      <c r="G436" s="31" t="str">
        <f>IF('LISTA DE PRECIOS'!$H445&gt;0,'LISTA DE PRECIOS'!G445,"")</f>
        <v/>
      </c>
      <c r="H436" s="67" t="str">
        <f>IF('LISTA DE PRECIOS'!$H445&gt;0,'LISTA DE PRECIOS'!H445,"")</f>
        <v/>
      </c>
      <c r="I436" s="31" t="str">
        <f t="shared" si="5"/>
        <v/>
      </c>
    </row>
    <row r="437" spans="1:9">
      <c r="A437" t="str">
        <f>IF('LISTA DE PRECIOS'!$H446&gt;0,'LISTA DE PRECIOS'!A446,"")</f>
        <v/>
      </c>
      <c r="B437" t="str">
        <f>IF('LISTA DE PRECIOS'!$H446&gt;0,'LISTA DE PRECIOS'!B446,"")</f>
        <v/>
      </c>
      <c r="C437" t="str">
        <f>IF('LISTA DE PRECIOS'!$H446&gt;0,'LISTA DE PRECIOS'!C446,"")</f>
        <v/>
      </c>
      <c r="D437" s="67" t="str">
        <f>IF('LISTA DE PRECIOS'!$H446&gt;0,'LISTA DE PRECIOS'!D446,"")</f>
        <v/>
      </c>
      <c r="E437" t="str">
        <f>IF('LISTA DE PRECIOS'!$H446&gt;0,'LISTA DE PRECIOS'!E446,"")</f>
        <v/>
      </c>
      <c r="F437" t="str">
        <f>IF('LISTA DE PRECIOS'!$H446&gt;0,'LISTA DE PRECIOS'!F446,"")</f>
        <v/>
      </c>
      <c r="G437" s="31" t="str">
        <f>IF('LISTA DE PRECIOS'!$H446&gt;0,'LISTA DE PRECIOS'!G446,"")</f>
        <v/>
      </c>
      <c r="H437" s="67" t="str">
        <f>IF('LISTA DE PRECIOS'!$H446&gt;0,'LISTA DE PRECIOS'!H446,"")</f>
        <v/>
      </c>
      <c r="I437" s="31" t="str">
        <f t="shared" si="5"/>
        <v/>
      </c>
    </row>
    <row r="438" spans="1:9">
      <c r="A438" t="str">
        <f>IF('LISTA DE PRECIOS'!$H447&gt;0,'LISTA DE PRECIOS'!A447,"")</f>
        <v/>
      </c>
      <c r="B438" t="str">
        <f>IF('LISTA DE PRECIOS'!$H447&gt;0,'LISTA DE PRECIOS'!B447,"")</f>
        <v/>
      </c>
      <c r="C438" t="str">
        <f>IF('LISTA DE PRECIOS'!$H447&gt;0,'LISTA DE PRECIOS'!C447,"")</f>
        <v/>
      </c>
      <c r="D438" s="67" t="str">
        <f>IF('LISTA DE PRECIOS'!$H447&gt;0,'LISTA DE PRECIOS'!D447,"")</f>
        <v/>
      </c>
      <c r="E438" t="str">
        <f>IF('LISTA DE PRECIOS'!$H447&gt;0,'LISTA DE PRECIOS'!E447,"")</f>
        <v/>
      </c>
      <c r="F438" t="str">
        <f>IF('LISTA DE PRECIOS'!$H447&gt;0,'LISTA DE PRECIOS'!F447,"")</f>
        <v/>
      </c>
      <c r="G438" s="31" t="str">
        <f>IF('LISTA DE PRECIOS'!$H447&gt;0,'LISTA DE PRECIOS'!G447,"")</f>
        <v/>
      </c>
      <c r="H438" s="67" t="str">
        <f>IF('LISTA DE PRECIOS'!$H447&gt;0,'LISTA DE PRECIOS'!H447,"")</f>
        <v/>
      </c>
      <c r="I438" s="31" t="str">
        <f t="shared" si="5"/>
        <v/>
      </c>
    </row>
    <row r="439" spans="1:9">
      <c r="A439" t="str">
        <f>IF('LISTA DE PRECIOS'!$H448&gt;0,'LISTA DE PRECIOS'!A448,"")</f>
        <v/>
      </c>
      <c r="B439" t="str">
        <f>IF('LISTA DE PRECIOS'!$H448&gt;0,'LISTA DE PRECIOS'!B448,"")</f>
        <v/>
      </c>
      <c r="C439" t="str">
        <f>IF('LISTA DE PRECIOS'!$H448&gt;0,'LISTA DE PRECIOS'!C448,"")</f>
        <v/>
      </c>
      <c r="D439" s="67" t="str">
        <f>IF('LISTA DE PRECIOS'!$H448&gt;0,'LISTA DE PRECIOS'!D448,"")</f>
        <v/>
      </c>
      <c r="E439" t="str">
        <f>IF('LISTA DE PRECIOS'!$H448&gt;0,'LISTA DE PRECIOS'!E448,"")</f>
        <v/>
      </c>
      <c r="F439" t="str">
        <f>IF('LISTA DE PRECIOS'!$H448&gt;0,'LISTA DE PRECIOS'!F448,"")</f>
        <v/>
      </c>
      <c r="G439" s="31" t="str">
        <f>IF('LISTA DE PRECIOS'!$H448&gt;0,'LISTA DE PRECIOS'!G448,"")</f>
        <v/>
      </c>
      <c r="H439" s="67" t="str">
        <f>IF('LISTA DE PRECIOS'!$H448&gt;0,'LISTA DE PRECIOS'!H448,"")</f>
        <v/>
      </c>
      <c r="I439" s="31" t="str">
        <f t="shared" si="5"/>
        <v/>
      </c>
    </row>
    <row r="440" spans="1:9">
      <c r="A440" t="str">
        <f>IF('LISTA DE PRECIOS'!$H449&gt;0,'LISTA DE PRECIOS'!A449,"")</f>
        <v/>
      </c>
      <c r="B440" t="str">
        <f>IF('LISTA DE PRECIOS'!$H449&gt;0,'LISTA DE PRECIOS'!B449,"")</f>
        <v/>
      </c>
      <c r="C440" t="str">
        <f>IF('LISTA DE PRECIOS'!$H449&gt;0,'LISTA DE PRECIOS'!C449,"")</f>
        <v/>
      </c>
      <c r="D440" s="67" t="str">
        <f>IF('LISTA DE PRECIOS'!$H449&gt;0,'LISTA DE PRECIOS'!D449,"")</f>
        <v/>
      </c>
      <c r="E440" t="str">
        <f>IF('LISTA DE PRECIOS'!$H449&gt;0,'LISTA DE PRECIOS'!E449,"")</f>
        <v/>
      </c>
      <c r="F440" t="str">
        <f>IF('LISTA DE PRECIOS'!$H449&gt;0,'LISTA DE PRECIOS'!F449,"")</f>
        <v/>
      </c>
      <c r="G440" s="31" t="str">
        <f>IF('LISTA DE PRECIOS'!$H449&gt;0,'LISTA DE PRECIOS'!G449,"")</f>
        <v/>
      </c>
      <c r="H440" s="67" t="str">
        <f>IF('LISTA DE PRECIOS'!$H449&gt;0,'LISTA DE PRECIOS'!H449,"")</f>
        <v/>
      </c>
      <c r="I440" s="31" t="str">
        <f t="shared" si="5"/>
        <v/>
      </c>
    </row>
    <row r="441" spans="1:9">
      <c r="A441" t="str">
        <f>IF('LISTA DE PRECIOS'!$H450&gt;0,'LISTA DE PRECIOS'!A450,"")</f>
        <v/>
      </c>
      <c r="B441" t="str">
        <f>IF('LISTA DE PRECIOS'!$H450&gt;0,'LISTA DE PRECIOS'!B450,"")</f>
        <v/>
      </c>
      <c r="C441" t="str">
        <f>IF('LISTA DE PRECIOS'!$H450&gt;0,'LISTA DE PRECIOS'!C450,"")</f>
        <v/>
      </c>
      <c r="D441" s="67" t="str">
        <f>IF('LISTA DE PRECIOS'!$H450&gt;0,'LISTA DE PRECIOS'!D450,"")</f>
        <v/>
      </c>
      <c r="E441" t="str">
        <f>IF('LISTA DE PRECIOS'!$H450&gt;0,'LISTA DE PRECIOS'!E450,"")</f>
        <v/>
      </c>
      <c r="F441" t="str">
        <f>IF('LISTA DE PRECIOS'!$H450&gt;0,'LISTA DE PRECIOS'!F450,"")</f>
        <v/>
      </c>
      <c r="G441" s="31" t="str">
        <f>IF('LISTA DE PRECIOS'!$H450&gt;0,'LISTA DE PRECIOS'!G450,"")</f>
        <v/>
      </c>
      <c r="H441" s="67" t="str">
        <f>IF('LISTA DE PRECIOS'!$H450&gt;0,'LISTA DE PRECIOS'!H450,"")</f>
        <v/>
      </c>
      <c r="I441" s="31" t="str">
        <f t="shared" si="5"/>
        <v/>
      </c>
    </row>
    <row r="442" spans="1:9">
      <c r="A442" t="str">
        <f>IF('LISTA DE PRECIOS'!$H451&gt;0,'LISTA DE PRECIOS'!A451,"")</f>
        <v/>
      </c>
      <c r="B442" t="str">
        <f>IF('LISTA DE PRECIOS'!$H451&gt;0,'LISTA DE PRECIOS'!B451,"")</f>
        <v/>
      </c>
      <c r="C442" t="str">
        <f>IF('LISTA DE PRECIOS'!$H451&gt;0,'LISTA DE PRECIOS'!C451,"")</f>
        <v/>
      </c>
      <c r="D442" s="67" t="str">
        <f>IF('LISTA DE PRECIOS'!$H451&gt;0,'LISTA DE PRECIOS'!D451,"")</f>
        <v/>
      </c>
      <c r="E442" t="str">
        <f>IF('LISTA DE PRECIOS'!$H451&gt;0,'LISTA DE PRECIOS'!E451,"")</f>
        <v/>
      </c>
      <c r="F442" t="str">
        <f>IF('LISTA DE PRECIOS'!$H451&gt;0,'LISTA DE PRECIOS'!F451,"")</f>
        <v/>
      </c>
      <c r="G442" s="31" t="str">
        <f>IF('LISTA DE PRECIOS'!$H451&gt;0,'LISTA DE PRECIOS'!G451,"")</f>
        <v/>
      </c>
      <c r="H442" s="67" t="str">
        <f>IF('LISTA DE PRECIOS'!$H451&gt;0,'LISTA DE PRECIOS'!H451,"")</f>
        <v/>
      </c>
      <c r="I442" s="31" t="str">
        <f t="shared" si="5"/>
        <v/>
      </c>
    </row>
    <row r="443" spans="1:9">
      <c r="A443" t="str">
        <f>IF('LISTA DE PRECIOS'!$H452&gt;0,'LISTA DE PRECIOS'!A452,"")</f>
        <v/>
      </c>
      <c r="B443" t="str">
        <f>IF('LISTA DE PRECIOS'!$H452&gt;0,'LISTA DE PRECIOS'!B452,"")</f>
        <v/>
      </c>
      <c r="C443" t="str">
        <f>IF('LISTA DE PRECIOS'!$H452&gt;0,'LISTA DE PRECIOS'!C452,"")</f>
        <v/>
      </c>
      <c r="D443" s="67" t="str">
        <f>IF('LISTA DE PRECIOS'!$H452&gt;0,'LISTA DE PRECIOS'!D452,"")</f>
        <v/>
      </c>
      <c r="E443" t="str">
        <f>IF('LISTA DE PRECIOS'!$H452&gt;0,'LISTA DE PRECIOS'!E452,"")</f>
        <v/>
      </c>
      <c r="F443" t="str">
        <f>IF('LISTA DE PRECIOS'!$H452&gt;0,'LISTA DE PRECIOS'!F452,"")</f>
        <v/>
      </c>
      <c r="G443" s="31" t="str">
        <f>IF('LISTA DE PRECIOS'!$H452&gt;0,'LISTA DE PRECIOS'!G452,"")</f>
        <v/>
      </c>
      <c r="H443" s="67" t="str">
        <f>IF('LISTA DE PRECIOS'!$H452&gt;0,'LISTA DE PRECIOS'!H452,"")</f>
        <v/>
      </c>
      <c r="I443" s="31" t="str">
        <f t="shared" si="5"/>
        <v/>
      </c>
    </row>
    <row r="444" spans="1:9">
      <c r="A444" t="str">
        <f>IF('LISTA DE PRECIOS'!$H453&gt;0,'LISTA DE PRECIOS'!A453,"")</f>
        <v/>
      </c>
      <c r="B444" t="str">
        <f>IF('LISTA DE PRECIOS'!$H453&gt;0,'LISTA DE PRECIOS'!B453,"")</f>
        <v/>
      </c>
      <c r="C444" t="str">
        <f>IF('LISTA DE PRECIOS'!$H453&gt;0,'LISTA DE PRECIOS'!C453,"")</f>
        <v/>
      </c>
      <c r="D444" s="67" t="str">
        <f>IF('LISTA DE PRECIOS'!$H453&gt;0,'LISTA DE PRECIOS'!D453,"")</f>
        <v/>
      </c>
      <c r="E444" t="str">
        <f>IF('LISTA DE PRECIOS'!$H453&gt;0,'LISTA DE PRECIOS'!E453,"")</f>
        <v/>
      </c>
      <c r="F444" t="str">
        <f>IF('LISTA DE PRECIOS'!$H453&gt;0,'LISTA DE PRECIOS'!F453,"")</f>
        <v/>
      </c>
      <c r="G444" s="31" t="str">
        <f>IF('LISTA DE PRECIOS'!$H453&gt;0,'LISTA DE PRECIOS'!G453,"")</f>
        <v/>
      </c>
      <c r="H444" s="67" t="str">
        <f>IF('LISTA DE PRECIOS'!$H453&gt;0,'LISTA DE PRECIOS'!H453,"")</f>
        <v/>
      </c>
      <c r="I444" s="31" t="str">
        <f t="shared" si="5"/>
        <v/>
      </c>
    </row>
    <row r="445" spans="1:9">
      <c r="A445" t="str">
        <f>IF('LISTA DE PRECIOS'!$H454&gt;0,'LISTA DE PRECIOS'!A454,"")</f>
        <v/>
      </c>
      <c r="B445" t="str">
        <f>IF('LISTA DE PRECIOS'!$H454&gt;0,'LISTA DE PRECIOS'!B454,"")</f>
        <v/>
      </c>
      <c r="C445" t="str">
        <f>IF('LISTA DE PRECIOS'!$H454&gt;0,'LISTA DE PRECIOS'!C454,"")</f>
        <v/>
      </c>
      <c r="D445" s="67" t="str">
        <f>IF('LISTA DE PRECIOS'!$H454&gt;0,'LISTA DE PRECIOS'!D454,"")</f>
        <v/>
      </c>
      <c r="E445" t="str">
        <f>IF('LISTA DE PRECIOS'!$H454&gt;0,'LISTA DE PRECIOS'!E454,"")</f>
        <v/>
      </c>
      <c r="F445" t="str">
        <f>IF('LISTA DE PRECIOS'!$H454&gt;0,'LISTA DE PRECIOS'!F454,"")</f>
        <v/>
      </c>
      <c r="G445" s="31" t="str">
        <f>IF('LISTA DE PRECIOS'!$H454&gt;0,'LISTA DE PRECIOS'!G454,"")</f>
        <v/>
      </c>
      <c r="H445" s="67" t="str">
        <f>IF('LISTA DE PRECIOS'!$H454&gt;0,'LISTA DE PRECIOS'!H454,"")</f>
        <v/>
      </c>
      <c r="I445" s="31" t="str">
        <f t="shared" si="5"/>
        <v/>
      </c>
    </row>
    <row r="446" spans="1:9">
      <c r="A446" t="str">
        <f>IF('LISTA DE PRECIOS'!$H455&gt;0,'LISTA DE PRECIOS'!A455,"")</f>
        <v/>
      </c>
      <c r="B446" t="str">
        <f>IF('LISTA DE PRECIOS'!$H455&gt;0,'LISTA DE PRECIOS'!B455,"")</f>
        <v/>
      </c>
      <c r="C446" t="str">
        <f>IF('LISTA DE PRECIOS'!$H455&gt;0,'LISTA DE PRECIOS'!C455,"")</f>
        <v/>
      </c>
      <c r="D446" s="67" t="str">
        <f>IF('LISTA DE PRECIOS'!$H455&gt;0,'LISTA DE PRECIOS'!D455,"")</f>
        <v/>
      </c>
      <c r="E446" t="str">
        <f>IF('LISTA DE PRECIOS'!$H455&gt;0,'LISTA DE PRECIOS'!E455,"")</f>
        <v/>
      </c>
      <c r="F446" t="str">
        <f>IF('LISTA DE PRECIOS'!$H455&gt;0,'LISTA DE PRECIOS'!F455,"")</f>
        <v/>
      </c>
      <c r="G446" s="31" t="str">
        <f>IF('LISTA DE PRECIOS'!$H455&gt;0,'LISTA DE PRECIOS'!G455,"")</f>
        <v/>
      </c>
      <c r="H446" s="67" t="str">
        <f>IF('LISTA DE PRECIOS'!$H455&gt;0,'LISTA DE PRECIOS'!H455,"")</f>
        <v/>
      </c>
      <c r="I446" s="31" t="str">
        <f t="shared" si="5"/>
        <v/>
      </c>
    </row>
    <row r="447" spans="1:9">
      <c r="A447" t="str">
        <f>IF('LISTA DE PRECIOS'!$H456&gt;0,'LISTA DE PRECIOS'!A456,"")</f>
        <v/>
      </c>
      <c r="B447" t="str">
        <f>IF('LISTA DE PRECIOS'!$H456&gt;0,'LISTA DE PRECIOS'!B456,"")</f>
        <v/>
      </c>
      <c r="C447" t="str">
        <f>IF('LISTA DE PRECIOS'!$H456&gt;0,'LISTA DE PRECIOS'!C456,"")</f>
        <v/>
      </c>
      <c r="D447" s="67" t="str">
        <f>IF('LISTA DE PRECIOS'!$H456&gt;0,'LISTA DE PRECIOS'!D456,"")</f>
        <v/>
      </c>
      <c r="E447" t="str">
        <f>IF('LISTA DE PRECIOS'!$H456&gt;0,'LISTA DE PRECIOS'!E456,"")</f>
        <v/>
      </c>
      <c r="F447" t="str">
        <f>IF('LISTA DE PRECIOS'!$H456&gt;0,'LISTA DE PRECIOS'!F456,"")</f>
        <v/>
      </c>
      <c r="G447" s="31" t="str">
        <f>IF('LISTA DE PRECIOS'!$H456&gt;0,'LISTA DE PRECIOS'!G456,"")</f>
        <v/>
      </c>
      <c r="H447" s="67" t="str">
        <f>IF('LISTA DE PRECIOS'!$H456&gt;0,'LISTA DE PRECIOS'!H456,"")</f>
        <v/>
      </c>
      <c r="I447" s="31" t="str">
        <f t="shared" si="5"/>
        <v/>
      </c>
    </row>
    <row r="448" spans="1:9">
      <c r="A448" t="str">
        <f>IF('LISTA DE PRECIOS'!$H457&gt;0,'LISTA DE PRECIOS'!A457,"")</f>
        <v/>
      </c>
      <c r="B448" t="str">
        <f>IF('LISTA DE PRECIOS'!$H457&gt;0,'LISTA DE PRECIOS'!B457,"")</f>
        <v/>
      </c>
      <c r="C448" t="str">
        <f>IF('LISTA DE PRECIOS'!$H457&gt;0,'LISTA DE PRECIOS'!C457,"")</f>
        <v/>
      </c>
      <c r="D448" s="67" t="str">
        <f>IF('LISTA DE PRECIOS'!$H457&gt;0,'LISTA DE PRECIOS'!D457,"")</f>
        <v/>
      </c>
      <c r="E448" t="str">
        <f>IF('LISTA DE PRECIOS'!$H457&gt;0,'LISTA DE PRECIOS'!E457,"")</f>
        <v/>
      </c>
      <c r="F448" t="str">
        <f>IF('LISTA DE PRECIOS'!$H457&gt;0,'LISTA DE PRECIOS'!F457,"")</f>
        <v/>
      </c>
      <c r="G448" s="31" t="str">
        <f>IF('LISTA DE PRECIOS'!$H457&gt;0,'LISTA DE PRECIOS'!G457,"")</f>
        <v/>
      </c>
      <c r="H448" s="67" t="str">
        <f>IF('LISTA DE PRECIOS'!$H457&gt;0,'LISTA DE PRECIOS'!H457,"")</f>
        <v/>
      </c>
      <c r="I448" s="31" t="str">
        <f t="shared" si="5"/>
        <v/>
      </c>
    </row>
    <row r="449" spans="1:9">
      <c r="A449" t="str">
        <f>IF('LISTA DE PRECIOS'!$H458&gt;0,'LISTA DE PRECIOS'!A458,"")</f>
        <v/>
      </c>
      <c r="B449" t="str">
        <f>IF('LISTA DE PRECIOS'!$H458&gt;0,'LISTA DE PRECIOS'!B458,"")</f>
        <v/>
      </c>
      <c r="C449" t="str">
        <f>IF('LISTA DE PRECIOS'!$H458&gt;0,'LISTA DE PRECIOS'!C458,"")</f>
        <v/>
      </c>
      <c r="D449" s="67" t="str">
        <f>IF('LISTA DE PRECIOS'!$H458&gt;0,'LISTA DE PRECIOS'!D458,"")</f>
        <v/>
      </c>
      <c r="E449" t="str">
        <f>IF('LISTA DE PRECIOS'!$H458&gt;0,'LISTA DE PRECIOS'!E458,"")</f>
        <v/>
      </c>
      <c r="F449" t="str">
        <f>IF('LISTA DE PRECIOS'!$H458&gt;0,'LISTA DE PRECIOS'!F458,"")</f>
        <v/>
      </c>
      <c r="G449" s="31" t="str">
        <f>IF('LISTA DE PRECIOS'!$H458&gt;0,'LISTA DE PRECIOS'!G458,"")</f>
        <v/>
      </c>
      <c r="H449" s="67" t="str">
        <f>IF('LISTA DE PRECIOS'!$H458&gt;0,'LISTA DE PRECIOS'!H458,"")</f>
        <v/>
      </c>
      <c r="I449" s="31" t="str">
        <f t="shared" si="5"/>
        <v/>
      </c>
    </row>
    <row r="450" spans="1:9">
      <c r="A450" t="str">
        <f>IF('LISTA DE PRECIOS'!$H459&gt;0,'LISTA DE PRECIOS'!A459,"")</f>
        <v/>
      </c>
      <c r="B450" t="str">
        <f>IF('LISTA DE PRECIOS'!$H459&gt;0,'LISTA DE PRECIOS'!B459,"")</f>
        <v/>
      </c>
      <c r="C450" t="str">
        <f>IF('LISTA DE PRECIOS'!$H459&gt;0,'LISTA DE PRECIOS'!C459,"")</f>
        <v/>
      </c>
      <c r="D450" s="67" t="str">
        <f>IF('LISTA DE PRECIOS'!$H459&gt;0,'LISTA DE PRECIOS'!D459,"")</f>
        <v/>
      </c>
      <c r="E450" t="str">
        <f>IF('LISTA DE PRECIOS'!$H459&gt;0,'LISTA DE PRECIOS'!E459,"")</f>
        <v/>
      </c>
      <c r="F450" t="str">
        <f>IF('LISTA DE PRECIOS'!$H459&gt;0,'LISTA DE PRECIOS'!F459,"")</f>
        <v/>
      </c>
      <c r="G450" s="31" t="str">
        <f>IF('LISTA DE PRECIOS'!$H459&gt;0,'LISTA DE PRECIOS'!G459,"")</f>
        <v/>
      </c>
      <c r="H450" s="67" t="str">
        <f>IF('LISTA DE PRECIOS'!$H459&gt;0,'LISTA DE PRECIOS'!H459,"")</f>
        <v/>
      </c>
      <c r="I450" s="31" t="str">
        <f t="shared" si="5"/>
        <v/>
      </c>
    </row>
    <row r="451" spans="1:9">
      <c r="A451" t="str">
        <f>IF('LISTA DE PRECIOS'!$H460&gt;0,'LISTA DE PRECIOS'!A460,"")</f>
        <v/>
      </c>
      <c r="B451" t="str">
        <f>IF('LISTA DE PRECIOS'!$H460&gt;0,'LISTA DE PRECIOS'!B460,"")</f>
        <v/>
      </c>
      <c r="C451" t="str">
        <f>IF('LISTA DE PRECIOS'!$H460&gt;0,'LISTA DE PRECIOS'!C460,"")</f>
        <v/>
      </c>
      <c r="D451" s="67" t="str">
        <f>IF('LISTA DE PRECIOS'!$H460&gt;0,'LISTA DE PRECIOS'!D460,"")</f>
        <v/>
      </c>
      <c r="E451" t="str">
        <f>IF('LISTA DE PRECIOS'!$H460&gt;0,'LISTA DE PRECIOS'!E460,"")</f>
        <v/>
      </c>
      <c r="F451" t="str">
        <f>IF('LISTA DE PRECIOS'!$H460&gt;0,'LISTA DE PRECIOS'!F460,"")</f>
        <v/>
      </c>
      <c r="G451" s="31" t="str">
        <f>IF('LISTA DE PRECIOS'!$H460&gt;0,'LISTA DE PRECIOS'!G460,"")</f>
        <v/>
      </c>
      <c r="H451" s="67" t="str">
        <f>IF('LISTA DE PRECIOS'!$H460&gt;0,'LISTA DE PRECIOS'!H460,"")</f>
        <v/>
      </c>
      <c r="I451" s="31" t="str">
        <f t="shared" si="5"/>
        <v/>
      </c>
    </row>
    <row r="452" spans="1:9">
      <c r="A452" t="str">
        <f>IF('LISTA DE PRECIOS'!$H461&gt;0,'LISTA DE PRECIOS'!A461,"")</f>
        <v/>
      </c>
      <c r="B452" t="str">
        <f>IF('LISTA DE PRECIOS'!$H461&gt;0,'LISTA DE PRECIOS'!B461,"")</f>
        <v/>
      </c>
      <c r="C452" t="str">
        <f>IF('LISTA DE PRECIOS'!$H461&gt;0,'LISTA DE PRECIOS'!C461,"")</f>
        <v/>
      </c>
      <c r="D452" s="67" t="str">
        <f>IF('LISTA DE PRECIOS'!$H461&gt;0,'LISTA DE PRECIOS'!D461,"")</f>
        <v/>
      </c>
      <c r="E452" t="str">
        <f>IF('LISTA DE PRECIOS'!$H461&gt;0,'LISTA DE PRECIOS'!E461,"")</f>
        <v/>
      </c>
      <c r="F452" t="str">
        <f>IF('LISTA DE PRECIOS'!$H461&gt;0,'LISTA DE PRECIOS'!F461,"")</f>
        <v/>
      </c>
      <c r="G452" s="31" t="str">
        <f>IF('LISTA DE PRECIOS'!$H461&gt;0,'LISTA DE PRECIOS'!G461,"")</f>
        <v/>
      </c>
      <c r="H452" s="67" t="str">
        <f>IF('LISTA DE PRECIOS'!$H461&gt;0,'LISTA DE PRECIOS'!H461,"")</f>
        <v/>
      </c>
      <c r="I452" s="31" t="str">
        <f t="shared" si="5"/>
        <v/>
      </c>
    </row>
    <row r="453" spans="1:9">
      <c r="A453" t="str">
        <f>IF('LISTA DE PRECIOS'!$H462&gt;0,'LISTA DE PRECIOS'!A462,"")</f>
        <v/>
      </c>
      <c r="B453" t="str">
        <f>IF('LISTA DE PRECIOS'!$H462&gt;0,'LISTA DE PRECIOS'!B462,"")</f>
        <v/>
      </c>
      <c r="C453" t="str">
        <f>IF('LISTA DE PRECIOS'!$H462&gt;0,'LISTA DE PRECIOS'!C462,"")</f>
        <v/>
      </c>
      <c r="D453" s="67" t="str">
        <f>IF('LISTA DE PRECIOS'!$H462&gt;0,'LISTA DE PRECIOS'!D462,"")</f>
        <v/>
      </c>
      <c r="E453" t="str">
        <f>IF('LISTA DE PRECIOS'!$H462&gt;0,'LISTA DE PRECIOS'!E462,"")</f>
        <v/>
      </c>
      <c r="F453" t="str">
        <f>IF('LISTA DE PRECIOS'!$H462&gt;0,'LISTA DE PRECIOS'!F462,"")</f>
        <v/>
      </c>
      <c r="G453" s="31" t="str">
        <f>IF('LISTA DE PRECIOS'!$H462&gt;0,'LISTA DE PRECIOS'!G462,"")</f>
        <v/>
      </c>
      <c r="H453" s="67" t="str">
        <f>IF('LISTA DE PRECIOS'!$H462&gt;0,'LISTA DE PRECIOS'!H462,"")</f>
        <v/>
      </c>
      <c r="I453" s="31" t="str">
        <f t="shared" si="5"/>
        <v/>
      </c>
    </row>
    <row r="454" spans="1:9">
      <c r="A454" t="str">
        <f>IF('LISTA DE PRECIOS'!$H463&gt;0,'LISTA DE PRECIOS'!A463,"")</f>
        <v/>
      </c>
      <c r="B454" t="str">
        <f>IF('LISTA DE PRECIOS'!$H463&gt;0,'LISTA DE PRECIOS'!B463,"")</f>
        <v/>
      </c>
      <c r="C454" t="str">
        <f>IF('LISTA DE PRECIOS'!$H463&gt;0,'LISTA DE PRECIOS'!C463,"")</f>
        <v/>
      </c>
      <c r="D454" s="67" t="str">
        <f>IF('LISTA DE PRECIOS'!$H463&gt;0,'LISTA DE PRECIOS'!D463,"")</f>
        <v/>
      </c>
      <c r="E454" t="str">
        <f>IF('LISTA DE PRECIOS'!$H463&gt;0,'LISTA DE PRECIOS'!E463,"")</f>
        <v/>
      </c>
      <c r="F454" t="str">
        <f>IF('LISTA DE PRECIOS'!$H463&gt;0,'LISTA DE PRECIOS'!F463,"")</f>
        <v/>
      </c>
      <c r="G454" s="31" t="str">
        <f>IF('LISTA DE PRECIOS'!$H463&gt;0,'LISTA DE PRECIOS'!G463,"")</f>
        <v/>
      </c>
      <c r="H454" s="67" t="str">
        <f>IF('LISTA DE PRECIOS'!$H463&gt;0,'LISTA DE PRECIOS'!H463,"")</f>
        <v/>
      </c>
      <c r="I454" s="31" t="str">
        <f t="shared" si="5"/>
        <v/>
      </c>
    </row>
    <row r="455" spans="1:9">
      <c r="A455" t="str">
        <f>IF('LISTA DE PRECIOS'!$H464&gt;0,'LISTA DE PRECIOS'!A464,"")</f>
        <v/>
      </c>
      <c r="B455" t="str">
        <f>IF('LISTA DE PRECIOS'!$H464&gt;0,'LISTA DE PRECIOS'!B464,"")</f>
        <v/>
      </c>
      <c r="C455" t="str">
        <f>IF('LISTA DE PRECIOS'!$H464&gt;0,'LISTA DE PRECIOS'!C464,"")</f>
        <v/>
      </c>
      <c r="D455" s="67" t="str">
        <f>IF('LISTA DE PRECIOS'!$H464&gt;0,'LISTA DE PRECIOS'!D464,"")</f>
        <v/>
      </c>
      <c r="E455" t="str">
        <f>IF('LISTA DE PRECIOS'!$H464&gt;0,'LISTA DE PRECIOS'!E464,"")</f>
        <v/>
      </c>
      <c r="F455" t="str">
        <f>IF('LISTA DE PRECIOS'!$H464&gt;0,'LISTA DE PRECIOS'!F464,"")</f>
        <v/>
      </c>
      <c r="G455" s="31" t="str">
        <f>IF('LISTA DE PRECIOS'!$H464&gt;0,'LISTA DE PRECIOS'!G464,"")</f>
        <v/>
      </c>
      <c r="H455" s="67" t="str">
        <f>IF('LISTA DE PRECIOS'!$H464&gt;0,'LISTA DE PRECIOS'!H464,"")</f>
        <v/>
      </c>
      <c r="I455" s="31" t="str">
        <f t="shared" si="5"/>
        <v/>
      </c>
    </row>
    <row r="456" spans="1:9">
      <c r="A456" t="str">
        <f>IF('LISTA DE PRECIOS'!$H465&gt;0,'LISTA DE PRECIOS'!A465,"")</f>
        <v/>
      </c>
      <c r="B456" t="str">
        <f>IF('LISTA DE PRECIOS'!$H465&gt;0,'LISTA DE PRECIOS'!B465,"")</f>
        <v/>
      </c>
      <c r="C456" t="str">
        <f>IF('LISTA DE PRECIOS'!$H465&gt;0,'LISTA DE PRECIOS'!C465,"")</f>
        <v/>
      </c>
      <c r="D456" s="67" t="str">
        <f>IF('LISTA DE PRECIOS'!$H465&gt;0,'LISTA DE PRECIOS'!D465,"")</f>
        <v/>
      </c>
      <c r="E456" t="str">
        <f>IF('LISTA DE PRECIOS'!$H465&gt;0,'LISTA DE PRECIOS'!E465,"")</f>
        <v/>
      </c>
      <c r="F456" t="str">
        <f>IF('LISTA DE PRECIOS'!$H465&gt;0,'LISTA DE PRECIOS'!F465,"")</f>
        <v/>
      </c>
      <c r="G456" s="31" t="str">
        <f>IF('LISTA DE PRECIOS'!$H465&gt;0,'LISTA DE PRECIOS'!G465,"")</f>
        <v/>
      </c>
      <c r="H456" s="67" t="str">
        <f>IF('LISTA DE PRECIOS'!$H465&gt;0,'LISTA DE PRECIOS'!H465,"")</f>
        <v/>
      </c>
      <c r="I456" s="31" t="str">
        <f t="shared" si="5"/>
        <v/>
      </c>
    </row>
    <row r="457" spans="1:9">
      <c r="A457" t="str">
        <f>IF('LISTA DE PRECIOS'!$H466&gt;0,'LISTA DE PRECIOS'!A466,"")</f>
        <v/>
      </c>
      <c r="B457" t="str">
        <f>IF('LISTA DE PRECIOS'!$H466&gt;0,'LISTA DE PRECIOS'!B466,"")</f>
        <v/>
      </c>
      <c r="C457" t="str">
        <f>IF('LISTA DE PRECIOS'!$H466&gt;0,'LISTA DE PRECIOS'!C466,"")</f>
        <v/>
      </c>
      <c r="D457" s="67" t="str">
        <f>IF('LISTA DE PRECIOS'!$H466&gt;0,'LISTA DE PRECIOS'!D466,"")</f>
        <v/>
      </c>
      <c r="E457" t="str">
        <f>IF('LISTA DE PRECIOS'!$H466&gt;0,'LISTA DE PRECIOS'!E466,"")</f>
        <v/>
      </c>
      <c r="F457" t="str">
        <f>IF('LISTA DE PRECIOS'!$H466&gt;0,'LISTA DE PRECIOS'!F466,"")</f>
        <v/>
      </c>
      <c r="G457" s="31" t="str">
        <f>IF('LISTA DE PRECIOS'!$H466&gt;0,'LISTA DE PRECIOS'!G466,"")</f>
        <v/>
      </c>
      <c r="H457" s="67" t="str">
        <f>IF('LISTA DE PRECIOS'!$H466&gt;0,'LISTA DE PRECIOS'!H466,"")</f>
        <v/>
      </c>
      <c r="I457" s="31" t="str">
        <f t="shared" si="5"/>
        <v/>
      </c>
    </row>
    <row r="458" spans="1:9">
      <c r="A458" t="str">
        <f>IF('LISTA DE PRECIOS'!$H467&gt;0,'LISTA DE PRECIOS'!A467,"")</f>
        <v/>
      </c>
      <c r="B458" t="str">
        <f>IF('LISTA DE PRECIOS'!$H467&gt;0,'LISTA DE PRECIOS'!B467,"")</f>
        <v/>
      </c>
      <c r="C458" t="str">
        <f>IF('LISTA DE PRECIOS'!$H467&gt;0,'LISTA DE PRECIOS'!C467,"")</f>
        <v/>
      </c>
      <c r="D458" s="67" t="str">
        <f>IF('LISTA DE PRECIOS'!$H467&gt;0,'LISTA DE PRECIOS'!D467,"")</f>
        <v/>
      </c>
      <c r="E458" t="str">
        <f>IF('LISTA DE PRECIOS'!$H467&gt;0,'LISTA DE PRECIOS'!E467,"")</f>
        <v/>
      </c>
      <c r="F458" t="str">
        <f>IF('LISTA DE PRECIOS'!$H467&gt;0,'LISTA DE PRECIOS'!F467,"")</f>
        <v/>
      </c>
      <c r="G458" s="31" t="str">
        <f>IF('LISTA DE PRECIOS'!$H467&gt;0,'LISTA DE PRECIOS'!G467,"")</f>
        <v/>
      </c>
      <c r="H458" s="67" t="str">
        <f>IF('LISTA DE PRECIOS'!$H467&gt;0,'LISTA DE PRECIOS'!H467,"")</f>
        <v/>
      </c>
      <c r="I458" s="31" t="str">
        <f t="shared" si="5"/>
        <v/>
      </c>
    </row>
    <row r="459" spans="1:9">
      <c r="A459" t="str">
        <f>IF('LISTA DE PRECIOS'!$H468&gt;0,'LISTA DE PRECIOS'!A468,"")</f>
        <v/>
      </c>
      <c r="B459" t="str">
        <f>IF('LISTA DE PRECIOS'!$H468&gt;0,'LISTA DE PRECIOS'!B468,"")</f>
        <v/>
      </c>
      <c r="C459" t="str">
        <f>IF('LISTA DE PRECIOS'!$H468&gt;0,'LISTA DE PRECIOS'!C468,"")</f>
        <v/>
      </c>
      <c r="D459" s="67" t="str">
        <f>IF('LISTA DE PRECIOS'!$H468&gt;0,'LISTA DE PRECIOS'!D468,"")</f>
        <v/>
      </c>
      <c r="E459" t="str">
        <f>IF('LISTA DE PRECIOS'!$H468&gt;0,'LISTA DE PRECIOS'!E468,"")</f>
        <v/>
      </c>
      <c r="F459" t="str">
        <f>IF('LISTA DE PRECIOS'!$H468&gt;0,'LISTA DE PRECIOS'!F468,"")</f>
        <v/>
      </c>
      <c r="G459" s="31" t="str">
        <f>IF('LISTA DE PRECIOS'!$H468&gt;0,'LISTA DE PRECIOS'!G468,"")</f>
        <v/>
      </c>
      <c r="H459" s="67" t="str">
        <f>IF('LISTA DE PRECIOS'!$H468&gt;0,'LISTA DE PRECIOS'!H468,"")</f>
        <v/>
      </c>
      <c r="I459" s="31" t="str">
        <f t="shared" si="5"/>
        <v/>
      </c>
    </row>
    <row r="460" spans="1:9">
      <c r="A460" t="str">
        <f>IF('LISTA DE PRECIOS'!$H469&gt;0,'LISTA DE PRECIOS'!A469,"")</f>
        <v/>
      </c>
      <c r="B460" t="str">
        <f>IF('LISTA DE PRECIOS'!$H469&gt;0,'LISTA DE PRECIOS'!B469,"")</f>
        <v/>
      </c>
      <c r="C460" t="str">
        <f>IF('LISTA DE PRECIOS'!$H469&gt;0,'LISTA DE PRECIOS'!C469,"")</f>
        <v/>
      </c>
      <c r="D460" s="67" t="str">
        <f>IF('LISTA DE PRECIOS'!$H469&gt;0,'LISTA DE PRECIOS'!D469,"")</f>
        <v/>
      </c>
      <c r="E460" t="str">
        <f>IF('LISTA DE PRECIOS'!$H469&gt;0,'LISTA DE PRECIOS'!E469,"")</f>
        <v/>
      </c>
      <c r="F460" t="str">
        <f>IF('LISTA DE PRECIOS'!$H469&gt;0,'LISTA DE PRECIOS'!F469,"")</f>
        <v/>
      </c>
      <c r="G460" s="31" t="str">
        <f>IF('LISTA DE PRECIOS'!$H469&gt;0,'LISTA DE PRECIOS'!G469,"")</f>
        <v/>
      </c>
      <c r="H460" s="67" t="str">
        <f>IF('LISTA DE PRECIOS'!$H469&gt;0,'LISTA DE PRECIOS'!H469,"")</f>
        <v/>
      </c>
      <c r="I460" s="31" t="str">
        <f t="shared" si="5"/>
        <v/>
      </c>
    </row>
    <row r="461" spans="1:9">
      <c r="A461" t="str">
        <f>IF('LISTA DE PRECIOS'!$H470&gt;0,'LISTA DE PRECIOS'!A470,"")</f>
        <v/>
      </c>
      <c r="B461" t="str">
        <f>IF('LISTA DE PRECIOS'!$H470&gt;0,'LISTA DE PRECIOS'!B470,"")</f>
        <v/>
      </c>
      <c r="C461" t="str">
        <f>IF('LISTA DE PRECIOS'!$H470&gt;0,'LISTA DE PRECIOS'!C470,"")</f>
        <v/>
      </c>
      <c r="D461" s="67" t="str">
        <f>IF('LISTA DE PRECIOS'!$H470&gt;0,'LISTA DE PRECIOS'!D470,"")</f>
        <v/>
      </c>
      <c r="E461" t="str">
        <f>IF('LISTA DE PRECIOS'!$H470&gt;0,'LISTA DE PRECIOS'!E470,"")</f>
        <v/>
      </c>
      <c r="F461" t="str">
        <f>IF('LISTA DE PRECIOS'!$H470&gt;0,'LISTA DE PRECIOS'!F470,"")</f>
        <v/>
      </c>
      <c r="G461" s="31" t="str">
        <f>IF('LISTA DE PRECIOS'!$H470&gt;0,'LISTA DE PRECIOS'!G470,"")</f>
        <v/>
      </c>
      <c r="H461" s="67" t="str">
        <f>IF('LISTA DE PRECIOS'!$H470&gt;0,'LISTA DE PRECIOS'!H470,"")</f>
        <v/>
      </c>
      <c r="I461" s="31" t="str">
        <f t="shared" si="5"/>
        <v/>
      </c>
    </row>
    <row r="462" spans="1:9">
      <c r="A462" t="str">
        <f>IF('LISTA DE PRECIOS'!$H471&gt;0,'LISTA DE PRECIOS'!A471,"")</f>
        <v/>
      </c>
      <c r="B462" t="str">
        <f>IF('LISTA DE PRECIOS'!$H471&gt;0,'LISTA DE PRECIOS'!B471,"")</f>
        <v/>
      </c>
      <c r="C462" t="str">
        <f>IF('LISTA DE PRECIOS'!$H471&gt;0,'LISTA DE PRECIOS'!C471,"")</f>
        <v/>
      </c>
      <c r="D462" s="67" t="str">
        <f>IF('LISTA DE PRECIOS'!$H471&gt;0,'LISTA DE PRECIOS'!D471,"")</f>
        <v/>
      </c>
      <c r="E462" t="str">
        <f>IF('LISTA DE PRECIOS'!$H471&gt;0,'LISTA DE PRECIOS'!E471,"")</f>
        <v/>
      </c>
      <c r="F462" t="str">
        <f>IF('LISTA DE PRECIOS'!$H471&gt;0,'LISTA DE PRECIOS'!F471,"")</f>
        <v/>
      </c>
      <c r="G462" s="31" t="str">
        <f>IF('LISTA DE PRECIOS'!$H471&gt;0,'LISTA DE PRECIOS'!G471,"")</f>
        <v/>
      </c>
      <c r="H462" s="67" t="str">
        <f>IF('LISTA DE PRECIOS'!$H471&gt;0,'LISTA DE PRECIOS'!H471,"")</f>
        <v/>
      </c>
      <c r="I462" s="31" t="str">
        <f t="shared" si="5"/>
        <v/>
      </c>
    </row>
    <row r="463" spans="1:9">
      <c r="A463" t="str">
        <f>IF('LISTA DE PRECIOS'!$H472&gt;0,'LISTA DE PRECIOS'!A472,"")</f>
        <v/>
      </c>
      <c r="B463" t="str">
        <f>IF('LISTA DE PRECIOS'!$H472&gt;0,'LISTA DE PRECIOS'!B472,"")</f>
        <v/>
      </c>
      <c r="C463" t="str">
        <f>IF('LISTA DE PRECIOS'!$H472&gt;0,'LISTA DE PRECIOS'!C472,"")</f>
        <v/>
      </c>
      <c r="D463" s="67" t="str">
        <f>IF('LISTA DE PRECIOS'!$H472&gt;0,'LISTA DE PRECIOS'!D472,"")</f>
        <v/>
      </c>
      <c r="E463" t="str">
        <f>IF('LISTA DE PRECIOS'!$H472&gt;0,'LISTA DE PRECIOS'!E472,"")</f>
        <v/>
      </c>
      <c r="F463" t="str">
        <f>IF('LISTA DE PRECIOS'!$H472&gt;0,'LISTA DE PRECIOS'!F472,"")</f>
        <v/>
      </c>
      <c r="G463" s="31" t="str">
        <f>IF('LISTA DE PRECIOS'!$H472&gt;0,'LISTA DE PRECIOS'!G472,"")</f>
        <v/>
      </c>
      <c r="H463" s="67" t="str">
        <f>IF('LISTA DE PRECIOS'!$H472&gt;0,'LISTA DE PRECIOS'!H472,"")</f>
        <v/>
      </c>
      <c r="I463" s="31" t="str">
        <f t="shared" si="5"/>
        <v/>
      </c>
    </row>
    <row r="464" spans="1:9">
      <c r="A464" t="str">
        <f>IF('LISTA DE PRECIOS'!$H473&gt;0,'LISTA DE PRECIOS'!A473,"")</f>
        <v/>
      </c>
      <c r="B464" t="str">
        <f>IF('LISTA DE PRECIOS'!$H473&gt;0,'LISTA DE PRECIOS'!B473,"")</f>
        <v/>
      </c>
      <c r="C464" t="str">
        <f>IF('LISTA DE PRECIOS'!$H473&gt;0,'LISTA DE PRECIOS'!C473,"")</f>
        <v/>
      </c>
      <c r="D464" s="67" t="str">
        <f>IF('LISTA DE PRECIOS'!$H473&gt;0,'LISTA DE PRECIOS'!D473,"")</f>
        <v/>
      </c>
      <c r="E464" t="str">
        <f>IF('LISTA DE PRECIOS'!$H473&gt;0,'LISTA DE PRECIOS'!E473,"")</f>
        <v/>
      </c>
      <c r="F464" t="str">
        <f>IF('LISTA DE PRECIOS'!$H473&gt;0,'LISTA DE PRECIOS'!F473,"")</f>
        <v/>
      </c>
      <c r="G464" s="31" t="str">
        <f>IF('LISTA DE PRECIOS'!$H473&gt;0,'LISTA DE PRECIOS'!G473,"")</f>
        <v/>
      </c>
      <c r="H464" s="67" t="str">
        <f>IF('LISTA DE PRECIOS'!$H473&gt;0,'LISTA DE PRECIOS'!H473,"")</f>
        <v/>
      </c>
      <c r="I464" s="31" t="str">
        <f t="shared" si="5"/>
        <v/>
      </c>
    </row>
    <row r="465" spans="1:9">
      <c r="A465" t="str">
        <f>IF('LISTA DE PRECIOS'!$H474&gt;0,'LISTA DE PRECIOS'!A474,"")</f>
        <v/>
      </c>
      <c r="B465" t="str">
        <f>IF('LISTA DE PRECIOS'!$H474&gt;0,'LISTA DE PRECIOS'!B474,"")</f>
        <v/>
      </c>
      <c r="C465" t="str">
        <f>IF('LISTA DE PRECIOS'!$H474&gt;0,'LISTA DE PRECIOS'!C474,"")</f>
        <v/>
      </c>
      <c r="D465" s="67" t="str">
        <f>IF('LISTA DE PRECIOS'!$H474&gt;0,'LISTA DE PRECIOS'!D474,"")</f>
        <v/>
      </c>
      <c r="E465" t="str">
        <f>IF('LISTA DE PRECIOS'!$H474&gt;0,'LISTA DE PRECIOS'!E474,"")</f>
        <v/>
      </c>
      <c r="F465" t="str">
        <f>IF('LISTA DE PRECIOS'!$H474&gt;0,'LISTA DE PRECIOS'!F474,"")</f>
        <v/>
      </c>
      <c r="G465" s="31" t="str">
        <f>IF('LISTA DE PRECIOS'!$H474&gt;0,'LISTA DE PRECIOS'!G474,"")</f>
        <v/>
      </c>
      <c r="H465" s="67" t="str">
        <f>IF('LISTA DE PRECIOS'!$H474&gt;0,'LISTA DE PRECIOS'!H474,"")</f>
        <v/>
      </c>
      <c r="I465" s="31" t="str">
        <f t="shared" ref="I465:I528" si="6">IF(OR(G465="",H465=""),"",G465*H465)</f>
        <v/>
      </c>
    </row>
    <row r="466" spans="1:9">
      <c r="A466" t="str">
        <f>IF('LISTA DE PRECIOS'!$H475&gt;0,'LISTA DE PRECIOS'!A475,"")</f>
        <v/>
      </c>
      <c r="B466" t="str">
        <f>IF('LISTA DE PRECIOS'!$H475&gt;0,'LISTA DE PRECIOS'!B475,"")</f>
        <v/>
      </c>
      <c r="C466" t="str">
        <f>IF('LISTA DE PRECIOS'!$H475&gt;0,'LISTA DE PRECIOS'!C475,"")</f>
        <v/>
      </c>
      <c r="D466" s="67" t="str">
        <f>IF('LISTA DE PRECIOS'!$H475&gt;0,'LISTA DE PRECIOS'!D475,"")</f>
        <v/>
      </c>
      <c r="E466" t="str">
        <f>IF('LISTA DE PRECIOS'!$H475&gt;0,'LISTA DE PRECIOS'!E475,"")</f>
        <v/>
      </c>
      <c r="F466" t="str">
        <f>IF('LISTA DE PRECIOS'!$H475&gt;0,'LISTA DE PRECIOS'!F475,"")</f>
        <v/>
      </c>
      <c r="G466" s="31" t="str">
        <f>IF('LISTA DE PRECIOS'!$H475&gt;0,'LISTA DE PRECIOS'!G475,"")</f>
        <v/>
      </c>
      <c r="H466" s="67" t="str">
        <f>IF('LISTA DE PRECIOS'!$H475&gt;0,'LISTA DE PRECIOS'!H475,"")</f>
        <v/>
      </c>
      <c r="I466" s="31" t="str">
        <f t="shared" si="6"/>
        <v/>
      </c>
    </row>
    <row r="467" spans="1:9">
      <c r="A467" t="str">
        <f>IF('LISTA DE PRECIOS'!$H476&gt;0,'LISTA DE PRECIOS'!A476,"")</f>
        <v/>
      </c>
      <c r="B467" t="str">
        <f>IF('LISTA DE PRECIOS'!$H476&gt;0,'LISTA DE PRECIOS'!B476,"")</f>
        <v/>
      </c>
      <c r="C467" t="str">
        <f>IF('LISTA DE PRECIOS'!$H476&gt;0,'LISTA DE PRECIOS'!C476,"")</f>
        <v/>
      </c>
      <c r="D467" s="67" t="str">
        <f>IF('LISTA DE PRECIOS'!$H476&gt;0,'LISTA DE PRECIOS'!D476,"")</f>
        <v/>
      </c>
      <c r="E467" t="str">
        <f>IF('LISTA DE PRECIOS'!$H476&gt;0,'LISTA DE PRECIOS'!E476,"")</f>
        <v/>
      </c>
      <c r="F467" t="str">
        <f>IF('LISTA DE PRECIOS'!$H476&gt;0,'LISTA DE PRECIOS'!F476,"")</f>
        <v/>
      </c>
      <c r="G467" s="31" t="str">
        <f>IF('LISTA DE PRECIOS'!$H476&gt;0,'LISTA DE PRECIOS'!G476,"")</f>
        <v/>
      </c>
      <c r="H467" s="67" t="str">
        <f>IF('LISTA DE PRECIOS'!$H476&gt;0,'LISTA DE PRECIOS'!H476,"")</f>
        <v/>
      </c>
      <c r="I467" s="31" t="str">
        <f t="shared" si="6"/>
        <v/>
      </c>
    </row>
    <row r="468" spans="1:9">
      <c r="A468" t="str">
        <f>IF('LISTA DE PRECIOS'!$H477&gt;0,'LISTA DE PRECIOS'!A477,"")</f>
        <v/>
      </c>
      <c r="B468" t="str">
        <f>IF('LISTA DE PRECIOS'!$H477&gt;0,'LISTA DE PRECIOS'!B477,"")</f>
        <v/>
      </c>
      <c r="C468" t="str">
        <f>IF('LISTA DE PRECIOS'!$H477&gt;0,'LISTA DE PRECIOS'!C477,"")</f>
        <v/>
      </c>
      <c r="D468" s="67" t="str">
        <f>IF('LISTA DE PRECIOS'!$H477&gt;0,'LISTA DE PRECIOS'!D477,"")</f>
        <v/>
      </c>
      <c r="E468" t="str">
        <f>IF('LISTA DE PRECIOS'!$H477&gt;0,'LISTA DE PRECIOS'!E477,"")</f>
        <v/>
      </c>
      <c r="F468" t="str">
        <f>IF('LISTA DE PRECIOS'!$H477&gt;0,'LISTA DE PRECIOS'!F477,"")</f>
        <v/>
      </c>
      <c r="G468" s="31" t="str">
        <f>IF('LISTA DE PRECIOS'!$H477&gt;0,'LISTA DE PRECIOS'!G477,"")</f>
        <v/>
      </c>
      <c r="H468" s="67" t="str">
        <f>IF('LISTA DE PRECIOS'!$H477&gt;0,'LISTA DE PRECIOS'!H477,"")</f>
        <v/>
      </c>
      <c r="I468" s="31" t="str">
        <f t="shared" si="6"/>
        <v/>
      </c>
    </row>
    <row r="469" spans="1:9">
      <c r="A469" t="str">
        <f>IF('LISTA DE PRECIOS'!$H478&gt;0,'LISTA DE PRECIOS'!A478,"")</f>
        <v/>
      </c>
      <c r="B469" t="str">
        <f>IF('LISTA DE PRECIOS'!$H478&gt;0,'LISTA DE PRECIOS'!B478,"")</f>
        <v/>
      </c>
      <c r="C469" t="str">
        <f>IF('LISTA DE PRECIOS'!$H478&gt;0,'LISTA DE PRECIOS'!C478,"")</f>
        <v/>
      </c>
      <c r="D469" s="67" t="str">
        <f>IF('LISTA DE PRECIOS'!$H478&gt;0,'LISTA DE PRECIOS'!D478,"")</f>
        <v/>
      </c>
      <c r="E469" t="str">
        <f>IF('LISTA DE PRECIOS'!$H478&gt;0,'LISTA DE PRECIOS'!E478,"")</f>
        <v/>
      </c>
      <c r="F469" t="str">
        <f>IF('LISTA DE PRECIOS'!$H478&gt;0,'LISTA DE PRECIOS'!F478,"")</f>
        <v/>
      </c>
      <c r="G469" s="31" t="str">
        <f>IF('LISTA DE PRECIOS'!$H478&gt;0,'LISTA DE PRECIOS'!G478,"")</f>
        <v/>
      </c>
      <c r="H469" s="67" t="str">
        <f>IF('LISTA DE PRECIOS'!$H478&gt;0,'LISTA DE PRECIOS'!H478,"")</f>
        <v/>
      </c>
      <c r="I469" s="31" t="str">
        <f t="shared" si="6"/>
        <v/>
      </c>
    </row>
    <row r="470" spans="1:9">
      <c r="A470" t="str">
        <f>IF('LISTA DE PRECIOS'!$H479&gt;0,'LISTA DE PRECIOS'!A479,"")</f>
        <v/>
      </c>
      <c r="B470" t="str">
        <f>IF('LISTA DE PRECIOS'!$H479&gt;0,'LISTA DE PRECIOS'!B479,"")</f>
        <v/>
      </c>
      <c r="C470" t="str">
        <f>IF('LISTA DE PRECIOS'!$H479&gt;0,'LISTA DE PRECIOS'!C479,"")</f>
        <v/>
      </c>
      <c r="D470" s="67" t="str">
        <f>IF('LISTA DE PRECIOS'!$H479&gt;0,'LISTA DE PRECIOS'!D479,"")</f>
        <v/>
      </c>
      <c r="E470" t="str">
        <f>IF('LISTA DE PRECIOS'!$H479&gt;0,'LISTA DE PRECIOS'!E479,"")</f>
        <v/>
      </c>
      <c r="F470" t="str">
        <f>IF('LISTA DE PRECIOS'!$H479&gt;0,'LISTA DE PRECIOS'!F479,"")</f>
        <v/>
      </c>
      <c r="G470" s="31" t="str">
        <f>IF('LISTA DE PRECIOS'!$H479&gt;0,'LISTA DE PRECIOS'!G479,"")</f>
        <v/>
      </c>
      <c r="H470" s="67" t="str">
        <f>IF('LISTA DE PRECIOS'!$H479&gt;0,'LISTA DE PRECIOS'!H479,"")</f>
        <v/>
      </c>
      <c r="I470" s="31" t="str">
        <f t="shared" si="6"/>
        <v/>
      </c>
    </row>
    <row r="471" spans="1:9">
      <c r="A471" t="str">
        <f>IF('LISTA DE PRECIOS'!$H480&gt;0,'LISTA DE PRECIOS'!A480,"")</f>
        <v/>
      </c>
      <c r="B471" t="str">
        <f>IF('LISTA DE PRECIOS'!$H480&gt;0,'LISTA DE PRECIOS'!B480,"")</f>
        <v/>
      </c>
      <c r="C471" t="str">
        <f>IF('LISTA DE PRECIOS'!$H480&gt;0,'LISTA DE PRECIOS'!C480,"")</f>
        <v/>
      </c>
      <c r="D471" s="67" t="str">
        <f>IF('LISTA DE PRECIOS'!$H480&gt;0,'LISTA DE PRECIOS'!D480,"")</f>
        <v/>
      </c>
      <c r="E471" t="str">
        <f>IF('LISTA DE PRECIOS'!$H480&gt;0,'LISTA DE PRECIOS'!E480,"")</f>
        <v/>
      </c>
      <c r="F471" t="str">
        <f>IF('LISTA DE PRECIOS'!$H480&gt;0,'LISTA DE PRECIOS'!F480,"")</f>
        <v/>
      </c>
      <c r="G471" s="31" t="str">
        <f>IF('LISTA DE PRECIOS'!$H480&gt;0,'LISTA DE PRECIOS'!G480,"")</f>
        <v/>
      </c>
      <c r="H471" s="67" t="str">
        <f>IF('LISTA DE PRECIOS'!$H480&gt;0,'LISTA DE PRECIOS'!H480,"")</f>
        <v/>
      </c>
      <c r="I471" s="31" t="str">
        <f t="shared" si="6"/>
        <v/>
      </c>
    </row>
    <row r="472" spans="1:9">
      <c r="A472" t="str">
        <f>IF('LISTA DE PRECIOS'!$H481&gt;0,'LISTA DE PRECIOS'!A481,"")</f>
        <v/>
      </c>
      <c r="B472" t="str">
        <f>IF('LISTA DE PRECIOS'!$H481&gt;0,'LISTA DE PRECIOS'!B481,"")</f>
        <v/>
      </c>
      <c r="C472" t="str">
        <f>IF('LISTA DE PRECIOS'!$H481&gt;0,'LISTA DE PRECIOS'!C481,"")</f>
        <v/>
      </c>
      <c r="D472" s="67" t="str">
        <f>IF('LISTA DE PRECIOS'!$H481&gt;0,'LISTA DE PRECIOS'!D481,"")</f>
        <v/>
      </c>
      <c r="E472" t="str">
        <f>IF('LISTA DE PRECIOS'!$H481&gt;0,'LISTA DE PRECIOS'!E481,"")</f>
        <v/>
      </c>
      <c r="F472" t="str">
        <f>IF('LISTA DE PRECIOS'!$H481&gt;0,'LISTA DE PRECIOS'!F481,"")</f>
        <v/>
      </c>
      <c r="G472" s="31" t="str">
        <f>IF('LISTA DE PRECIOS'!$H481&gt;0,'LISTA DE PRECIOS'!G481,"")</f>
        <v/>
      </c>
      <c r="H472" s="67" t="str">
        <f>IF('LISTA DE PRECIOS'!$H481&gt;0,'LISTA DE PRECIOS'!H481,"")</f>
        <v/>
      </c>
      <c r="I472" s="31" t="str">
        <f t="shared" si="6"/>
        <v/>
      </c>
    </row>
    <row r="473" spans="1:9">
      <c r="A473" t="str">
        <f>IF('LISTA DE PRECIOS'!$H482&gt;0,'LISTA DE PRECIOS'!A482,"")</f>
        <v/>
      </c>
      <c r="B473" t="str">
        <f>IF('LISTA DE PRECIOS'!$H482&gt;0,'LISTA DE PRECIOS'!B482,"")</f>
        <v/>
      </c>
      <c r="C473" t="str">
        <f>IF('LISTA DE PRECIOS'!$H482&gt;0,'LISTA DE PRECIOS'!C482,"")</f>
        <v/>
      </c>
      <c r="D473" s="67" t="str">
        <f>IF('LISTA DE PRECIOS'!$H482&gt;0,'LISTA DE PRECIOS'!D482,"")</f>
        <v/>
      </c>
      <c r="E473" t="str">
        <f>IF('LISTA DE PRECIOS'!$H482&gt;0,'LISTA DE PRECIOS'!E482,"")</f>
        <v/>
      </c>
      <c r="F473" t="str">
        <f>IF('LISTA DE PRECIOS'!$H482&gt;0,'LISTA DE PRECIOS'!F482,"")</f>
        <v/>
      </c>
      <c r="G473" s="31" t="str">
        <f>IF('LISTA DE PRECIOS'!$H482&gt;0,'LISTA DE PRECIOS'!G482,"")</f>
        <v/>
      </c>
      <c r="H473" s="67" t="str">
        <f>IF('LISTA DE PRECIOS'!$H482&gt;0,'LISTA DE PRECIOS'!H482,"")</f>
        <v/>
      </c>
      <c r="I473" s="31" t="str">
        <f t="shared" si="6"/>
        <v/>
      </c>
    </row>
    <row r="474" spans="1:9">
      <c r="A474" t="str">
        <f>IF('LISTA DE PRECIOS'!$H483&gt;0,'LISTA DE PRECIOS'!A483,"")</f>
        <v/>
      </c>
      <c r="B474" t="str">
        <f>IF('LISTA DE PRECIOS'!$H483&gt;0,'LISTA DE PRECIOS'!B483,"")</f>
        <v/>
      </c>
      <c r="C474" t="str">
        <f>IF('LISTA DE PRECIOS'!$H483&gt;0,'LISTA DE PRECIOS'!C483,"")</f>
        <v/>
      </c>
      <c r="D474" s="67" t="str">
        <f>IF('LISTA DE PRECIOS'!$H483&gt;0,'LISTA DE PRECIOS'!D483,"")</f>
        <v/>
      </c>
      <c r="E474" t="str">
        <f>IF('LISTA DE PRECIOS'!$H483&gt;0,'LISTA DE PRECIOS'!E483,"")</f>
        <v/>
      </c>
      <c r="F474" t="str">
        <f>IF('LISTA DE PRECIOS'!$H483&gt;0,'LISTA DE PRECIOS'!F483,"")</f>
        <v/>
      </c>
      <c r="G474" s="31" t="str">
        <f>IF('LISTA DE PRECIOS'!$H483&gt;0,'LISTA DE PRECIOS'!G483,"")</f>
        <v/>
      </c>
      <c r="H474" s="67" t="str">
        <f>IF('LISTA DE PRECIOS'!$H483&gt;0,'LISTA DE PRECIOS'!H483,"")</f>
        <v/>
      </c>
      <c r="I474" s="31" t="str">
        <f t="shared" si="6"/>
        <v/>
      </c>
    </row>
    <row r="475" spans="1:9">
      <c r="A475" t="str">
        <f>IF('LISTA DE PRECIOS'!$H484&gt;0,'LISTA DE PRECIOS'!A484,"")</f>
        <v/>
      </c>
      <c r="B475" t="str">
        <f>IF('LISTA DE PRECIOS'!$H484&gt;0,'LISTA DE PRECIOS'!B484,"")</f>
        <v/>
      </c>
      <c r="C475" t="str">
        <f>IF('LISTA DE PRECIOS'!$H484&gt;0,'LISTA DE PRECIOS'!C484,"")</f>
        <v/>
      </c>
      <c r="D475" s="67" t="str">
        <f>IF('LISTA DE PRECIOS'!$H484&gt;0,'LISTA DE PRECIOS'!D484,"")</f>
        <v/>
      </c>
      <c r="E475" t="str">
        <f>IF('LISTA DE PRECIOS'!$H484&gt;0,'LISTA DE PRECIOS'!E484,"")</f>
        <v/>
      </c>
      <c r="F475" t="str">
        <f>IF('LISTA DE PRECIOS'!$H484&gt;0,'LISTA DE PRECIOS'!F484,"")</f>
        <v/>
      </c>
      <c r="G475" s="31" t="str">
        <f>IF('LISTA DE PRECIOS'!$H484&gt;0,'LISTA DE PRECIOS'!G484,"")</f>
        <v/>
      </c>
      <c r="H475" s="67" t="str">
        <f>IF('LISTA DE PRECIOS'!$H484&gt;0,'LISTA DE PRECIOS'!H484,"")</f>
        <v/>
      </c>
      <c r="I475" s="31" t="str">
        <f t="shared" si="6"/>
        <v/>
      </c>
    </row>
    <row r="476" spans="1:9">
      <c r="A476" t="str">
        <f>IF('LISTA DE PRECIOS'!$H485&gt;0,'LISTA DE PRECIOS'!A485,"")</f>
        <v/>
      </c>
      <c r="B476" t="str">
        <f>IF('LISTA DE PRECIOS'!$H485&gt;0,'LISTA DE PRECIOS'!B485,"")</f>
        <v/>
      </c>
      <c r="C476" t="str">
        <f>IF('LISTA DE PRECIOS'!$H485&gt;0,'LISTA DE PRECIOS'!C485,"")</f>
        <v/>
      </c>
      <c r="D476" s="67" t="str">
        <f>IF('LISTA DE PRECIOS'!$H485&gt;0,'LISTA DE PRECIOS'!D485,"")</f>
        <v/>
      </c>
      <c r="E476" t="str">
        <f>IF('LISTA DE PRECIOS'!$H485&gt;0,'LISTA DE PRECIOS'!E485,"")</f>
        <v/>
      </c>
      <c r="F476" t="str">
        <f>IF('LISTA DE PRECIOS'!$H485&gt;0,'LISTA DE PRECIOS'!F485,"")</f>
        <v/>
      </c>
      <c r="G476" s="31" t="str">
        <f>IF('LISTA DE PRECIOS'!$H485&gt;0,'LISTA DE PRECIOS'!G485,"")</f>
        <v/>
      </c>
      <c r="H476" s="67" t="str">
        <f>IF('LISTA DE PRECIOS'!$H485&gt;0,'LISTA DE PRECIOS'!H485,"")</f>
        <v/>
      </c>
      <c r="I476" s="31" t="str">
        <f t="shared" si="6"/>
        <v/>
      </c>
    </row>
    <row r="477" spans="1:9">
      <c r="A477" t="str">
        <f>IF('LISTA DE PRECIOS'!$H486&gt;0,'LISTA DE PRECIOS'!A486,"")</f>
        <v/>
      </c>
      <c r="B477" t="str">
        <f>IF('LISTA DE PRECIOS'!$H486&gt;0,'LISTA DE PRECIOS'!B486,"")</f>
        <v/>
      </c>
      <c r="C477" t="str">
        <f>IF('LISTA DE PRECIOS'!$H486&gt;0,'LISTA DE PRECIOS'!C486,"")</f>
        <v/>
      </c>
      <c r="D477" s="67" t="str">
        <f>IF('LISTA DE PRECIOS'!$H486&gt;0,'LISTA DE PRECIOS'!D486,"")</f>
        <v/>
      </c>
      <c r="E477" t="str">
        <f>IF('LISTA DE PRECIOS'!$H486&gt;0,'LISTA DE PRECIOS'!E486,"")</f>
        <v/>
      </c>
      <c r="F477" t="str">
        <f>IF('LISTA DE PRECIOS'!$H486&gt;0,'LISTA DE PRECIOS'!F486,"")</f>
        <v/>
      </c>
      <c r="G477" s="31" t="str">
        <f>IF('LISTA DE PRECIOS'!$H486&gt;0,'LISTA DE PRECIOS'!G486,"")</f>
        <v/>
      </c>
      <c r="H477" s="67" t="str">
        <f>IF('LISTA DE PRECIOS'!$H486&gt;0,'LISTA DE PRECIOS'!H486,"")</f>
        <v/>
      </c>
      <c r="I477" s="31" t="str">
        <f t="shared" si="6"/>
        <v/>
      </c>
    </row>
    <row r="478" spans="1:9">
      <c r="A478" t="str">
        <f>IF('LISTA DE PRECIOS'!$H487&gt;0,'LISTA DE PRECIOS'!A487,"")</f>
        <v/>
      </c>
      <c r="B478" t="str">
        <f>IF('LISTA DE PRECIOS'!$H487&gt;0,'LISTA DE PRECIOS'!B487,"")</f>
        <v/>
      </c>
      <c r="C478" t="str">
        <f>IF('LISTA DE PRECIOS'!$H487&gt;0,'LISTA DE PRECIOS'!C487,"")</f>
        <v/>
      </c>
      <c r="D478" s="67" t="str">
        <f>IF('LISTA DE PRECIOS'!$H487&gt;0,'LISTA DE PRECIOS'!D487,"")</f>
        <v/>
      </c>
      <c r="E478" t="str">
        <f>IF('LISTA DE PRECIOS'!$H487&gt;0,'LISTA DE PRECIOS'!E487,"")</f>
        <v/>
      </c>
      <c r="F478" t="str">
        <f>IF('LISTA DE PRECIOS'!$H487&gt;0,'LISTA DE PRECIOS'!F487,"")</f>
        <v/>
      </c>
      <c r="G478" s="31" t="str">
        <f>IF('LISTA DE PRECIOS'!$H487&gt;0,'LISTA DE PRECIOS'!G487,"")</f>
        <v/>
      </c>
      <c r="H478" s="67" t="str">
        <f>IF('LISTA DE PRECIOS'!$H487&gt;0,'LISTA DE PRECIOS'!H487,"")</f>
        <v/>
      </c>
      <c r="I478" s="31" t="str">
        <f t="shared" si="6"/>
        <v/>
      </c>
    </row>
    <row r="479" spans="1:9">
      <c r="A479" t="str">
        <f>IF('LISTA DE PRECIOS'!$H488&gt;0,'LISTA DE PRECIOS'!A488,"")</f>
        <v/>
      </c>
      <c r="B479" t="str">
        <f>IF('LISTA DE PRECIOS'!$H488&gt;0,'LISTA DE PRECIOS'!B488,"")</f>
        <v/>
      </c>
      <c r="C479" t="str">
        <f>IF('LISTA DE PRECIOS'!$H488&gt;0,'LISTA DE PRECIOS'!C488,"")</f>
        <v/>
      </c>
      <c r="D479" s="67" t="str">
        <f>IF('LISTA DE PRECIOS'!$H488&gt;0,'LISTA DE PRECIOS'!D488,"")</f>
        <v/>
      </c>
      <c r="E479" t="str">
        <f>IF('LISTA DE PRECIOS'!$H488&gt;0,'LISTA DE PRECIOS'!E488,"")</f>
        <v/>
      </c>
      <c r="F479" t="str">
        <f>IF('LISTA DE PRECIOS'!$H488&gt;0,'LISTA DE PRECIOS'!F488,"")</f>
        <v/>
      </c>
      <c r="G479" s="31" t="str">
        <f>IF('LISTA DE PRECIOS'!$H488&gt;0,'LISTA DE PRECIOS'!G488,"")</f>
        <v/>
      </c>
      <c r="H479" s="67" t="str">
        <f>IF('LISTA DE PRECIOS'!$H488&gt;0,'LISTA DE PRECIOS'!H488,"")</f>
        <v/>
      </c>
      <c r="I479" s="31" t="str">
        <f t="shared" si="6"/>
        <v/>
      </c>
    </row>
    <row r="480" spans="1:9">
      <c r="A480" t="str">
        <f>IF('LISTA DE PRECIOS'!$H489&gt;0,'LISTA DE PRECIOS'!A489,"")</f>
        <v/>
      </c>
      <c r="B480" t="str">
        <f>IF('LISTA DE PRECIOS'!$H489&gt;0,'LISTA DE PRECIOS'!B489,"")</f>
        <v/>
      </c>
      <c r="C480" t="str">
        <f>IF('LISTA DE PRECIOS'!$H489&gt;0,'LISTA DE PRECIOS'!C489,"")</f>
        <v/>
      </c>
      <c r="D480" s="67" t="str">
        <f>IF('LISTA DE PRECIOS'!$H489&gt;0,'LISTA DE PRECIOS'!D489,"")</f>
        <v/>
      </c>
      <c r="E480" t="str">
        <f>IF('LISTA DE PRECIOS'!$H489&gt;0,'LISTA DE PRECIOS'!E489,"")</f>
        <v/>
      </c>
      <c r="F480" t="str">
        <f>IF('LISTA DE PRECIOS'!$H489&gt;0,'LISTA DE PRECIOS'!F489,"")</f>
        <v/>
      </c>
      <c r="G480" s="31" t="str">
        <f>IF('LISTA DE PRECIOS'!$H489&gt;0,'LISTA DE PRECIOS'!G489,"")</f>
        <v/>
      </c>
      <c r="H480" s="67" t="str">
        <f>IF('LISTA DE PRECIOS'!$H489&gt;0,'LISTA DE PRECIOS'!H489,"")</f>
        <v/>
      </c>
      <c r="I480" s="31" t="str">
        <f t="shared" si="6"/>
        <v/>
      </c>
    </row>
    <row r="481" spans="1:9">
      <c r="A481" t="str">
        <f>IF('LISTA DE PRECIOS'!$H490&gt;0,'LISTA DE PRECIOS'!A490,"")</f>
        <v/>
      </c>
      <c r="B481" t="str">
        <f>IF('LISTA DE PRECIOS'!$H490&gt;0,'LISTA DE PRECIOS'!B490,"")</f>
        <v/>
      </c>
      <c r="C481" t="str">
        <f>IF('LISTA DE PRECIOS'!$H490&gt;0,'LISTA DE PRECIOS'!C490,"")</f>
        <v/>
      </c>
      <c r="D481" s="67" t="str">
        <f>IF('LISTA DE PRECIOS'!$H490&gt;0,'LISTA DE PRECIOS'!D490,"")</f>
        <v/>
      </c>
      <c r="E481" t="str">
        <f>IF('LISTA DE PRECIOS'!$H490&gt;0,'LISTA DE PRECIOS'!E490,"")</f>
        <v/>
      </c>
      <c r="F481" t="str">
        <f>IF('LISTA DE PRECIOS'!$H490&gt;0,'LISTA DE PRECIOS'!F490,"")</f>
        <v/>
      </c>
      <c r="G481" s="31" t="str">
        <f>IF('LISTA DE PRECIOS'!$H490&gt;0,'LISTA DE PRECIOS'!G490,"")</f>
        <v/>
      </c>
      <c r="H481" s="67" t="str">
        <f>IF('LISTA DE PRECIOS'!$H490&gt;0,'LISTA DE PRECIOS'!H490,"")</f>
        <v/>
      </c>
      <c r="I481" s="31" t="str">
        <f t="shared" si="6"/>
        <v/>
      </c>
    </row>
    <row r="482" spans="1:9">
      <c r="A482" t="str">
        <f>IF('LISTA DE PRECIOS'!$H491&gt;0,'LISTA DE PRECIOS'!A491,"")</f>
        <v/>
      </c>
      <c r="B482" t="str">
        <f>IF('LISTA DE PRECIOS'!$H491&gt;0,'LISTA DE PRECIOS'!B491,"")</f>
        <v/>
      </c>
      <c r="C482" t="str">
        <f>IF('LISTA DE PRECIOS'!$H491&gt;0,'LISTA DE PRECIOS'!C491,"")</f>
        <v/>
      </c>
      <c r="D482" s="67" t="str">
        <f>IF('LISTA DE PRECIOS'!$H491&gt;0,'LISTA DE PRECIOS'!D491,"")</f>
        <v/>
      </c>
      <c r="E482" t="str">
        <f>IF('LISTA DE PRECIOS'!$H491&gt;0,'LISTA DE PRECIOS'!E491,"")</f>
        <v/>
      </c>
      <c r="F482" t="str">
        <f>IF('LISTA DE PRECIOS'!$H491&gt;0,'LISTA DE PRECIOS'!F491,"")</f>
        <v/>
      </c>
      <c r="G482" s="31" t="str">
        <f>IF('LISTA DE PRECIOS'!$H491&gt;0,'LISTA DE PRECIOS'!G491,"")</f>
        <v/>
      </c>
      <c r="H482" s="67" t="str">
        <f>IF('LISTA DE PRECIOS'!$H491&gt;0,'LISTA DE PRECIOS'!H491,"")</f>
        <v/>
      </c>
      <c r="I482" s="31" t="str">
        <f t="shared" si="6"/>
        <v/>
      </c>
    </row>
    <row r="483" spans="1:9">
      <c r="A483" t="str">
        <f>IF('LISTA DE PRECIOS'!$H492&gt;0,'LISTA DE PRECIOS'!A492,"")</f>
        <v/>
      </c>
      <c r="B483" t="str">
        <f>IF('LISTA DE PRECIOS'!$H492&gt;0,'LISTA DE PRECIOS'!B492,"")</f>
        <v/>
      </c>
      <c r="C483" t="str">
        <f>IF('LISTA DE PRECIOS'!$H492&gt;0,'LISTA DE PRECIOS'!C492,"")</f>
        <v/>
      </c>
      <c r="D483" s="67" t="str">
        <f>IF('LISTA DE PRECIOS'!$H492&gt;0,'LISTA DE PRECIOS'!D492,"")</f>
        <v/>
      </c>
      <c r="E483" t="str">
        <f>IF('LISTA DE PRECIOS'!$H492&gt;0,'LISTA DE PRECIOS'!E492,"")</f>
        <v/>
      </c>
      <c r="F483" t="str">
        <f>IF('LISTA DE PRECIOS'!$H492&gt;0,'LISTA DE PRECIOS'!F492,"")</f>
        <v/>
      </c>
      <c r="G483" s="31" t="str">
        <f>IF('LISTA DE PRECIOS'!$H492&gt;0,'LISTA DE PRECIOS'!G492,"")</f>
        <v/>
      </c>
      <c r="H483" s="67" t="str">
        <f>IF('LISTA DE PRECIOS'!$H492&gt;0,'LISTA DE PRECIOS'!H492,"")</f>
        <v/>
      </c>
      <c r="I483" s="31" t="str">
        <f t="shared" si="6"/>
        <v/>
      </c>
    </row>
    <row r="484" spans="1:9">
      <c r="A484" t="str">
        <f>IF('LISTA DE PRECIOS'!$H493&gt;0,'LISTA DE PRECIOS'!A493,"")</f>
        <v/>
      </c>
      <c r="B484" t="str">
        <f>IF('LISTA DE PRECIOS'!$H493&gt;0,'LISTA DE PRECIOS'!B493,"")</f>
        <v/>
      </c>
      <c r="C484" t="str">
        <f>IF('LISTA DE PRECIOS'!$H493&gt;0,'LISTA DE PRECIOS'!C493,"")</f>
        <v/>
      </c>
      <c r="D484" s="67" t="str">
        <f>IF('LISTA DE PRECIOS'!$H493&gt;0,'LISTA DE PRECIOS'!D493,"")</f>
        <v/>
      </c>
      <c r="E484" t="str">
        <f>IF('LISTA DE PRECIOS'!$H493&gt;0,'LISTA DE PRECIOS'!E493,"")</f>
        <v/>
      </c>
      <c r="F484" t="str">
        <f>IF('LISTA DE PRECIOS'!$H493&gt;0,'LISTA DE PRECIOS'!F493,"")</f>
        <v/>
      </c>
      <c r="G484" s="31" t="str">
        <f>IF('LISTA DE PRECIOS'!$H493&gt;0,'LISTA DE PRECIOS'!G493,"")</f>
        <v/>
      </c>
      <c r="H484" s="67" t="str">
        <f>IF('LISTA DE PRECIOS'!$H493&gt;0,'LISTA DE PRECIOS'!H493,"")</f>
        <v/>
      </c>
      <c r="I484" s="31" t="str">
        <f t="shared" si="6"/>
        <v/>
      </c>
    </row>
    <row r="485" spans="1:9">
      <c r="A485" t="str">
        <f>IF('LISTA DE PRECIOS'!$H494&gt;0,'LISTA DE PRECIOS'!A494,"")</f>
        <v/>
      </c>
      <c r="B485" t="str">
        <f>IF('LISTA DE PRECIOS'!$H494&gt;0,'LISTA DE PRECIOS'!B494,"")</f>
        <v/>
      </c>
      <c r="C485" t="str">
        <f>IF('LISTA DE PRECIOS'!$H494&gt;0,'LISTA DE PRECIOS'!C494,"")</f>
        <v/>
      </c>
      <c r="D485" s="67" t="str">
        <f>IF('LISTA DE PRECIOS'!$H494&gt;0,'LISTA DE PRECIOS'!D494,"")</f>
        <v/>
      </c>
      <c r="E485" t="str">
        <f>IF('LISTA DE PRECIOS'!$H494&gt;0,'LISTA DE PRECIOS'!E494,"")</f>
        <v/>
      </c>
      <c r="F485" t="str">
        <f>IF('LISTA DE PRECIOS'!$H494&gt;0,'LISTA DE PRECIOS'!F494,"")</f>
        <v/>
      </c>
      <c r="G485" s="31" t="str">
        <f>IF('LISTA DE PRECIOS'!$H494&gt;0,'LISTA DE PRECIOS'!G494,"")</f>
        <v/>
      </c>
      <c r="H485" s="67" t="str">
        <f>IF('LISTA DE PRECIOS'!$H494&gt;0,'LISTA DE PRECIOS'!H494,"")</f>
        <v/>
      </c>
      <c r="I485" s="31" t="str">
        <f t="shared" si="6"/>
        <v/>
      </c>
    </row>
    <row r="486" spans="1:9">
      <c r="A486" t="str">
        <f>IF('LISTA DE PRECIOS'!$H495&gt;0,'LISTA DE PRECIOS'!A495,"")</f>
        <v/>
      </c>
      <c r="B486" t="str">
        <f>IF('LISTA DE PRECIOS'!$H495&gt;0,'LISTA DE PRECIOS'!B495,"")</f>
        <v/>
      </c>
      <c r="C486" t="str">
        <f>IF('LISTA DE PRECIOS'!$H495&gt;0,'LISTA DE PRECIOS'!C495,"")</f>
        <v/>
      </c>
      <c r="D486" s="67" t="str">
        <f>IF('LISTA DE PRECIOS'!$H495&gt;0,'LISTA DE PRECIOS'!D495,"")</f>
        <v/>
      </c>
      <c r="E486" t="str">
        <f>IF('LISTA DE PRECIOS'!$H495&gt;0,'LISTA DE PRECIOS'!E495,"")</f>
        <v/>
      </c>
      <c r="F486" t="str">
        <f>IF('LISTA DE PRECIOS'!$H495&gt;0,'LISTA DE PRECIOS'!F495,"")</f>
        <v/>
      </c>
      <c r="G486" s="31" t="str">
        <f>IF('LISTA DE PRECIOS'!$H495&gt;0,'LISTA DE PRECIOS'!G495,"")</f>
        <v/>
      </c>
      <c r="H486" s="67" t="str">
        <f>IF('LISTA DE PRECIOS'!$H495&gt;0,'LISTA DE PRECIOS'!H495,"")</f>
        <v/>
      </c>
      <c r="I486" s="31" t="str">
        <f t="shared" si="6"/>
        <v/>
      </c>
    </row>
    <row r="487" spans="1:9">
      <c r="A487" t="str">
        <f>IF('LISTA DE PRECIOS'!$H496&gt;0,'LISTA DE PRECIOS'!A496,"")</f>
        <v/>
      </c>
      <c r="B487" t="str">
        <f>IF('LISTA DE PRECIOS'!$H496&gt;0,'LISTA DE PRECIOS'!B496,"")</f>
        <v/>
      </c>
      <c r="C487" t="str">
        <f>IF('LISTA DE PRECIOS'!$H496&gt;0,'LISTA DE PRECIOS'!C496,"")</f>
        <v/>
      </c>
      <c r="D487" s="67" t="str">
        <f>IF('LISTA DE PRECIOS'!$H496&gt;0,'LISTA DE PRECIOS'!D496,"")</f>
        <v/>
      </c>
      <c r="E487" t="str">
        <f>IF('LISTA DE PRECIOS'!$H496&gt;0,'LISTA DE PRECIOS'!E496,"")</f>
        <v/>
      </c>
      <c r="F487" t="str">
        <f>IF('LISTA DE PRECIOS'!$H496&gt;0,'LISTA DE PRECIOS'!F496,"")</f>
        <v/>
      </c>
      <c r="G487" s="31" t="str">
        <f>IF('LISTA DE PRECIOS'!$H496&gt;0,'LISTA DE PRECIOS'!G496,"")</f>
        <v/>
      </c>
      <c r="H487" s="67" t="str">
        <f>IF('LISTA DE PRECIOS'!$H496&gt;0,'LISTA DE PRECIOS'!H496,"")</f>
        <v/>
      </c>
      <c r="I487" s="31" t="str">
        <f t="shared" si="6"/>
        <v/>
      </c>
    </row>
    <row r="488" spans="1:9">
      <c r="A488" t="str">
        <f>IF('LISTA DE PRECIOS'!$H497&gt;0,'LISTA DE PRECIOS'!A497,"")</f>
        <v/>
      </c>
      <c r="B488" t="str">
        <f>IF('LISTA DE PRECIOS'!$H497&gt;0,'LISTA DE PRECIOS'!B497,"")</f>
        <v/>
      </c>
      <c r="C488" t="str">
        <f>IF('LISTA DE PRECIOS'!$H497&gt;0,'LISTA DE PRECIOS'!C497,"")</f>
        <v/>
      </c>
      <c r="D488" s="67" t="str">
        <f>IF('LISTA DE PRECIOS'!$H497&gt;0,'LISTA DE PRECIOS'!D497,"")</f>
        <v/>
      </c>
      <c r="E488" t="str">
        <f>IF('LISTA DE PRECIOS'!$H497&gt;0,'LISTA DE PRECIOS'!E497,"")</f>
        <v/>
      </c>
      <c r="F488" t="str">
        <f>IF('LISTA DE PRECIOS'!$H497&gt;0,'LISTA DE PRECIOS'!F497,"")</f>
        <v/>
      </c>
      <c r="G488" s="31" t="str">
        <f>IF('LISTA DE PRECIOS'!$H497&gt;0,'LISTA DE PRECIOS'!G497,"")</f>
        <v/>
      </c>
      <c r="H488" s="67" t="str">
        <f>IF('LISTA DE PRECIOS'!$H497&gt;0,'LISTA DE PRECIOS'!H497,"")</f>
        <v/>
      </c>
      <c r="I488" s="31" t="str">
        <f t="shared" si="6"/>
        <v/>
      </c>
    </row>
    <row r="489" spans="1:9">
      <c r="A489" t="str">
        <f>IF('LISTA DE PRECIOS'!$H498&gt;0,'LISTA DE PRECIOS'!A498,"")</f>
        <v/>
      </c>
      <c r="B489" t="str">
        <f>IF('LISTA DE PRECIOS'!$H498&gt;0,'LISTA DE PRECIOS'!B498,"")</f>
        <v/>
      </c>
      <c r="C489" t="str">
        <f>IF('LISTA DE PRECIOS'!$H498&gt;0,'LISTA DE PRECIOS'!C498,"")</f>
        <v/>
      </c>
      <c r="D489" s="67" t="str">
        <f>IF('LISTA DE PRECIOS'!$H498&gt;0,'LISTA DE PRECIOS'!D498,"")</f>
        <v/>
      </c>
      <c r="E489" t="str">
        <f>IF('LISTA DE PRECIOS'!$H498&gt;0,'LISTA DE PRECIOS'!E498,"")</f>
        <v/>
      </c>
      <c r="F489" t="str">
        <f>IF('LISTA DE PRECIOS'!$H498&gt;0,'LISTA DE PRECIOS'!F498,"")</f>
        <v/>
      </c>
      <c r="G489" s="31" t="str">
        <f>IF('LISTA DE PRECIOS'!$H498&gt;0,'LISTA DE PRECIOS'!G498,"")</f>
        <v/>
      </c>
      <c r="H489" s="67" t="str">
        <f>IF('LISTA DE PRECIOS'!$H498&gt;0,'LISTA DE PRECIOS'!H498,"")</f>
        <v/>
      </c>
      <c r="I489" s="31" t="str">
        <f t="shared" si="6"/>
        <v/>
      </c>
    </row>
    <row r="490" spans="1:9">
      <c r="A490" t="str">
        <f>IF('LISTA DE PRECIOS'!$H499&gt;0,'LISTA DE PRECIOS'!A499,"")</f>
        <v/>
      </c>
      <c r="B490" t="str">
        <f>IF('LISTA DE PRECIOS'!$H499&gt;0,'LISTA DE PRECIOS'!B499,"")</f>
        <v/>
      </c>
      <c r="C490" t="str">
        <f>IF('LISTA DE PRECIOS'!$H499&gt;0,'LISTA DE PRECIOS'!C499,"")</f>
        <v/>
      </c>
      <c r="D490" s="67" t="str">
        <f>IF('LISTA DE PRECIOS'!$H499&gt;0,'LISTA DE PRECIOS'!D499,"")</f>
        <v/>
      </c>
      <c r="E490" t="str">
        <f>IF('LISTA DE PRECIOS'!$H499&gt;0,'LISTA DE PRECIOS'!E499,"")</f>
        <v/>
      </c>
      <c r="F490" t="str">
        <f>IF('LISTA DE PRECIOS'!$H499&gt;0,'LISTA DE PRECIOS'!F499,"")</f>
        <v/>
      </c>
      <c r="G490" s="31" t="str">
        <f>IF('LISTA DE PRECIOS'!$H499&gt;0,'LISTA DE PRECIOS'!G499,"")</f>
        <v/>
      </c>
      <c r="H490" s="67" t="str">
        <f>IF('LISTA DE PRECIOS'!$H499&gt;0,'LISTA DE PRECIOS'!H499,"")</f>
        <v/>
      </c>
      <c r="I490" s="31" t="str">
        <f t="shared" si="6"/>
        <v/>
      </c>
    </row>
    <row r="491" spans="1:9">
      <c r="A491" t="str">
        <f>IF('LISTA DE PRECIOS'!$H500&gt;0,'LISTA DE PRECIOS'!A500,"")</f>
        <v/>
      </c>
      <c r="B491" t="str">
        <f>IF('LISTA DE PRECIOS'!$H500&gt;0,'LISTA DE PRECIOS'!B500,"")</f>
        <v/>
      </c>
      <c r="C491" t="str">
        <f>IF('LISTA DE PRECIOS'!$H500&gt;0,'LISTA DE PRECIOS'!C500,"")</f>
        <v/>
      </c>
      <c r="D491" s="67" t="str">
        <f>IF('LISTA DE PRECIOS'!$H500&gt;0,'LISTA DE PRECIOS'!D500,"")</f>
        <v/>
      </c>
      <c r="E491" t="str">
        <f>IF('LISTA DE PRECIOS'!$H500&gt;0,'LISTA DE PRECIOS'!E500,"")</f>
        <v/>
      </c>
      <c r="F491" t="str">
        <f>IF('LISTA DE PRECIOS'!$H500&gt;0,'LISTA DE PRECIOS'!F500,"")</f>
        <v/>
      </c>
      <c r="G491" s="31" t="str">
        <f>IF('LISTA DE PRECIOS'!$H500&gt;0,'LISTA DE PRECIOS'!G500,"")</f>
        <v/>
      </c>
      <c r="H491" s="67" t="str">
        <f>IF('LISTA DE PRECIOS'!$H500&gt;0,'LISTA DE PRECIOS'!H500,"")</f>
        <v/>
      </c>
      <c r="I491" s="31" t="str">
        <f t="shared" si="6"/>
        <v/>
      </c>
    </row>
    <row r="492" spans="1:9">
      <c r="A492" t="str">
        <f>IF('LISTA DE PRECIOS'!$H501&gt;0,'LISTA DE PRECIOS'!A501,"")</f>
        <v/>
      </c>
      <c r="B492" t="str">
        <f>IF('LISTA DE PRECIOS'!$H501&gt;0,'LISTA DE PRECIOS'!B501,"")</f>
        <v/>
      </c>
      <c r="C492" t="str">
        <f>IF('LISTA DE PRECIOS'!$H501&gt;0,'LISTA DE PRECIOS'!C501,"")</f>
        <v/>
      </c>
      <c r="D492" s="67" t="str">
        <f>IF('LISTA DE PRECIOS'!$H501&gt;0,'LISTA DE PRECIOS'!D501,"")</f>
        <v/>
      </c>
      <c r="E492" t="str">
        <f>IF('LISTA DE PRECIOS'!$H501&gt;0,'LISTA DE PRECIOS'!E501,"")</f>
        <v/>
      </c>
      <c r="F492" t="str">
        <f>IF('LISTA DE PRECIOS'!$H501&gt;0,'LISTA DE PRECIOS'!F501,"")</f>
        <v/>
      </c>
      <c r="G492" s="31" t="str">
        <f>IF('LISTA DE PRECIOS'!$H501&gt;0,'LISTA DE PRECIOS'!G501,"")</f>
        <v/>
      </c>
      <c r="H492" s="67" t="str">
        <f>IF('LISTA DE PRECIOS'!$H501&gt;0,'LISTA DE PRECIOS'!H501,"")</f>
        <v/>
      </c>
      <c r="I492" s="31" t="str">
        <f t="shared" si="6"/>
        <v/>
      </c>
    </row>
    <row r="493" spans="1:9">
      <c r="A493" t="str">
        <f>IF('LISTA DE PRECIOS'!$H502&gt;0,'LISTA DE PRECIOS'!A502,"")</f>
        <v/>
      </c>
      <c r="B493" t="str">
        <f>IF('LISTA DE PRECIOS'!$H502&gt;0,'LISTA DE PRECIOS'!B502,"")</f>
        <v/>
      </c>
      <c r="C493" t="str">
        <f>IF('LISTA DE PRECIOS'!$H502&gt;0,'LISTA DE PRECIOS'!C502,"")</f>
        <v/>
      </c>
      <c r="D493" s="67" t="str">
        <f>IF('LISTA DE PRECIOS'!$H502&gt;0,'LISTA DE PRECIOS'!D502,"")</f>
        <v/>
      </c>
      <c r="E493" t="str">
        <f>IF('LISTA DE PRECIOS'!$H502&gt;0,'LISTA DE PRECIOS'!E502,"")</f>
        <v/>
      </c>
      <c r="F493" t="str">
        <f>IF('LISTA DE PRECIOS'!$H502&gt;0,'LISTA DE PRECIOS'!F502,"")</f>
        <v/>
      </c>
      <c r="G493" s="31" t="str">
        <f>IF('LISTA DE PRECIOS'!$H502&gt;0,'LISTA DE PRECIOS'!G502,"")</f>
        <v/>
      </c>
      <c r="H493" s="67" t="str">
        <f>IF('LISTA DE PRECIOS'!$H502&gt;0,'LISTA DE PRECIOS'!H502,"")</f>
        <v/>
      </c>
      <c r="I493" s="31" t="str">
        <f t="shared" si="6"/>
        <v/>
      </c>
    </row>
    <row r="494" spans="1:9">
      <c r="A494" t="str">
        <f>IF('LISTA DE PRECIOS'!$H503&gt;0,'LISTA DE PRECIOS'!A503,"")</f>
        <v/>
      </c>
      <c r="B494" t="str">
        <f>IF('LISTA DE PRECIOS'!$H503&gt;0,'LISTA DE PRECIOS'!B503,"")</f>
        <v/>
      </c>
      <c r="C494" t="str">
        <f>IF('LISTA DE PRECIOS'!$H503&gt;0,'LISTA DE PRECIOS'!C503,"")</f>
        <v/>
      </c>
      <c r="D494" s="67" t="str">
        <f>IF('LISTA DE PRECIOS'!$H503&gt;0,'LISTA DE PRECIOS'!D503,"")</f>
        <v/>
      </c>
      <c r="E494" t="str">
        <f>IF('LISTA DE PRECIOS'!$H503&gt;0,'LISTA DE PRECIOS'!E503,"")</f>
        <v/>
      </c>
      <c r="F494" t="str">
        <f>IF('LISTA DE PRECIOS'!$H503&gt;0,'LISTA DE PRECIOS'!F503,"")</f>
        <v/>
      </c>
      <c r="G494" s="31" t="str">
        <f>IF('LISTA DE PRECIOS'!$H503&gt;0,'LISTA DE PRECIOS'!G503,"")</f>
        <v/>
      </c>
      <c r="H494" s="67" t="str">
        <f>IF('LISTA DE PRECIOS'!$H503&gt;0,'LISTA DE PRECIOS'!H503,"")</f>
        <v/>
      </c>
      <c r="I494" s="31" t="str">
        <f t="shared" si="6"/>
        <v/>
      </c>
    </row>
    <row r="495" spans="1:9">
      <c r="A495" t="str">
        <f>IF('LISTA DE PRECIOS'!$H504&gt;0,'LISTA DE PRECIOS'!A504,"")</f>
        <v/>
      </c>
      <c r="B495" t="str">
        <f>IF('LISTA DE PRECIOS'!$H504&gt;0,'LISTA DE PRECIOS'!B504,"")</f>
        <v/>
      </c>
      <c r="C495" t="str">
        <f>IF('LISTA DE PRECIOS'!$H504&gt;0,'LISTA DE PRECIOS'!C504,"")</f>
        <v/>
      </c>
      <c r="D495" s="67" t="str">
        <f>IF('LISTA DE PRECIOS'!$H504&gt;0,'LISTA DE PRECIOS'!D504,"")</f>
        <v/>
      </c>
      <c r="E495" t="str">
        <f>IF('LISTA DE PRECIOS'!$H504&gt;0,'LISTA DE PRECIOS'!E504,"")</f>
        <v/>
      </c>
      <c r="F495" t="str">
        <f>IF('LISTA DE PRECIOS'!$H504&gt;0,'LISTA DE PRECIOS'!F504,"")</f>
        <v/>
      </c>
      <c r="G495" s="31" t="str">
        <f>IF('LISTA DE PRECIOS'!$H504&gt;0,'LISTA DE PRECIOS'!G504,"")</f>
        <v/>
      </c>
      <c r="H495" s="67" t="str">
        <f>IF('LISTA DE PRECIOS'!$H504&gt;0,'LISTA DE PRECIOS'!H504,"")</f>
        <v/>
      </c>
      <c r="I495" s="31" t="str">
        <f t="shared" si="6"/>
        <v/>
      </c>
    </row>
    <row r="496" spans="1:9">
      <c r="A496" t="str">
        <f>IF('LISTA DE PRECIOS'!$H505&gt;0,'LISTA DE PRECIOS'!A505,"")</f>
        <v/>
      </c>
      <c r="B496" t="str">
        <f>IF('LISTA DE PRECIOS'!$H505&gt;0,'LISTA DE PRECIOS'!B505,"")</f>
        <v/>
      </c>
      <c r="C496" t="str">
        <f>IF('LISTA DE PRECIOS'!$H505&gt;0,'LISTA DE PRECIOS'!C505,"")</f>
        <v/>
      </c>
      <c r="D496" s="67" t="str">
        <f>IF('LISTA DE PRECIOS'!$H505&gt;0,'LISTA DE PRECIOS'!D505,"")</f>
        <v/>
      </c>
      <c r="E496" t="str">
        <f>IF('LISTA DE PRECIOS'!$H505&gt;0,'LISTA DE PRECIOS'!E505,"")</f>
        <v/>
      </c>
      <c r="F496" t="str">
        <f>IF('LISTA DE PRECIOS'!$H505&gt;0,'LISTA DE PRECIOS'!F505,"")</f>
        <v/>
      </c>
      <c r="G496" s="31" t="str">
        <f>IF('LISTA DE PRECIOS'!$H505&gt;0,'LISTA DE PRECIOS'!G505,"")</f>
        <v/>
      </c>
      <c r="H496" s="67" t="str">
        <f>IF('LISTA DE PRECIOS'!$H505&gt;0,'LISTA DE PRECIOS'!H505,"")</f>
        <v/>
      </c>
      <c r="I496" s="31" t="str">
        <f t="shared" si="6"/>
        <v/>
      </c>
    </row>
    <row r="497" spans="1:9">
      <c r="A497" t="str">
        <f>IF('LISTA DE PRECIOS'!$H506&gt;0,'LISTA DE PRECIOS'!A506,"")</f>
        <v/>
      </c>
      <c r="B497" t="str">
        <f>IF('LISTA DE PRECIOS'!$H506&gt;0,'LISTA DE PRECIOS'!B506,"")</f>
        <v/>
      </c>
      <c r="C497" t="str">
        <f>IF('LISTA DE PRECIOS'!$H506&gt;0,'LISTA DE PRECIOS'!C506,"")</f>
        <v/>
      </c>
      <c r="D497" s="67" t="str">
        <f>IF('LISTA DE PRECIOS'!$H506&gt;0,'LISTA DE PRECIOS'!D506,"")</f>
        <v/>
      </c>
      <c r="E497" t="str">
        <f>IF('LISTA DE PRECIOS'!$H506&gt;0,'LISTA DE PRECIOS'!E506,"")</f>
        <v/>
      </c>
      <c r="F497" t="str">
        <f>IF('LISTA DE PRECIOS'!$H506&gt;0,'LISTA DE PRECIOS'!F506,"")</f>
        <v/>
      </c>
      <c r="G497" s="31" t="str">
        <f>IF('LISTA DE PRECIOS'!$H506&gt;0,'LISTA DE PRECIOS'!G506,"")</f>
        <v/>
      </c>
      <c r="H497" s="67" t="str">
        <f>IF('LISTA DE PRECIOS'!$H506&gt;0,'LISTA DE PRECIOS'!H506,"")</f>
        <v/>
      </c>
      <c r="I497" s="31" t="str">
        <f t="shared" si="6"/>
        <v/>
      </c>
    </row>
    <row r="498" spans="1:9">
      <c r="A498" t="str">
        <f>IF('LISTA DE PRECIOS'!$H507&gt;0,'LISTA DE PRECIOS'!A507,"")</f>
        <v/>
      </c>
      <c r="B498" t="str">
        <f>IF('LISTA DE PRECIOS'!$H507&gt;0,'LISTA DE PRECIOS'!B507,"")</f>
        <v/>
      </c>
      <c r="C498" t="str">
        <f>IF('LISTA DE PRECIOS'!$H507&gt;0,'LISTA DE PRECIOS'!C507,"")</f>
        <v/>
      </c>
      <c r="D498" s="67" t="str">
        <f>IF('LISTA DE PRECIOS'!$H507&gt;0,'LISTA DE PRECIOS'!D507,"")</f>
        <v/>
      </c>
      <c r="E498" t="str">
        <f>IF('LISTA DE PRECIOS'!$H507&gt;0,'LISTA DE PRECIOS'!E507,"")</f>
        <v/>
      </c>
      <c r="F498" t="str">
        <f>IF('LISTA DE PRECIOS'!$H507&gt;0,'LISTA DE PRECIOS'!F507,"")</f>
        <v/>
      </c>
      <c r="G498" s="31" t="str">
        <f>IF('LISTA DE PRECIOS'!$H507&gt;0,'LISTA DE PRECIOS'!G507,"")</f>
        <v/>
      </c>
      <c r="H498" s="67" t="str">
        <f>IF('LISTA DE PRECIOS'!$H507&gt;0,'LISTA DE PRECIOS'!H507,"")</f>
        <v/>
      </c>
      <c r="I498" s="31" t="str">
        <f t="shared" si="6"/>
        <v/>
      </c>
    </row>
    <row r="499" spans="1:9">
      <c r="A499" t="str">
        <f>IF('LISTA DE PRECIOS'!$H508&gt;0,'LISTA DE PRECIOS'!A508,"")</f>
        <v/>
      </c>
      <c r="B499" t="str">
        <f>IF('LISTA DE PRECIOS'!$H508&gt;0,'LISTA DE PRECIOS'!B508,"")</f>
        <v/>
      </c>
      <c r="C499" t="str">
        <f>IF('LISTA DE PRECIOS'!$H508&gt;0,'LISTA DE PRECIOS'!C508,"")</f>
        <v/>
      </c>
      <c r="D499" s="67" t="str">
        <f>IF('LISTA DE PRECIOS'!$H508&gt;0,'LISTA DE PRECIOS'!D508,"")</f>
        <v/>
      </c>
      <c r="E499" t="str">
        <f>IF('LISTA DE PRECIOS'!$H508&gt;0,'LISTA DE PRECIOS'!E508,"")</f>
        <v/>
      </c>
      <c r="F499" t="str">
        <f>IF('LISTA DE PRECIOS'!$H508&gt;0,'LISTA DE PRECIOS'!F508,"")</f>
        <v/>
      </c>
      <c r="G499" s="31" t="str">
        <f>IF('LISTA DE PRECIOS'!$H508&gt;0,'LISTA DE PRECIOS'!G508,"")</f>
        <v/>
      </c>
      <c r="H499" s="67" t="str">
        <f>IF('LISTA DE PRECIOS'!$H508&gt;0,'LISTA DE PRECIOS'!H508,"")</f>
        <v/>
      </c>
      <c r="I499" s="31" t="str">
        <f t="shared" si="6"/>
        <v/>
      </c>
    </row>
    <row r="500" spans="1:9">
      <c r="A500" t="str">
        <f>IF('LISTA DE PRECIOS'!$H509&gt;0,'LISTA DE PRECIOS'!A509,"")</f>
        <v/>
      </c>
      <c r="B500" t="str">
        <f>IF('LISTA DE PRECIOS'!$H509&gt;0,'LISTA DE PRECIOS'!B509,"")</f>
        <v/>
      </c>
      <c r="C500" t="str">
        <f>IF('LISTA DE PRECIOS'!$H509&gt;0,'LISTA DE PRECIOS'!C509,"")</f>
        <v/>
      </c>
      <c r="D500" s="67" t="str">
        <f>IF('LISTA DE PRECIOS'!$H509&gt;0,'LISTA DE PRECIOS'!D509,"")</f>
        <v/>
      </c>
      <c r="E500" t="str">
        <f>IF('LISTA DE PRECIOS'!$H509&gt;0,'LISTA DE PRECIOS'!E509,"")</f>
        <v/>
      </c>
      <c r="F500" t="str">
        <f>IF('LISTA DE PRECIOS'!$H509&gt;0,'LISTA DE PRECIOS'!F509,"")</f>
        <v/>
      </c>
      <c r="G500" s="31" t="str">
        <f>IF('LISTA DE PRECIOS'!$H509&gt;0,'LISTA DE PRECIOS'!G509,"")</f>
        <v/>
      </c>
      <c r="H500" s="67" t="str">
        <f>IF('LISTA DE PRECIOS'!$H509&gt;0,'LISTA DE PRECIOS'!H509,"")</f>
        <v/>
      </c>
      <c r="I500" s="31" t="str">
        <f t="shared" si="6"/>
        <v/>
      </c>
    </row>
    <row r="501" spans="1:9">
      <c r="A501" t="str">
        <f>IF('LISTA DE PRECIOS'!$H510&gt;0,'LISTA DE PRECIOS'!A510,"")</f>
        <v/>
      </c>
      <c r="B501" t="str">
        <f>IF('LISTA DE PRECIOS'!$H510&gt;0,'LISTA DE PRECIOS'!B510,"")</f>
        <v/>
      </c>
      <c r="C501" t="str">
        <f>IF('LISTA DE PRECIOS'!$H510&gt;0,'LISTA DE PRECIOS'!C510,"")</f>
        <v/>
      </c>
      <c r="D501" s="67" t="str">
        <f>IF('LISTA DE PRECIOS'!$H510&gt;0,'LISTA DE PRECIOS'!D510,"")</f>
        <v/>
      </c>
      <c r="E501" t="str">
        <f>IF('LISTA DE PRECIOS'!$H510&gt;0,'LISTA DE PRECIOS'!E510,"")</f>
        <v/>
      </c>
      <c r="F501" t="str">
        <f>IF('LISTA DE PRECIOS'!$H510&gt;0,'LISTA DE PRECIOS'!F510,"")</f>
        <v/>
      </c>
      <c r="G501" s="31" t="str">
        <f>IF('LISTA DE PRECIOS'!$H510&gt;0,'LISTA DE PRECIOS'!G510,"")</f>
        <v/>
      </c>
      <c r="H501" s="67" t="str">
        <f>IF('LISTA DE PRECIOS'!$H510&gt;0,'LISTA DE PRECIOS'!H510,"")</f>
        <v/>
      </c>
      <c r="I501" s="31" t="str">
        <f t="shared" si="6"/>
        <v/>
      </c>
    </row>
    <row r="502" spans="1:9">
      <c r="A502" t="str">
        <f>IF('LISTA DE PRECIOS'!$H511&gt;0,'LISTA DE PRECIOS'!A511,"")</f>
        <v/>
      </c>
      <c r="B502" t="str">
        <f>IF('LISTA DE PRECIOS'!$H511&gt;0,'LISTA DE PRECIOS'!B511,"")</f>
        <v/>
      </c>
      <c r="C502" t="str">
        <f>IF('LISTA DE PRECIOS'!$H511&gt;0,'LISTA DE PRECIOS'!C511,"")</f>
        <v/>
      </c>
      <c r="D502" s="67" t="str">
        <f>IF('LISTA DE PRECIOS'!$H511&gt;0,'LISTA DE PRECIOS'!D511,"")</f>
        <v/>
      </c>
      <c r="E502" t="str">
        <f>IF('LISTA DE PRECIOS'!$H511&gt;0,'LISTA DE PRECIOS'!E511,"")</f>
        <v/>
      </c>
      <c r="F502" t="str">
        <f>IF('LISTA DE PRECIOS'!$H511&gt;0,'LISTA DE PRECIOS'!F511,"")</f>
        <v/>
      </c>
      <c r="G502" s="31" t="str">
        <f>IF('LISTA DE PRECIOS'!$H511&gt;0,'LISTA DE PRECIOS'!G511,"")</f>
        <v/>
      </c>
      <c r="H502" s="67" t="str">
        <f>IF('LISTA DE PRECIOS'!$H511&gt;0,'LISTA DE PRECIOS'!H511,"")</f>
        <v/>
      </c>
      <c r="I502" s="31" t="str">
        <f t="shared" si="6"/>
        <v/>
      </c>
    </row>
    <row r="503" spans="1:9">
      <c r="A503" t="str">
        <f>IF('LISTA DE PRECIOS'!$H512&gt;0,'LISTA DE PRECIOS'!A512,"")</f>
        <v/>
      </c>
      <c r="B503" t="str">
        <f>IF('LISTA DE PRECIOS'!$H512&gt;0,'LISTA DE PRECIOS'!B512,"")</f>
        <v/>
      </c>
      <c r="C503" t="str">
        <f>IF('LISTA DE PRECIOS'!$H512&gt;0,'LISTA DE PRECIOS'!C512,"")</f>
        <v/>
      </c>
      <c r="D503" s="67" t="str">
        <f>IF('LISTA DE PRECIOS'!$H512&gt;0,'LISTA DE PRECIOS'!D512,"")</f>
        <v/>
      </c>
      <c r="E503" t="str">
        <f>IF('LISTA DE PRECIOS'!$H512&gt;0,'LISTA DE PRECIOS'!E512,"")</f>
        <v/>
      </c>
      <c r="F503" t="str">
        <f>IF('LISTA DE PRECIOS'!$H512&gt;0,'LISTA DE PRECIOS'!F512,"")</f>
        <v/>
      </c>
      <c r="G503" s="31" t="str">
        <f>IF('LISTA DE PRECIOS'!$H512&gt;0,'LISTA DE PRECIOS'!G512,"")</f>
        <v/>
      </c>
      <c r="H503" s="67" t="str">
        <f>IF('LISTA DE PRECIOS'!$H512&gt;0,'LISTA DE PRECIOS'!H512,"")</f>
        <v/>
      </c>
      <c r="I503" s="31" t="str">
        <f t="shared" si="6"/>
        <v/>
      </c>
    </row>
    <row r="504" spans="1:9">
      <c r="A504" t="str">
        <f>IF('LISTA DE PRECIOS'!$H513&gt;0,'LISTA DE PRECIOS'!A513,"")</f>
        <v/>
      </c>
      <c r="B504" t="str">
        <f>IF('LISTA DE PRECIOS'!$H513&gt;0,'LISTA DE PRECIOS'!B513,"")</f>
        <v/>
      </c>
      <c r="C504" t="str">
        <f>IF('LISTA DE PRECIOS'!$H513&gt;0,'LISTA DE PRECIOS'!C513,"")</f>
        <v/>
      </c>
      <c r="D504" s="67" t="str">
        <f>IF('LISTA DE PRECIOS'!$H513&gt;0,'LISTA DE PRECIOS'!D513,"")</f>
        <v/>
      </c>
      <c r="E504" t="str">
        <f>IF('LISTA DE PRECIOS'!$H513&gt;0,'LISTA DE PRECIOS'!E513,"")</f>
        <v/>
      </c>
      <c r="F504" t="str">
        <f>IF('LISTA DE PRECIOS'!$H513&gt;0,'LISTA DE PRECIOS'!F513,"")</f>
        <v/>
      </c>
      <c r="G504" s="31" t="str">
        <f>IF('LISTA DE PRECIOS'!$H513&gt;0,'LISTA DE PRECIOS'!G513,"")</f>
        <v/>
      </c>
      <c r="H504" s="67" t="str">
        <f>IF('LISTA DE PRECIOS'!$H513&gt;0,'LISTA DE PRECIOS'!H513,"")</f>
        <v/>
      </c>
      <c r="I504" s="31" t="str">
        <f t="shared" si="6"/>
        <v/>
      </c>
    </row>
    <row r="505" spans="1:9">
      <c r="A505" t="str">
        <f>IF('LISTA DE PRECIOS'!$H514&gt;0,'LISTA DE PRECIOS'!A514,"")</f>
        <v/>
      </c>
      <c r="B505" t="str">
        <f>IF('LISTA DE PRECIOS'!$H514&gt;0,'LISTA DE PRECIOS'!B514,"")</f>
        <v/>
      </c>
      <c r="C505" t="str">
        <f>IF('LISTA DE PRECIOS'!$H514&gt;0,'LISTA DE PRECIOS'!C514,"")</f>
        <v/>
      </c>
      <c r="D505" s="67" t="str">
        <f>IF('LISTA DE PRECIOS'!$H514&gt;0,'LISTA DE PRECIOS'!D514,"")</f>
        <v/>
      </c>
      <c r="E505" t="str">
        <f>IF('LISTA DE PRECIOS'!$H514&gt;0,'LISTA DE PRECIOS'!E514,"")</f>
        <v/>
      </c>
      <c r="F505" t="str">
        <f>IF('LISTA DE PRECIOS'!$H514&gt;0,'LISTA DE PRECIOS'!F514,"")</f>
        <v/>
      </c>
      <c r="G505" s="31" t="str">
        <f>IF('LISTA DE PRECIOS'!$H514&gt;0,'LISTA DE PRECIOS'!G514,"")</f>
        <v/>
      </c>
      <c r="H505" s="67" t="str">
        <f>IF('LISTA DE PRECIOS'!$H514&gt;0,'LISTA DE PRECIOS'!H514,"")</f>
        <v/>
      </c>
      <c r="I505" s="31" t="str">
        <f t="shared" si="6"/>
        <v/>
      </c>
    </row>
    <row r="506" spans="1:9">
      <c r="A506" t="str">
        <f>IF('LISTA DE PRECIOS'!$H515&gt;0,'LISTA DE PRECIOS'!A515,"")</f>
        <v/>
      </c>
      <c r="B506" t="str">
        <f>IF('LISTA DE PRECIOS'!$H515&gt;0,'LISTA DE PRECIOS'!B515,"")</f>
        <v/>
      </c>
      <c r="C506" t="str">
        <f>IF('LISTA DE PRECIOS'!$H515&gt;0,'LISTA DE PRECIOS'!C515,"")</f>
        <v/>
      </c>
      <c r="D506" s="67" t="str">
        <f>IF('LISTA DE PRECIOS'!$H515&gt;0,'LISTA DE PRECIOS'!D515,"")</f>
        <v/>
      </c>
      <c r="E506" t="str">
        <f>IF('LISTA DE PRECIOS'!$H515&gt;0,'LISTA DE PRECIOS'!E515,"")</f>
        <v/>
      </c>
      <c r="F506" t="str">
        <f>IF('LISTA DE PRECIOS'!$H515&gt;0,'LISTA DE PRECIOS'!F515,"")</f>
        <v/>
      </c>
      <c r="G506" s="31" t="str">
        <f>IF('LISTA DE PRECIOS'!$H515&gt;0,'LISTA DE PRECIOS'!G515,"")</f>
        <v/>
      </c>
      <c r="H506" s="67" t="str">
        <f>IF('LISTA DE PRECIOS'!$H515&gt;0,'LISTA DE PRECIOS'!H515,"")</f>
        <v/>
      </c>
      <c r="I506" s="31" t="str">
        <f t="shared" si="6"/>
        <v/>
      </c>
    </row>
    <row r="507" spans="1:9">
      <c r="A507" t="str">
        <f>IF('LISTA DE PRECIOS'!$H516&gt;0,'LISTA DE PRECIOS'!A516,"")</f>
        <v/>
      </c>
      <c r="B507" t="str">
        <f>IF('LISTA DE PRECIOS'!$H516&gt;0,'LISTA DE PRECIOS'!B516,"")</f>
        <v/>
      </c>
      <c r="C507" t="str">
        <f>IF('LISTA DE PRECIOS'!$H516&gt;0,'LISTA DE PRECIOS'!C516,"")</f>
        <v/>
      </c>
      <c r="D507" s="67" t="str">
        <f>IF('LISTA DE PRECIOS'!$H516&gt;0,'LISTA DE PRECIOS'!D516,"")</f>
        <v/>
      </c>
      <c r="E507" t="str">
        <f>IF('LISTA DE PRECIOS'!$H516&gt;0,'LISTA DE PRECIOS'!E516,"")</f>
        <v/>
      </c>
      <c r="F507" t="str">
        <f>IF('LISTA DE PRECIOS'!$H516&gt;0,'LISTA DE PRECIOS'!F516,"")</f>
        <v/>
      </c>
      <c r="G507" s="31" t="str">
        <f>IF('LISTA DE PRECIOS'!$H516&gt;0,'LISTA DE PRECIOS'!G516,"")</f>
        <v/>
      </c>
      <c r="H507" s="67" t="str">
        <f>IF('LISTA DE PRECIOS'!$H516&gt;0,'LISTA DE PRECIOS'!H516,"")</f>
        <v/>
      </c>
      <c r="I507" s="31" t="str">
        <f t="shared" si="6"/>
        <v/>
      </c>
    </row>
    <row r="508" spans="1:9">
      <c r="A508" t="str">
        <f>IF('LISTA DE PRECIOS'!$H517&gt;0,'LISTA DE PRECIOS'!A517,"")</f>
        <v/>
      </c>
      <c r="B508" t="str">
        <f>IF('LISTA DE PRECIOS'!$H517&gt;0,'LISTA DE PRECIOS'!B517,"")</f>
        <v/>
      </c>
      <c r="C508" t="str">
        <f>IF('LISTA DE PRECIOS'!$H517&gt;0,'LISTA DE PRECIOS'!C517,"")</f>
        <v/>
      </c>
      <c r="D508" s="67" t="str">
        <f>IF('LISTA DE PRECIOS'!$H517&gt;0,'LISTA DE PRECIOS'!D517,"")</f>
        <v/>
      </c>
      <c r="E508" t="str">
        <f>IF('LISTA DE PRECIOS'!$H517&gt;0,'LISTA DE PRECIOS'!E517,"")</f>
        <v/>
      </c>
      <c r="F508" t="str">
        <f>IF('LISTA DE PRECIOS'!$H517&gt;0,'LISTA DE PRECIOS'!F517,"")</f>
        <v/>
      </c>
      <c r="G508" s="31" t="str">
        <f>IF('LISTA DE PRECIOS'!$H517&gt;0,'LISTA DE PRECIOS'!G517,"")</f>
        <v/>
      </c>
      <c r="H508" s="67" t="str">
        <f>IF('LISTA DE PRECIOS'!$H517&gt;0,'LISTA DE PRECIOS'!H517,"")</f>
        <v/>
      </c>
      <c r="I508" s="31" t="str">
        <f t="shared" si="6"/>
        <v/>
      </c>
    </row>
    <row r="509" spans="1:9">
      <c r="A509" t="str">
        <f>IF('LISTA DE PRECIOS'!$H518&gt;0,'LISTA DE PRECIOS'!A518,"")</f>
        <v/>
      </c>
      <c r="B509" t="str">
        <f>IF('LISTA DE PRECIOS'!$H518&gt;0,'LISTA DE PRECIOS'!B518,"")</f>
        <v/>
      </c>
      <c r="C509" t="str">
        <f>IF('LISTA DE PRECIOS'!$H518&gt;0,'LISTA DE PRECIOS'!C518,"")</f>
        <v/>
      </c>
      <c r="D509" s="67" t="str">
        <f>IF('LISTA DE PRECIOS'!$H518&gt;0,'LISTA DE PRECIOS'!D518,"")</f>
        <v/>
      </c>
      <c r="E509" t="str">
        <f>IF('LISTA DE PRECIOS'!$H518&gt;0,'LISTA DE PRECIOS'!E518,"")</f>
        <v/>
      </c>
      <c r="F509" t="str">
        <f>IF('LISTA DE PRECIOS'!$H518&gt;0,'LISTA DE PRECIOS'!F518,"")</f>
        <v/>
      </c>
      <c r="G509" s="31" t="str">
        <f>IF('LISTA DE PRECIOS'!$H518&gt;0,'LISTA DE PRECIOS'!G518,"")</f>
        <v/>
      </c>
      <c r="H509" s="67" t="str">
        <f>IF('LISTA DE PRECIOS'!$H518&gt;0,'LISTA DE PRECIOS'!H518,"")</f>
        <v/>
      </c>
      <c r="I509" s="31" t="str">
        <f t="shared" si="6"/>
        <v/>
      </c>
    </row>
    <row r="510" spans="1:9">
      <c r="A510" t="str">
        <f>IF('LISTA DE PRECIOS'!$H519&gt;0,'LISTA DE PRECIOS'!A519,"")</f>
        <v/>
      </c>
      <c r="B510" t="str">
        <f>IF('LISTA DE PRECIOS'!$H519&gt;0,'LISTA DE PRECIOS'!B519,"")</f>
        <v/>
      </c>
      <c r="C510" t="str">
        <f>IF('LISTA DE PRECIOS'!$H519&gt;0,'LISTA DE PRECIOS'!C519,"")</f>
        <v/>
      </c>
      <c r="D510" s="67" t="str">
        <f>IF('LISTA DE PRECIOS'!$H519&gt;0,'LISTA DE PRECIOS'!D519,"")</f>
        <v/>
      </c>
      <c r="E510" t="str">
        <f>IF('LISTA DE PRECIOS'!$H519&gt;0,'LISTA DE PRECIOS'!E519,"")</f>
        <v/>
      </c>
      <c r="F510" t="str">
        <f>IF('LISTA DE PRECIOS'!$H519&gt;0,'LISTA DE PRECIOS'!F519,"")</f>
        <v/>
      </c>
      <c r="G510" s="31" t="str">
        <f>IF('LISTA DE PRECIOS'!$H519&gt;0,'LISTA DE PRECIOS'!G519,"")</f>
        <v/>
      </c>
      <c r="H510" s="67" t="str">
        <f>IF('LISTA DE PRECIOS'!$H519&gt;0,'LISTA DE PRECIOS'!H519,"")</f>
        <v/>
      </c>
      <c r="I510" s="31" t="str">
        <f t="shared" si="6"/>
        <v/>
      </c>
    </row>
    <row r="511" spans="1:9">
      <c r="A511" t="str">
        <f>IF('LISTA DE PRECIOS'!$H520&gt;0,'LISTA DE PRECIOS'!A520,"")</f>
        <v/>
      </c>
      <c r="B511" t="str">
        <f>IF('LISTA DE PRECIOS'!$H520&gt;0,'LISTA DE PRECIOS'!B520,"")</f>
        <v/>
      </c>
      <c r="C511" t="str">
        <f>IF('LISTA DE PRECIOS'!$H520&gt;0,'LISTA DE PRECIOS'!C520,"")</f>
        <v/>
      </c>
      <c r="D511" s="67" t="str">
        <f>IF('LISTA DE PRECIOS'!$H520&gt;0,'LISTA DE PRECIOS'!D520,"")</f>
        <v/>
      </c>
      <c r="E511" t="str">
        <f>IF('LISTA DE PRECIOS'!$H520&gt;0,'LISTA DE PRECIOS'!E520,"")</f>
        <v/>
      </c>
      <c r="F511" t="str">
        <f>IF('LISTA DE PRECIOS'!$H520&gt;0,'LISTA DE PRECIOS'!F520,"")</f>
        <v/>
      </c>
      <c r="G511" s="31" t="str">
        <f>IF('LISTA DE PRECIOS'!$H520&gt;0,'LISTA DE PRECIOS'!G520,"")</f>
        <v/>
      </c>
      <c r="H511" s="67" t="str">
        <f>IF('LISTA DE PRECIOS'!$H520&gt;0,'LISTA DE PRECIOS'!H520,"")</f>
        <v/>
      </c>
      <c r="I511" s="31" t="str">
        <f t="shared" si="6"/>
        <v/>
      </c>
    </row>
    <row r="512" spans="1:9">
      <c r="A512" t="str">
        <f>IF('LISTA DE PRECIOS'!$H521&gt;0,'LISTA DE PRECIOS'!A521,"")</f>
        <v/>
      </c>
      <c r="B512" t="str">
        <f>IF('LISTA DE PRECIOS'!$H521&gt;0,'LISTA DE PRECIOS'!B521,"")</f>
        <v/>
      </c>
      <c r="C512" t="str">
        <f>IF('LISTA DE PRECIOS'!$H521&gt;0,'LISTA DE PRECIOS'!C521,"")</f>
        <v/>
      </c>
      <c r="D512" s="67" t="str">
        <f>IF('LISTA DE PRECIOS'!$H521&gt;0,'LISTA DE PRECIOS'!D521,"")</f>
        <v/>
      </c>
      <c r="E512" t="str">
        <f>IF('LISTA DE PRECIOS'!$H521&gt;0,'LISTA DE PRECIOS'!E521,"")</f>
        <v/>
      </c>
      <c r="F512" t="str">
        <f>IF('LISTA DE PRECIOS'!$H521&gt;0,'LISTA DE PRECIOS'!F521,"")</f>
        <v/>
      </c>
      <c r="G512" s="31" t="str">
        <f>IF('LISTA DE PRECIOS'!$H521&gt;0,'LISTA DE PRECIOS'!G521,"")</f>
        <v/>
      </c>
      <c r="H512" s="67" t="str">
        <f>IF('LISTA DE PRECIOS'!$H521&gt;0,'LISTA DE PRECIOS'!H521,"")</f>
        <v/>
      </c>
      <c r="I512" s="31" t="str">
        <f t="shared" si="6"/>
        <v/>
      </c>
    </row>
    <row r="513" spans="1:9">
      <c r="A513" t="str">
        <f>IF('LISTA DE PRECIOS'!$H522&gt;0,'LISTA DE PRECIOS'!A522,"")</f>
        <v/>
      </c>
      <c r="B513" t="str">
        <f>IF('LISTA DE PRECIOS'!$H522&gt;0,'LISTA DE PRECIOS'!B522,"")</f>
        <v/>
      </c>
      <c r="C513" t="str">
        <f>IF('LISTA DE PRECIOS'!$H522&gt;0,'LISTA DE PRECIOS'!C522,"")</f>
        <v/>
      </c>
      <c r="D513" s="67" t="str">
        <f>IF('LISTA DE PRECIOS'!$H522&gt;0,'LISTA DE PRECIOS'!D522,"")</f>
        <v/>
      </c>
      <c r="E513" t="str">
        <f>IF('LISTA DE PRECIOS'!$H522&gt;0,'LISTA DE PRECIOS'!E522,"")</f>
        <v/>
      </c>
      <c r="F513" t="str">
        <f>IF('LISTA DE PRECIOS'!$H522&gt;0,'LISTA DE PRECIOS'!F522,"")</f>
        <v/>
      </c>
      <c r="G513" s="31" t="str">
        <f>IF('LISTA DE PRECIOS'!$H522&gt;0,'LISTA DE PRECIOS'!G522,"")</f>
        <v/>
      </c>
      <c r="H513" s="67" t="str">
        <f>IF('LISTA DE PRECIOS'!$H522&gt;0,'LISTA DE PRECIOS'!H522,"")</f>
        <v/>
      </c>
      <c r="I513" s="31" t="str">
        <f t="shared" si="6"/>
        <v/>
      </c>
    </row>
    <row r="514" spans="1:9">
      <c r="A514" t="str">
        <f>IF('LISTA DE PRECIOS'!$H523&gt;0,'LISTA DE PRECIOS'!A523,"")</f>
        <v/>
      </c>
      <c r="B514" t="str">
        <f>IF('LISTA DE PRECIOS'!$H523&gt;0,'LISTA DE PRECIOS'!B523,"")</f>
        <v/>
      </c>
      <c r="C514" t="str">
        <f>IF('LISTA DE PRECIOS'!$H523&gt;0,'LISTA DE PRECIOS'!C523,"")</f>
        <v/>
      </c>
      <c r="D514" s="67" t="str">
        <f>IF('LISTA DE PRECIOS'!$H523&gt;0,'LISTA DE PRECIOS'!D523,"")</f>
        <v/>
      </c>
      <c r="E514" t="str">
        <f>IF('LISTA DE PRECIOS'!$H523&gt;0,'LISTA DE PRECIOS'!E523,"")</f>
        <v/>
      </c>
      <c r="F514" t="str">
        <f>IF('LISTA DE PRECIOS'!$H523&gt;0,'LISTA DE PRECIOS'!F523,"")</f>
        <v/>
      </c>
      <c r="G514" s="31" t="str">
        <f>IF('LISTA DE PRECIOS'!$H523&gt;0,'LISTA DE PRECIOS'!G523,"")</f>
        <v/>
      </c>
      <c r="H514" s="67" t="str">
        <f>IF('LISTA DE PRECIOS'!$H523&gt;0,'LISTA DE PRECIOS'!H523,"")</f>
        <v/>
      </c>
      <c r="I514" s="31" t="str">
        <f t="shared" si="6"/>
        <v/>
      </c>
    </row>
    <row r="515" spans="1:9">
      <c r="A515" t="str">
        <f>IF('LISTA DE PRECIOS'!$H524&gt;0,'LISTA DE PRECIOS'!A524,"")</f>
        <v/>
      </c>
      <c r="B515" t="str">
        <f>IF('LISTA DE PRECIOS'!$H524&gt;0,'LISTA DE PRECIOS'!B524,"")</f>
        <v/>
      </c>
      <c r="C515" t="str">
        <f>IF('LISTA DE PRECIOS'!$H524&gt;0,'LISTA DE PRECIOS'!C524,"")</f>
        <v/>
      </c>
      <c r="D515" s="67" t="str">
        <f>IF('LISTA DE PRECIOS'!$H524&gt;0,'LISTA DE PRECIOS'!D524,"")</f>
        <v/>
      </c>
      <c r="E515" t="str">
        <f>IF('LISTA DE PRECIOS'!$H524&gt;0,'LISTA DE PRECIOS'!E524,"")</f>
        <v/>
      </c>
      <c r="F515" t="str">
        <f>IF('LISTA DE PRECIOS'!$H524&gt;0,'LISTA DE PRECIOS'!F524,"")</f>
        <v/>
      </c>
      <c r="G515" s="31" t="str">
        <f>IF('LISTA DE PRECIOS'!$H524&gt;0,'LISTA DE PRECIOS'!G524,"")</f>
        <v/>
      </c>
      <c r="H515" s="67" t="str">
        <f>IF('LISTA DE PRECIOS'!$H524&gt;0,'LISTA DE PRECIOS'!H524,"")</f>
        <v/>
      </c>
      <c r="I515" s="31" t="str">
        <f t="shared" si="6"/>
        <v/>
      </c>
    </row>
    <row r="516" spans="1:9">
      <c r="A516" t="str">
        <f>IF('LISTA DE PRECIOS'!$H525&gt;0,'LISTA DE PRECIOS'!A525,"")</f>
        <v/>
      </c>
      <c r="B516" t="str">
        <f>IF('LISTA DE PRECIOS'!$H525&gt;0,'LISTA DE PRECIOS'!B525,"")</f>
        <v/>
      </c>
      <c r="C516" t="str">
        <f>IF('LISTA DE PRECIOS'!$H525&gt;0,'LISTA DE PRECIOS'!C525,"")</f>
        <v/>
      </c>
      <c r="D516" s="67" t="str">
        <f>IF('LISTA DE PRECIOS'!$H525&gt;0,'LISTA DE PRECIOS'!D525,"")</f>
        <v/>
      </c>
      <c r="E516" t="str">
        <f>IF('LISTA DE PRECIOS'!$H525&gt;0,'LISTA DE PRECIOS'!E525,"")</f>
        <v/>
      </c>
      <c r="F516" t="str">
        <f>IF('LISTA DE PRECIOS'!$H525&gt;0,'LISTA DE PRECIOS'!F525,"")</f>
        <v/>
      </c>
      <c r="G516" s="31" t="str">
        <f>IF('LISTA DE PRECIOS'!$H525&gt;0,'LISTA DE PRECIOS'!G525,"")</f>
        <v/>
      </c>
      <c r="H516" s="67" t="str">
        <f>IF('LISTA DE PRECIOS'!$H525&gt;0,'LISTA DE PRECIOS'!H525,"")</f>
        <v/>
      </c>
      <c r="I516" s="31" t="str">
        <f t="shared" si="6"/>
        <v/>
      </c>
    </row>
    <row r="517" spans="1:9">
      <c r="A517" t="str">
        <f>IF('LISTA DE PRECIOS'!$H526&gt;0,'LISTA DE PRECIOS'!A526,"")</f>
        <v/>
      </c>
      <c r="B517" t="str">
        <f>IF('LISTA DE PRECIOS'!$H526&gt;0,'LISTA DE PRECIOS'!B526,"")</f>
        <v/>
      </c>
      <c r="C517" t="str">
        <f>IF('LISTA DE PRECIOS'!$H526&gt;0,'LISTA DE PRECIOS'!C526,"")</f>
        <v/>
      </c>
      <c r="D517" s="67" t="str">
        <f>IF('LISTA DE PRECIOS'!$H526&gt;0,'LISTA DE PRECIOS'!D526,"")</f>
        <v/>
      </c>
      <c r="E517" t="str">
        <f>IF('LISTA DE PRECIOS'!$H526&gt;0,'LISTA DE PRECIOS'!E526,"")</f>
        <v/>
      </c>
      <c r="F517" t="str">
        <f>IF('LISTA DE PRECIOS'!$H526&gt;0,'LISTA DE PRECIOS'!F526,"")</f>
        <v/>
      </c>
      <c r="G517" s="31" t="str">
        <f>IF('LISTA DE PRECIOS'!$H526&gt;0,'LISTA DE PRECIOS'!G526,"")</f>
        <v/>
      </c>
      <c r="H517" s="67" t="str">
        <f>IF('LISTA DE PRECIOS'!$H526&gt;0,'LISTA DE PRECIOS'!H526,"")</f>
        <v/>
      </c>
      <c r="I517" s="31" t="str">
        <f t="shared" si="6"/>
        <v/>
      </c>
    </row>
    <row r="518" spans="1:9">
      <c r="A518" t="str">
        <f>IF('LISTA DE PRECIOS'!$H527&gt;0,'LISTA DE PRECIOS'!A527,"")</f>
        <v/>
      </c>
      <c r="B518" t="str">
        <f>IF('LISTA DE PRECIOS'!$H527&gt;0,'LISTA DE PRECIOS'!B527,"")</f>
        <v/>
      </c>
      <c r="C518" t="str">
        <f>IF('LISTA DE PRECIOS'!$H527&gt;0,'LISTA DE PRECIOS'!C527,"")</f>
        <v/>
      </c>
      <c r="D518" s="67" t="str">
        <f>IF('LISTA DE PRECIOS'!$H527&gt;0,'LISTA DE PRECIOS'!D527,"")</f>
        <v/>
      </c>
      <c r="E518" t="str">
        <f>IF('LISTA DE PRECIOS'!$H527&gt;0,'LISTA DE PRECIOS'!E527,"")</f>
        <v/>
      </c>
      <c r="F518" t="str">
        <f>IF('LISTA DE PRECIOS'!$H527&gt;0,'LISTA DE PRECIOS'!F527,"")</f>
        <v/>
      </c>
      <c r="G518" s="31" t="str">
        <f>IF('LISTA DE PRECIOS'!$H527&gt;0,'LISTA DE PRECIOS'!G527,"")</f>
        <v/>
      </c>
      <c r="H518" s="67" t="str">
        <f>IF('LISTA DE PRECIOS'!$H527&gt;0,'LISTA DE PRECIOS'!H527,"")</f>
        <v/>
      </c>
      <c r="I518" s="31" t="str">
        <f t="shared" si="6"/>
        <v/>
      </c>
    </row>
    <row r="519" spans="1:9">
      <c r="A519" t="str">
        <f>IF('LISTA DE PRECIOS'!$H528&gt;0,'LISTA DE PRECIOS'!A528,"")</f>
        <v/>
      </c>
      <c r="B519" t="str">
        <f>IF('LISTA DE PRECIOS'!$H528&gt;0,'LISTA DE PRECIOS'!B528,"")</f>
        <v/>
      </c>
      <c r="C519" t="str">
        <f>IF('LISTA DE PRECIOS'!$H528&gt;0,'LISTA DE PRECIOS'!C528,"")</f>
        <v/>
      </c>
      <c r="D519" s="67" t="str">
        <f>IF('LISTA DE PRECIOS'!$H528&gt;0,'LISTA DE PRECIOS'!D528,"")</f>
        <v/>
      </c>
      <c r="E519" t="str">
        <f>IF('LISTA DE PRECIOS'!$H528&gt;0,'LISTA DE PRECIOS'!E528,"")</f>
        <v/>
      </c>
      <c r="F519" t="str">
        <f>IF('LISTA DE PRECIOS'!$H528&gt;0,'LISTA DE PRECIOS'!F528,"")</f>
        <v/>
      </c>
      <c r="G519" s="31" t="str">
        <f>IF('LISTA DE PRECIOS'!$H528&gt;0,'LISTA DE PRECIOS'!G528,"")</f>
        <v/>
      </c>
      <c r="H519" s="67" t="str">
        <f>IF('LISTA DE PRECIOS'!$H528&gt;0,'LISTA DE PRECIOS'!H528,"")</f>
        <v/>
      </c>
      <c r="I519" s="31" t="str">
        <f t="shared" si="6"/>
        <v/>
      </c>
    </row>
    <row r="520" spans="1:9">
      <c r="A520" t="str">
        <f>IF('LISTA DE PRECIOS'!$H529&gt;0,'LISTA DE PRECIOS'!A529,"")</f>
        <v/>
      </c>
      <c r="B520" t="str">
        <f>IF('LISTA DE PRECIOS'!$H529&gt;0,'LISTA DE PRECIOS'!B529,"")</f>
        <v/>
      </c>
      <c r="C520" t="str">
        <f>IF('LISTA DE PRECIOS'!$H529&gt;0,'LISTA DE PRECIOS'!C529,"")</f>
        <v/>
      </c>
      <c r="D520" s="67" t="str">
        <f>IF('LISTA DE PRECIOS'!$H529&gt;0,'LISTA DE PRECIOS'!D529,"")</f>
        <v/>
      </c>
      <c r="E520" t="str">
        <f>IF('LISTA DE PRECIOS'!$H529&gt;0,'LISTA DE PRECIOS'!E529,"")</f>
        <v/>
      </c>
      <c r="F520" t="str">
        <f>IF('LISTA DE PRECIOS'!$H529&gt;0,'LISTA DE PRECIOS'!F529,"")</f>
        <v/>
      </c>
      <c r="G520" s="31" t="str">
        <f>IF('LISTA DE PRECIOS'!$H529&gt;0,'LISTA DE PRECIOS'!G529,"")</f>
        <v/>
      </c>
      <c r="H520" s="67" t="str">
        <f>IF('LISTA DE PRECIOS'!$H529&gt;0,'LISTA DE PRECIOS'!H529,"")</f>
        <v/>
      </c>
      <c r="I520" s="31" t="str">
        <f t="shared" si="6"/>
        <v/>
      </c>
    </row>
    <row r="521" spans="1:9">
      <c r="A521" t="str">
        <f>IF('LISTA DE PRECIOS'!$H530&gt;0,'LISTA DE PRECIOS'!A530,"")</f>
        <v/>
      </c>
      <c r="B521" t="str">
        <f>IF('LISTA DE PRECIOS'!$H530&gt;0,'LISTA DE PRECIOS'!B530,"")</f>
        <v/>
      </c>
      <c r="C521" t="str">
        <f>IF('LISTA DE PRECIOS'!$H530&gt;0,'LISTA DE PRECIOS'!C530,"")</f>
        <v/>
      </c>
      <c r="D521" s="67" t="str">
        <f>IF('LISTA DE PRECIOS'!$H530&gt;0,'LISTA DE PRECIOS'!D530,"")</f>
        <v/>
      </c>
      <c r="E521" t="str">
        <f>IF('LISTA DE PRECIOS'!$H530&gt;0,'LISTA DE PRECIOS'!E530,"")</f>
        <v/>
      </c>
      <c r="F521" t="str">
        <f>IF('LISTA DE PRECIOS'!$H530&gt;0,'LISTA DE PRECIOS'!F530,"")</f>
        <v/>
      </c>
      <c r="G521" s="31" t="str">
        <f>IF('LISTA DE PRECIOS'!$H530&gt;0,'LISTA DE PRECIOS'!G530,"")</f>
        <v/>
      </c>
      <c r="H521" s="67" t="str">
        <f>IF('LISTA DE PRECIOS'!$H530&gt;0,'LISTA DE PRECIOS'!H530,"")</f>
        <v/>
      </c>
      <c r="I521" s="31" t="str">
        <f t="shared" si="6"/>
        <v/>
      </c>
    </row>
    <row r="522" spans="1:9">
      <c r="A522" t="str">
        <f>IF('LISTA DE PRECIOS'!$H531&gt;0,'LISTA DE PRECIOS'!A531,"")</f>
        <v/>
      </c>
      <c r="B522" t="str">
        <f>IF('LISTA DE PRECIOS'!$H531&gt;0,'LISTA DE PRECIOS'!B531,"")</f>
        <v/>
      </c>
      <c r="C522" t="str">
        <f>IF('LISTA DE PRECIOS'!$H531&gt;0,'LISTA DE PRECIOS'!C531,"")</f>
        <v/>
      </c>
      <c r="D522" s="67" t="str">
        <f>IF('LISTA DE PRECIOS'!$H531&gt;0,'LISTA DE PRECIOS'!D531,"")</f>
        <v/>
      </c>
      <c r="E522" t="str">
        <f>IF('LISTA DE PRECIOS'!$H531&gt;0,'LISTA DE PRECIOS'!E531,"")</f>
        <v/>
      </c>
      <c r="F522" t="str">
        <f>IF('LISTA DE PRECIOS'!$H531&gt;0,'LISTA DE PRECIOS'!F531,"")</f>
        <v/>
      </c>
      <c r="G522" s="31" t="str">
        <f>IF('LISTA DE PRECIOS'!$H531&gt;0,'LISTA DE PRECIOS'!G531,"")</f>
        <v/>
      </c>
      <c r="H522" s="67" t="str">
        <f>IF('LISTA DE PRECIOS'!$H531&gt;0,'LISTA DE PRECIOS'!H531,"")</f>
        <v/>
      </c>
      <c r="I522" s="31" t="str">
        <f t="shared" si="6"/>
        <v/>
      </c>
    </row>
    <row r="523" spans="1:9">
      <c r="A523" t="str">
        <f>IF('LISTA DE PRECIOS'!$H532&gt;0,'LISTA DE PRECIOS'!A532,"")</f>
        <v/>
      </c>
      <c r="B523" t="str">
        <f>IF('LISTA DE PRECIOS'!$H532&gt;0,'LISTA DE PRECIOS'!B532,"")</f>
        <v/>
      </c>
      <c r="C523" t="str">
        <f>IF('LISTA DE PRECIOS'!$H532&gt;0,'LISTA DE PRECIOS'!C532,"")</f>
        <v/>
      </c>
      <c r="D523" s="67" t="str">
        <f>IF('LISTA DE PRECIOS'!$H532&gt;0,'LISTA DE PRECIOS'!D532,"")</f>
        <v/>
      </c>
      <c r="E523" t="str">
        <f>IF('LISTA DE PRECIOS'!$H532&gt;0,'LISTA DE PRECIOS'!E532,"")</f>
        <v/>
      </c>
      <c r="F523" t="str">
        <f>IF('LISTA DE PRECIOS'!$H532&gt;0,'LISTA DE PRECIOS'!F532,"")</f>
        <v/>
      </c>
      <c r="G523" s="31" t="str">
        <f>IF('LISTA DE PRECIOS'!$H532&gt;0,'LISTA DE PRECIOS'!G532,"")</f>
        <v/>
      </c>
      <c r="H523" s="67" t="str">
        <f>IF('LISTA DE PRECIOS'!$H532&gt;0,'LISTA DE PRECIOS'!H532,"")</f>
        <v/>
      </c>
      <c r="I523" s="31" t="str">
        <f t="shared" si="6"/>
        <v/>
      </c>
    </row>
    <row r="524" spans="1:9">
      <c r="A524" t="str">
        <f>IF('LISTA DE PRECIOS'!$H533&gt;0,'LISTA DE PRECIOS'!A533,"")</f>
        <v/>
      </c>
      <c r="B524" t="str">
        <f>IF('LISTA DE PRECIOS'!$H533&gt;0,'LISTA DE PRECIOS'!B533,"")</f>
        <v/>
      </c>
      <c r="C524" t="str">
        <f>IF('LISTA DE PRECIOS'!$H533&gt;0,'LISTA DE PRECIOS'!C533,"")</f>
        <v/>
      </c>
      <c r="D524" s="67" t="str">
        <f>IF('LISTA DE PRECIOS'!$H533&gt;0,'LISTA DE PRECIOS'!D533,"")</f>
        <v/>
      </c>
      <c r="E524" t="str">
        <f>IF('LISTA DE PRECIOS'!$H533&gt;0,'LISTA DE PRECIOS'!E533,"")</f>
        <v/>
      </c>
      <c r="F524" t="str">
        <f>IF('LISTA DE PRECIOS'!$H533&gt;0,'LISTA DE PRECIOS'!F533,"")</f>
        <v/>
      </c>
      <c r="G524" s="31" t="str">
        <f>IF('LISTA DE PRECIOS'!$H533&gt;0,'LISTA DE PRECIOS'!G533,"")</f>
        <v/>
      </c>
      <c r="H524" s="67" t="str">
        <f>IF('LISTA DE PRECIOS'!$H533&gt;0,'LISTA DE PRECIOS'!H533,"")</f>
        <v/>
      </c>
      <c r="I524" s="31" t="str">
        <f t="shared" si="6"/>
        <v/>
      </c>
    </row>
    <row r="525" spans="1:9">
      <c r="A525" t="str">
        <f>IF('LISTA DE PRECIOS'!$H534&gt;0,'LISTA DE PRECIOS'!A534,"")</f>
        <v/>
      </c>
      <c r="B525" t="str">
        <f>IF('LISTA DE PRECIOS'!$H534&gt;0,'LISTA DE PRECIOS'!B534,"")</f>
        <v/>
      </c>
      <c r="C525" t="str">
        <f>IF('LISTA DE PRECIOS'!$H534&gt;0,'LISTA DE PRECIOS'!C534,"")</f>
        <v/>
      </c>
      <c r="D525" s="67" t="str">
        <f>IF('LISTA DE PRECIOS'!$H534&gt;0,'LISTA DE PRECIOS'!D534,"")</f>
        <v/>
      </c>
      <c r="E525" t="str">
        <f>IF('LISTA DE PRECIOS'!$H534&gt;0,'LISTA DE PRECIOS'!E534,"")</f>
        <v/>
      </c>
      <c r="F525" t="str">
        <f>IF('LISTA DE PRECIOS'!$H534&gt;0,'LISTA DE PRECIOS'!F534,"")</f>
        <v/>
      </c>
      <c r="G525" s="31" t="str">
        <f>IF('LISTA DE PRECIOS'!$H534&gt;0,'LISTA DE PRECIOS'!G534,"")</f>
        <v/>
      </c>
      <c r="H525" s="67" t="str">
        <f>IF('LISTA DE PRECIOS'!$H534&gt;0,'LISTA DE PRECIOS'!H534,"")</f>
        <v/>
      </c>
      <c r="I525" s="31" t="str">
        <f t="shared" si="6"/>
        <v/>
      </c>
    </row>
    <row r="526" spans="1:9">
      <c r="A526" t="str">
        <f>IF('LISTA DE PRECIOS'!$H535&gt;0,'LISTA DE PRECIOS'!A535,"")</f>
        <v/>
      </c>
      <c r="B526" t="str">
        <f>IF('LISTA DE PRECIOS'!$H535&gt;0,'LISTA DE PRECIOS'!B535,"")</f>
        <v/>
      </c>
      <c r="C526" t="str">
        <f>IF('LISTA DE PRECIOS'!$H535&gt;0,'LISTA DE PRECIOS'!C535,"")</f>
        <v/>
      </c>
      <c r="D526" s="67" t="str">
        <f>IF('LISTA DE PRECIOS'!$H535&gt;0,'LISTA DE PRECIOS'!D535,"")</f>
        <v/>
      </c>
      <c r="E526" t="str">
        <f>IF('LISTA DE PRECIOS'!$H535&gt;0,'LISTA DE PRECIOS'!E535,"")</f>
        <v/>
      </c>
      <c r="F526" t="str">
        <f>IF('LISTA DE PRECIOS'!$H535&gt;0,'LISTA DE PRECIOS'!F535,"")</f>
        <v/>
      </c>
      <c r="G526" s="31" t="str">
        <f>IF('LISTA DE PRECIOS'!$H535&gt;0,'LISTA DE PRECIOS'!G535,"")</f>
        <v/>
      </c>
      <c r="H526" s="67" t="str">
        <f>IF('LISTA DE PRECIOS'!$H535&gt;0,'LISTA DE PRECIOS'!H535,"")</f>
        <v/>
      </c>
      <c r="I526" s="31" t="str">
        <f t="shared" si="6"/>
        <v/>
      </c>
    </row>
    <row r="527" spans="1:9">
      <c r="A527" t="str">
        <f>IF('LISTA DE PRECIOS'!$H536&gt;0,'LISTA DE PRECIOS'!A536,"")</f>
        <v/>
      </c>
      <c r="B527" t="str">
        <f>IF('LISTA DE PRECIOS'!$H536&gt;0,'LISTA DE PRECIOS'!B536,"")</f>
        <v/>
      </c>
      <c r="C527" t="str">
        <f>IF('LISTA DE PRECIOS'!$H536&gt;0,'LISTA DE PRECIOS'!C536,"")</f>
        <v/>
      </c>
      <c r="D527" s="67" t="str">
        <f>IF('LISTA DE PRECIOS'!$H536&gt;0,'LISTA DE PRECIOS'!D536,"")</f>
        <v/>
      </c>
      <c r="E527" t="str">
        <f>IF('LISTA DE PRECIOS'!$H536&gt;0,'LISTA DE PRECIOS'!E536,"")</f>
        <v/>
      </c>
      <c r="F527" t="str">
        <f>IF('LISTA DE PRECIOS'!$H536&gt;0,'LISTA DE PRECIOS'!F536,"")</f>
        <v/>
      </c>
      <c r="G527" s="31" t="str">
        <f>IF('LISTA DE PRECIOS'!$H536&gt;0,'LISTA DE PRECIOS'!G536,"")</f>
        <v/>
      </c>
      <c r="H527" s="67" t="str">
        <f>IF('LISTA DE PRECIOS'!$H536&gt;0,'LISTA DE PRECIOS'!H536,"")</f>
        <v/>
      </c>
      <c r="I527" s="31" t="str">
        <f t="shared" si="6"/>
        <v/>
      </c>
    </row>
    <row r="528" spans="1:9">
      <c r="A528" t="str">
        <f>IF('LISTA DE PRECIOS'!$H538&gt;0,'LISTA DE PRECIOS'!A538,"")</f>
        <v/>
      </c>
      <c r="B528" t="str">
        <f>IF('LISTA DE PRECIOS'!$H538&gt;0,'LISTA DE PRECIOS'!B538,"")</f>
        <v/>
      </c>
      <c r="C528" t="str">
        <f>IF('LISTA DE PRECIOS'!$H538&gt;0,'LISTA DE PRECIOS'!C538,"")</f>
        <v/>
      </c>
      <c r="D528" s="67" t="str">
        <f>IF('LISTA DE PRECIOS'!$H538&gt;0,'LISTA DE PRECIOS'!D538,"")</f>
        <v/>
      </c>
      <c r="E528" t="str">
        <f>IF('LISTA DE PRECIOS'!$H538&gt;0,'LISTA DE PRECIOS'!E538,"")</f>
        <v/>
      </c>
      <c r="F528" t="str">
        <f>IF('LISTA DE PRECIOS'!$H538&gt;0,'LISTA DE PRECIOS'!F538,"")</f>
        <v/>
      </c>
      <c r="G528" s="31" t="str">
        <f>IF('LISTA DE PRECIOS'!$H538&gt;0,'LISTA DE PRECIOS'!G538,"")</f>
        <v/>
      </c>
      <c r="H528" s="67" t="str">
        <f>IF('LISTA DE PRECIOS'!$H538&gt;0,'LISTA DE PRECIOS'!H538,"")</f>
        <v/>
      </c>
      <c r="I528" s="31" t="str">
        <f t="shared" si="6"/>
        <v/>
      </c>
    </row>
    <row r="529" spans="1:9">
      <c r="A529" t="str">
        <f>IF('LISTA DE PRECIOS'!$H539&gt;0,'LISTA DE PRECIOS'!A539,"")</f>
        <v/>
      </c>
      <c r="B529" t="str">
        <f>IF('LISTA DE PRECIOS'!$H539&gt;0,'LISTA DE PRECIOS'!B539,"")</f>
        <v/>
      </c>
      <c r="C529" t="str">
        <f>IF('LISTA DE PRECIOS'!$H539&gt;0,'LISTA DE PRECIOS'!C539,"")</f>
        <v/>
      </c>
      <c r="D529" s="67" t="str">
        <f>IF('LISTA DE PRECIOS'!$H539&gt;0,'LISTA DE PRECIOS'!D539,"")</f>
        <v/>
      </c>
      <c r="E529" t="str">
        <f>IF('LISTA DE PRECIOS'!$H539&gt;0,'LISTA DE PRECIOS'!E539,"")</f>
        <v/>
      </c>
      <c r="F529" t="str">
        <f>IF('LISTA DE PRECIOS'!$H539&gt;0,'LISTA DE PRECIOS'!F539,"")</f>
        <v/>
      </c>
      <c r="G529" s="31" t="str">
        <f>IF('LISTA DE PRECIOS'!$H539&gt;0,'LISTA DE PRECIOS'!G539,"")</f>
        <v/>
      </c>
      <c r="H529" s="67" t="str">
        <f>IF('LISTA DE PRECIOS'!$H539&gt;0,'LISTA DE PRECIOS'!H539,"")</f>
        <v/>
      </c>
      <c r="I529" s="31" t="str">
        <f t="shared" ref="I529:I592" si="7">IF(OR(G529="",H529=""),"",G529*H529)</f>
        <v/>
      </c>
    </row>
    <row r="530" spans="1:9">
      <c r="A530" t="str">
        <f>IF('LISTA DE PRECIOS'!$H540&gt;0,'LISTA DE PRECIOS'!A540,"")</f>
        <v/>
      </c>
      <c r="B530" t="str">
        <f>IF('LISTA DE PRECIOS'!$H540&gt;0,'LISTA DE PRECIOS'!B540,"")</f>
        <v/>
      </c>
      <c r="C530" t="str">
        <f>IF('LISTA DE PRECIOS'!$H540&gt;0,'LISTA DE PRECIOS'!C540,"")</f>
        <v/>
      </c>
      <c r="D530" s="67" t="str">
        <f>IF('LISTA DE PRECIOS'!$H540&gt;0,'LISTA DE PRECIOS'!D540,"")</f>
        <v/>
      </c>
      <c r="E530" t="str">
        <f>IF('LISTA DE PRECIOS'!$H540&gt;0,'LISTA DE PRECIOS'!E540,"")</f>
        <v/>
      </c>
      <c r="F530" t="str">
        <f>IF('LISTA DE PRECIOS'!$H540&gt;0,'LISTA DE PRECIOS'!F540,"")</f>
        <v/>
      </c>
      <c r="G530" s="31" t="str">
        <f>IF('LISTA DE PRECIOS'!$H540&gt;0,'LISTA DE PRECIOS'!G540,"")</f>
        <v/>
      </c>
      <c r="H530" s="67" t="str">
        <f>IF('LISTA DE PRECIOS'!$H540&gt;0,'LISTA DE PRECIOS'!H540,"")</f>
        <v/>
      </c>
      <c r="I530" s="31" t="str">
        <f t="shared" si="7"/>
        <v/>
      </c>
    </row>
    <row r="531" spans="1:9">
      <c r="A531" t="str">
        <f>IF('LISTA DE PRECIOS'!$H541&gt;0,'LISTA DE PRECIOS'!A541,"")</f>
        <v/>
      </c>
      <c r="B531" t="str">
        <f>IF('LISTA DE PRECIOS'!$H541&gt;0,'LISTA DE PRECIOS'!B541,"")</f>
        <v/>
      </c>
      <c r="C531" t="str">
        <f>IF('LISTA DE PRECIOS'!$H541&gt;0,'LISTA DE PRECIOS'!C541,"")</f>
        <v/>
      </c>
      <c r="D531" s="67" t="str">
        <f>IF('LISTA DE PRECIOS'!$H541&gt;0,'LISTA DE PRECIOS'!D541,"")</f>
        <v/>
      </c>
      <c r="E531" t="str">
        <f>IF('LISTA DE PRECIOS'!$H541&gt;0,'LISTA DE PRECIOS'!E541,"")</f>
        <v/>
      </c>
      <c r="F531" t="str">
        <f>IF('LISTA DE PRECIOS'!$H541&gt;0,'LISTA DE PRECIOS'!F541,"")</f>
        <v/>
      </c>
      <c r="G531" s="31" t="str">
        <f>IF('LISTA DE PRECIOS'!$H541&gt;0,'LISTA DE PRECIOS'!G541,"")</f>
        <v/>
      </c>
      <c r="H531" s="67" t="str">
        <f>IF('LISTA DE PRECIOS'!$H541&gt;0,'LISTA DE PRECIOS'!H541,"")</f>
        <v/>
      </c>
      <c r="I531" s="31" t="str">
        <f t="shared" si="7"/>
        <v/>
      </c>
    </row>
    <row r="532" spans="1:9">
      <c r="A532" t="str">
        <f>IF('LISTA DE PRECIOS'!$H542&gt;0,'LISTA DE PRECIOS'!A542,"")</f>
        <v/>
      </c>
      <c r="B532" t="str">
        <f>IF('LISTA DE PRECIOS'!$H542&gt;0,'LISTA DE PRECIOS'!B542,"")</f>
        <v/>
      </c>
      <c r="C532" t="str">
        <f>IF('LISTA DE PRECIOS'!$H542&gt;0,'LISTA DE PRECIOS'!C542,"")</f>
        <v/>
      </c>
      <c r="D532" s="67" t="str">
        <f>IF('LISTA DE PRECIOS'!$H542&gt;0,'LISTA DE PRECIOS'!D542,"")</f>
        <v/>
      </c>
      <c r="E532" t="str">
        <f>IF('LISTA DE PRECIOS'!$H542&gt;0,'LISTA DE PRECIOS'!E542,"")</f>
        <v/>
      </c>
      <c r="F532" t="str">
        <f>IF('LISTA DE PRECIOS'!$H542&gt;0,'LISTA DE PRECIOS'!F542,"")</f>
        <v/>
      </c>
      <c r="G532" s="31" t="str">
        <f>IF('LISTA DE PRECIOS'!$H542&gt;0,'LISTA DE PRECIOS'!G542,"")</f>
        <v/>
      </c>
      <c r="H532" s="67" t="str">
        <f>IF('LISTA DE PRECIOS'!$H542&gt;0,'LISTA DE PRECIOS'!H542,"")</f>
        <v/>
      </c>
      <c r="I532" s="31" t="str">
        <f t="shared" si="7"/>
        <v/>
      </c>
    </row>
    <row r="533" spans="1:9">
      <c r="A533" t="str">
        <f>IF('LISTA DE PRECIOS'!$H543&gt;0,'LISTA DE PRECIOS'!A543,"")</f>
        <v/>
      </c>
      <c r="B533" t="str">
        <f>IF('LISTA DE PRECIOS'!$H543&gt;0,'LISTA DE PRECIOS'!B543,"")</f>
        <v/>
      </c>
      <c r="C533" t="str">
        <f>IF('LISTA DE PRECIOS'!$H543&gt;0,'LISTA DE PRECIOS'!C543,"")</f>
        <v/>
      </c>
      <c r="D533" s="67" t="str">
        <f>IF('LISTA DE PRECIOS'!$H543&gt;0,'LISTA DE PRECIOS'!D543,"")</f>
        <v/>
      </c>
      <c r="E533" t="str">
        <f>IF('LISTA DE PRECIOS'!$H543&gt;0,'LISTA DE PRECIOS'!E543,"")</f>
        <v/>
      </c>
      <c r="F533" t="str">
        <f>IF('LISTA DE PRECIOS'!$H543&gt;0,'LISTA DE PRECIOS'!F543,"")</f>
        <v/>
      </c>
      <c r="G533" s="31" t="str">
        <f>IF('LISTA DE PRECIOS'!$H543&gt;0,'LISTA DE PRECIOS'!G543,"")</f>
        <v/>
      </c>
      <c r="H533" s="67" t="str">
        <f>IF('LISTA DE PRECIOS'!$H543&gt;0,'LISTA DE PRECIOS'!H543,"")</f>
        <v/>
      </c>
      <c r="I533" s="31" t="str">
        <f t="shared" si="7"/>
        <v/>
      </c>
    </row>
    <row r="534" spans="1:9">
      <c r="A534" t="str">
        <f>IF('LISTA DE PRECIOS'!$H544&gt;0,'LISTA DE PRECIOS'!A544,"")</f>
        <v/>
      </c>
      <c r="B534" t="str">
        <f>IF('LISTA DE PRECIOS'!$H544&gt;0,'LISTA DE PRECIOS'!B544,"")</f>
        <v/>
      </c>
      <c r="C534" t="str">
        <f>IF('LISTA DE PRECIOS'!$H544&gt;0,'LISTA DE PRECIOS'!C544,"")</f>
        <v/>
      </c>
      <c r="D534" s="67" t="str">
        <f>IF('LISTA DE PRECIOS'!$H544&gt;0,'LISTA DE PRECIOS'!D544,"")</f>
        <v/>
      </c>
      <c r="E534" t="str">
        <f>IF('LISTA DE PRECIOS'!$H544&gt;0,'LISTA DE PRECIOS'!E544,"")</f>
        <v/>
      </c>
      <c r="F534" t="str">
        <f>IF('LISTA DE PRECIOS'!$H544&gt;0,'LISTA DE PRECIOS'!F544,"")</f>
        <v/>
      </c>
      <c r="G534" s="31" t="str">
        <f>IF('LISTA DE PRECIOS'!$H544&gt;0,'LISTA DE PRECIOS'!G544,"")</f>
        <v/>
      </c>
      <c r="H534" s="67" t="str">
        <f>IF('LISTA DE PRECIOS'!$H544&gt;0,'LISTA DE PRECIOS'!H544,"")</f>
        <v/>
      </c>
      <c r="I534" s="31" t="str">
        <f t="shared" si="7"/>
        <v/>
      </c>
    </row>
    <row r="535" spans="1:9">
      <c r="A535" t="str">
        <f>IF('LISTA DE PRECIOS'!$H545&gt;0,'LISTA DE PRECIOS'!A545,"")</f>
        <v/>
      </c>
      <c r="B535" t="str">
        <f>IF('LISTA DE PRECIOS'!$H545&gt;0,'LISTA DE PRECIOS'!B545,"")</f>
        <v/>
      </c>
      <c r="C535" t="str">
        <f>IF('LISTA DE PRECIOS'!$H545&gt;0,'LISTA DE PRECIOS'!C545,"")</f>
        <v/>
      </c>
      <c r="D535" s="67" t="str">
        <f>IF('LISTA DE PRECIOS'!$H545&gt;0,'LISTA DE PRECIOS'!D545,"")</f>
        <v/>
      </c>
      <c r="E535" t="str">
        <f>IF('LISTA DE PRECIOS'!$H545&gt;0,'LISTA DE PRECIOS'!E545,"")</f>
        <v/>
      </c>
      <c r="F535" t="str">
        <f>IF('LISTA DE PRECIOS'!$H545&gt;0,'LISTA DE PRECIOS'!F545,"")</f>
        <v/>
      </c>
      <c r="G535" s="31" t="str">
        <f>IF('LISTA DE PRECIOS'!$H545&gt;0,'LISTA DE PRECIOS'!G545,"")</f>
        <v/>
      </c>
      <c r="H535" s="67" t="str">
        <f>IF('LISTA DE PRECIOS'!$H545&gt;0,'LISTA DE PRECIOS'!H545,"")</f>
        <v/>
      </c>
      <c r="I535" s="31" t="str">
        <f t="shared" si="7"/>
        <v/>
      </c>
    </row>
    <row r="536" spans="1:9">
      <c r="A536" t="str">
        <f>IF('LISTA DE PRECIOS'!$H546&gt;0,'LISTA DE PRECIOS'!A546,"")</f>
        <v/>
      </c>
      <c r="B536" t="str">
        <f>IF('LISTA DE PRECIOS'!$H546&gt;0,'LISTA DE PRECIOS'!B546,"")</f>
        <v/>
      </c>
      <c r="C536" t="str">
        <f>IF('LISTA DE PRECIOS'!$H546&gt;0,'LISTA DE PRECIOS'!C546,"")</f>
        <v/>
      </c>
      <c r="D536" s="67" t="str">
        <f>IF('LISTA DE PRECIOS'!$H546&gt;0,'LISTA DE PRECIOS'!D546,"")</f>
        <v/>
      </c>
      <c r="E536" t="str">
        <f>IF('LISTA DE PRECIOS'!$H546&gt;0,'LISTA DE PRECIOS'!E546,"")</f>
        <v/>
      </c>
      <c r="F536" t="str">
        <f>IF('LISTA DE PRECIOS'!$H546&gt;0,'LISTA DE PRECIOS'!F546,"")</f>
        <v/>
      </c>
      <c r="G536" s="31" t="str">
        <f>IF('LISTA DE PRECIOS'!$H546&gt;0,'LISTA DE PRECIOS'!G546,"")</f>
        <v/>
      </c>
      <c r="H536" s="67" t="str">
        <f>IF('LISTA DE PRECIOS'!$H546&gt;0,'LISTA DE PRECIOS'!H546,"")</f>
        <v/>
      </c>
      <c r="I536" s="31" t="str">
        <f t="shared" si="7"/>
        <v/>
      </c>
    </row>
    <row r="537" spans="1:9">
      <c r="A537" t="str">
        <f>IF('LISTA DE PRECIOS'!$H547&gt;0,'LISTA DE PRECIOS'!A547,"")</f>
        <v/>
      </c>
      <c r="B537" t="str">
        <f>IF('LISTA DE PRECIOS'!$H547&gt;0,'LISTA DE PRECIOS'!B547,"")</f>
        <v/>
      </c>
      <c r="C537" t="str">
        <f>IF('LISTA DE PRECIOS'!$H547&gt;0,'LISTA DE PRECIOS'!C547,"")</f>
        <v/>
      </c>
      <c r="D537" s="67" t="str">
        <f>IF('LISTA DE PRECIOS'!$H547&gt;0,'LISTA DE PRECIOS'!D547,"")</f>
        <v/>
      </c>
      <c r="E537" t="str">
        <f>IF('LISTA DE PRECIOS'!$H547&gt;0,'LISTA DE PRECIOS'!E547,"")</f>
        <v/>
      </c>
      <c r="F537" t="str">
        <f>IF('LISTA DE PRECIOS'!$H547&gt;0,'LISTA DE PRECIOS'!F547,"")</f>
        <v/>
      </c>
      <c r="G537" s="31" t="str">
        <f>IF('LISTA DE PRECIOS'!$H547&gt;0,'LISTA DE PRECIOS'!G547,"")</f>
        <v/>
      </c>
      <c r="H537" s="67" t="str">
        <f>IF('LISTA DE PRECIOS'!$H547&gt;0,'LISTA DE PRECIOS'!H547,"")</f>
        <v/>
      </c>
      <c r="I537" s="31" t="str">
        <f t="shared" si="7"/>
        <v/>
      </c>
    </row>
    <row r="538" spans="1:9">
      <c r="A538" t="str">
        <f>IF('LISTA DE PRECIOS'!$H548&gt;0,'LISTA DE PRECIOS'!A548,"")</f>
        <v/>
      </c>
      <c r="B538" t="str">
        <f>IF('LISTA DE PRECIOS'!$H548&gt;0,'LISTA DE PRECIOS'!B548,"")</f>
        <v/>
      </c>
      <c r="C538" t="str">
        <f>IF('LISTA DE PRECIOS'!$H548&gt;0,'LISTA DE PRECIOS'!C548,"")</f>
        <v/>
      </c>
      <c r="D538" s="67" t="str">
        <f>IF('LISTA DE PRECIOS'!$H548&gt;0,'LISTA DE PRECIOS'!D548,"")</f>
        <v/>
      </c>
      <c r="E538" t="str">
        <f>IF('LISTA DE PRECIOS'!$H548&gt;0,'LISTA DE PRECIOS'!E548,"")</f>
        <v/>
      </c>
      <c r="F538" t="str">
        <f>IF('LISTA DE PRECIOS'!$H548&gt;0,'LISTA DE PRECIOS'!F548,"")</f>
        <v/>
      </c>
      <c r="G538" s="31" t="str">
        <f>IF('LISTA DE PRECIOS'!$H548&gt;0,'LISTA DE PRECIOS'!G548,"")</f>
        <v/>
      </c>
      <c r="H538" s="67" t="str">
        <f>IF('LISTA DE PRECIOS'!$H548&gt;0,'LISTA DE PRECIOS'!H548,"")</f>
        <v/>
      </c>
      <c r="I538" s="31" t="str">
        <f t="shared" si="7"/>
        <v/>
      </c>
    </row>
    <row r="539" spans="1:9">
      <c r="A539" t="str">
        <f>IF('LISTA DE PRECIOS'!$H549&gt;0,'LISTA DE PRECIOS'!A549,"")</f>
        <v/>
      </c>
      <c r="B539" t="str">
        <f>IF('LISTA DE PRECIOS'!$H549&gt;0,'LISTA DE PRECIOS'!B549,"")</f>
        <v/>
      </c>
      <c r="C539" t="str">
        <f>IF('LISTA DE PRECIOS'!$H549&gt;0,'LISTA DE PRECIOS'!C549,"")</f>
        <v/>
      </c>
      <c r="D539" s="67" t="str">
        <f>IF('LISTA DE PRECIOS'!$H549&gt;0,'LISTA DE PRECIOS'!D549,"")</f>
        <v/>
      </c>
      <c r="E539" t="str">
        <f>IF('LISTA DE PRECIOS'!$H549&gt;0,'LISTA DE PRECIOS'!E549,"")</f>
        <v/>
      </c>
      <c r="F539" t="str">
        <f>IF('LISTA DE PRECIOS'!$H549&gt;0,'LISTA DE PRECIOS'!F549,"")</f>
        <v/>
      </c>
      <c r="G539" s="31" t="str">
        <f>IF('LISTA DE PRECIOS'!$H549&gt;0,'LISTA DE PRECIOS'!G549,"")</f>
        <v/>
      </c>
      <c r="H539" s="67" t="str">
        <f>IF('LISTA DE PRECIOS'!$H549&gt;0,'LISTA DE PRECIOS'!H549,"")</f>
        <v/>
      </c>
      <c r="I539" s="31" t="str">
        <f t="shared" si="7"/>
        <v/>
      </c>
    </row>
    <row r="540" spans="1:9">
      <c r="A540" t="str">
        <f>IF('LISTA DE PRECIOS'!$H550&gt;0,'LISTA DE PRECIOS'!A550,"")</f>
        <v/>
      </c>
      <c r="B540" t="str">
        <f>IF('LISTA DE PRECIOS'!$H550&gt;0,'LISTA DE PRECIOS'!B550,"")</f>
        <v/>
      </c>
      <c r="C540" t="str">
        <f>IF('LISTA DE PRECIOS'!$H550&gt;0,'LISTA DE PRECIOS'!C550,"")</f>
        <v/>
      </c>
      <c r="D540" s="67" t="str">
        <f>IF('LISTA DE PRECIOS'!$H550&gt;0,'LISTA DE PRECIOS'!D550,"")</f>
        <v/>
      </c>
      <c r="E540" t="str">
        <f>IF('LISTA DE PRECIOS'!$H550&gt;0,'LISTA DE PRECIOS'!E550,"")</f>
        <v/>
      </c>
      <c r="F540" t="str">
        <f>IF('LISTA DE PRECIOS'!$H550&gt;0,'LISTA DE PRECIOS'!F550,"")</f>
        <v/>
      </c>
      <c r="G540" s="31" t="str">
        <f>IF('LISTA DE PRECIOS'!$H550&gt;0,'LISTA DE PRECIOS'!G550,"")</f>
        <v/>
      </c>
      <c r="H540" s="67" t="str">
        <f>IF('LISTA DE PRECIOS'!$H550&gt;0,'LISTA DE PRECIOS'!H550,"")</f>
        <v/>
      </c>
      <c r="I540" s="31" t="str">
        <f t="shared" si="7"/>
        <v/>
      </c>
    </row>
    <row r="541" spans="1:9">
      <c r="A541" t="str">
        <f>IF('LISTA DE PRECIOS'!$H553&gt;0,'LISTA DE PRECIOS'!A553,"")</f>
        <v/>
      </c>
      <c r="B541" t="str">
        <f>IF('LISTA DE PRECIOS'!$H553&gt;0,'LISTA DE PRECIOS'!B553,"")</f>
        <v/>
      </c>
      <c r="C541" t="str">
        <f>IF('LISTA DE PRECIOS'!$H553&gt;0,'LISTA DE PRECIOS'!C553,"")</f>
        <v/>
      </c>
      <c r="D541" s="67" t="str">
        <f>IF('LISTA DE PRECIOS'!$H553&gt;0,'LISTA DE PRECIOS'!D553,"")</f>
        <v/>
      </c>
      <c r="E541" t="str">
        <f>IF('LISTA DE PRECIOS'!$H553&gt;0,'LISTA DE PRECIOS'!E553,"")</f>
        <v/>
      </c>
      <c r="F541" t="str">
        <f>IF('LISTA DE PRECIOS'!$H553&gt;0,'LISTA DE PRECIOS'!F553,"")</f>
        <v/>
      </c>
      <c r="G541" s="31" t="str">
        <f>IF('LISTA DE PRECIOS'!$H553&gt;0,'LISTA DE PRECIOS'!G553,"")</f>
        <v/>
      </c>
      <c r="H541" s="67" t="str">
        <f>IF('LISTA DE PRECIOS'!$H553&gt;0,'LISTA DE PRECIOS'!H553,"")</f>
        <v/>
      </c>
      <c r="I541" s="31" t="str">
        <f t="shared" si="7"/>
        <v/>
      </c>
    </row>
    <row r="542" spans="1:9">
      <c r="A542" t="str">
        <f>IF('LISTA DE PRECIOS'!$H554&gt;0,'LISTA DE PRECIOS'!A554,"")</f>
        <v/>
      </c>
      <c r="B542" t="str">
        <f>IF('LISTA DE PRECIOS'!$H554&gt;0,'LISTA DE PRECIOS'!B554,"")</f>
        <v/>
      </c>
      <c r="C542" t="str">
        <f>IF('LISTA DE PRECIOS'!$H554&gt;0,'LISTA DE PRECIOS'!C554,"")</f>
        <v/>
      </c>
      <c r="D542" s="67" t="str">
        <f>IF('LISTA DE PRECIOS'!$H554&gt;0,'LISTA DE PRECIOS'!D554,"")</f>
        <v/>
      </c>
      <c r="E542" t="str">
        <f>IF('LISTA DE PRECIOS'!$H554&gt;0,'LISTA DE PRECIOS'!E554,"")</f>
        <v/>
      </c>
      <c r="F542" t="str">
        <f>IF('LISTA DE PRECIOS'!$H554&gt;0,'LISTA DE PRECIOS'!F554,"")</f>
        <v/>
      </c>
      <c r="G542" s="31" t="str">
        <f>IF('LISTA DE PRECIOS'!$H554&gt;0,'LISTA DE PRECIOS'!G554,"")</f>
        <v/>
      </c>
      <c r="H542" s="67" t="str">
        <f>IF('LISTA DE PRECIOS'!$H554&gt;0,'LISTA DE PRECIOS'!H554,"")</f>
        <v/>
      </c>
      <c r="I542" s="31" t="str">
        <f t="shared" si="7"/>
        <v/>
      </c>
    </row>
    <row r="543" spans="1:9">
      <c r="A543" t="str">
        <f>IF('LISTA DE PRECIOS'!$H555&gt;0,'LISTA DE PRECIOS'!A555,"")</f>
        <v/>
      </c>
      <c r="B543" t="str">
        <f>IF('LISTA DE PRECIOS'!$H555&gt;0,'LISTA DE PRECIOS'!B555,"")</f>
        <v/>
      </c>
      <c r="C543" t="str">
        <f>IF('LISTA DE PRECIOS'!$H555&gt;0,'LISTA DE PRECIOS'!C555,"")</f>
        <v/>
      </c>
      <c r="D543" s="67" t="str">
        <f>IF('LISTA DE PRECIOS'!$H555&gt;0,'LISTA DE PRECIOS'!D555,"")</f>
        <v/>
      </c>
      <c r="E543" t="str">
        <f>IF('LISTA DE PRECIOS'!$H555&gt;0,'LISTA DE PRECIOS'!E555,"")</f>
        <v/>
      </c>
      <c r="F543" t="str">
        <f>IF('LISTA DE PRECIOS'!$H555&gt;0,'LISTA DE PRECIOS'!F555,"")</f>
        <v/>
      </c>
      <c r="G543" s="31" t="str">
        <f>IF('LISTA DE PRECIOS'!$H555&gt;0,'LISTA DE PRECIOS'!G555,"")</f>
        <v/>
      </c>
      <c r="H543" s="67" t="str">
        <f>IF('LISTA DE PRECIOS'!$H555&gt;0,'LISTA DE PRECIOS'!H555,"")</f>
        <v/>
      </c>
      <c r="I543" s="31" t="str">
        <f t="shared" si="7"/>
        <v/>
      </c>
    </row>
    <row r="544" spans="1:9">
      <c r="A544" t="str">
        <f>IF('LISTA DE PRECIOS'!$H556&gt;0,'LISTA DE PRECIOS'!A556,"")</f>
        <v/>
      </c>
      <c r="B544" t="str">
        <f>IF('LISTA DE PRECIOS'!$H556&gt;0,'LISTA DE PRECIOS'!B556,"")</f>
        <v/>
      </c>
      <c r="C544" t="str">
        <f>IF('LISTA DE PRECIOS'!$H556&gt;0,'LISTA DE PRECIOS'!C556,"")</f>
        <v/>
      </c>
      <c r="D544" s="67" t="str">
        <f>IF('LISTA DE PRECIOS'!$H556&gt;0,'LISTA DE PRECIOS'!D556,"")</f>
        <v/>
      </c>
      <c r="E544" t="str">
        <f>IF('LISTA DE PRECIOS'!$H556&gt;0,'LISTA DE PRECIOS'!E556,"")</f>
        <v/>
      </c>
      <c r="F544" t="str">
        <f>IF('LISTA DE PRECIOS'!$H556&gt;0,'LISTA DE PRECIOS'!F556,"")</f>
        <v/>
      </c>
      <c r="G544" s="31" t="str">
        <f>IF('LISTA DE PRECIOS'!$H556&gt;0,'LISTA DE PRECIOS'!G556,"")</f>
        <v/>
      </c>
      <c r="H544" s="67" t="str">
        <f>IF('LISTA DE PRECIOS'!$H556&gt;0,'LISTA DE PRECIOS'!H556,"")</f>
        <v/>
      </c>
      <c r="I544" s="31" t="str">
        <f t="shared" si="7"/>
        <v/>
      </c>
    </row>
    <row r="545" spans="1:9">
      <c r="A545" t="str">
        <f>IF('LISTA DE PRECIOS'!$H557&gt;0,'LISTA DE PRECIOS'!A557,"")</f>
        <v/>
      </c>
      <c r="B545" t="str">
        <f>IF('LISTA DE PRECIOS'!$H557&gt;0,'LISTA DE PRECIOS'!B557,"")</f>
        <v/>
      </c>
      <c r="C545" t="str">
        <f>IF('LISTA DE PRECIOS'!$H557&gt;0,'LISTA DE PRECIOS'!C557,"")</f>
        <v/>
      </c>
      <c r="D545" s="67" t="str">
        <f>IF('LISTA DE PRECIOS'!$H557&gt;0,'LISTA DE PRECIOS'!D557,"")</f>
        <v/>
      </c>
      <c r="E545" t="str">
        <f>IF('LISTA DE PRECIOS'!$H557&gt;0,'LISTA DE PRECIOS'!E557,"")</f>
        <v/>
      </c>
      <c r="F545" t="str">
        <f>IF('LISTA DE PRECIOS'!$H557&gt;0,'LISTA DE PRECIOS'!F557,"")</f>
        <v/>
      </c>
      <c r="G545" s="31" t="str">
        <f>IF('LISTA DE PRECIOS'!$H557&gt;0,'LISTA DE PRECIOS'!G557,"")</f>
        <v/>
      </c>
      <c r="H545" s="67" t="str">
        <f>IF('LISTA DE PRECIOS'!$H557&gt;0,'LISTA DE PRECIOS'!H557,"")</f>
        <v/>
      </c>
      <c r="I545" s="31" t="str">
        <f t="shared" si="7"/>
        <v/>
      </c>
    </row>
    <row r="546" spans="1:9">
      <c r="A546" t="str">
        <f>IF('LISTA DE PRECIOS'!$H558&gt;0,'LISTA DE PRECIOS'!A558,"")</f>
        <v/>
      </c>
      <c r="B546" t="str">
        <f>IF('LISTA DE PRECIOS'!$H558&gt;0,'LISTA DE PRECIOS'!B558,"")</f>
        <v/>
      </c>
      <c r="C546" t="str">
        <f>IF('LISTA DE PRECIOS'!$H558&gt;0,'LISTA DE PRECIOS'!C558,"")</f>
        <v/>
      </c>
      <c r="D546" s="67" t="str">
        <f>IF('LISTA DE PRECIOS'!$H558&gt;0,'LISTA DE PRECIOS'!D558,"")</f>
        <v/>
      </c>
      <c r="E546" t="str">
        <f>IF('LISTA DE PRECIOS'!$H558&gt;0,'LISTA DE PRECIOS'!E558,"")</f>
        <v/>
      </c>
      <c r="F546" t="str">
        <f>IF('LISTA DE PRECIOS'!$H558&gt;0,'LISTA DE PRECIOS'!F558,"")</f>
        <v/>
      </c>
      <c r="G546" s="31" t="str">
        <f>IF('LISTA DE PRECIOS'!$H558&gt;0,'LISTA DE PRECIOS'!G558,"")</f>
        <v/>
      </c>
      <c r="H546" s="67" t="str">
        <f>IF('LISTA DE PRECIOS'!$H558&gt;0,'LISTA DE PRECIOS'!H558,"")</f>
        <v/>
      </c>
      <c r="I546" s="31" t="str">
        <f t="shared" si="7"/>
        <v/>
      </c>
    </row>
    <row r="547" spans="1:9">
      <c r="A547" t="str">
        <f>IF('LISTA DE PRECIOS'!$H559&gt;0,'LISTA DE PRECIOS'!A559,"")</f>
        <v/>
      </c>
      <c r="B547" t="str">
        <f>IF('LISTA DE PRECIOS'!$H559&gt;0,'LISTA DE PRECIOS'!B559,"")</f>
        <v/>
      </c>
      <c r="C547" t="str">
        <f>IF('LISTA DE PRECIOS'!$H559&gt;0,'LISTA DE PRECIOS'!C559,"")</f>
        <v/>
      </c>
      <c r="D547" s="67" t="str">
        <f>IF('LISTA DE PRECIOS'!$H559&gt;0,'LISTA DE PRECIOS'!D559,"")</f>
        <v/>
      </c>
      <c r="E547" t="str">
        <f>IF('LISTA DE PRECIOS'!$H559&gt;0,'LISTA DE PRECIOS'!E559,"")</f>
        <v/>
      </c>
      <c r="F547" t="str">
        <f>IF('LISTA DE PRECIOS'!$H559&gt;0,'LISTA DE PRECIOS'!F559,"")</f>
        <v/>
      </c>
      <c r="G547" s="31" t="str">
        <f>IF('LISTA DE PRECIOS'!$H559&gt;0,'LISTA DE PRECIOS'!G559,"")</f>
        <v/>
      </c>
      <c r="H547" s="67" t="str">
        <f>IF('LISTA DE PRECIOS'!$H559&gt;0,'LISTA DE PRECIOS'!H559,"")</f>
        <v/>
      </c>
      <c r="I547" s="31" t="str">
        <f t="shared" si="7"/>
        <v/>
      </c>
    </row>
    <row r="548" spans="1:9">
      <c r="A548" t="str">
        <f>IF('LISTA DE PRECIOS'!$H560&gt;0,'LISTA DE PRECIOS'!A560,"")</f>
        <v/>
      </c>
      <c r="B548" t="str">
        <f>IF('LISTA DE PRECIOS'!$H560&gt;0,'LISTA DE PRECIOS'!B560,"")</f>
        <v/>
      </c>
      <c r="C548" t="str">
        <f>IF('LISTA DE PRECIOS'!$H560&gt;0,'LISTA DE PRECIOS'!C560,"")</f>
        <v/>
      </c>
      <c r="D548" s="67" t="str">
        <f>IF('LISTA DE PRECIOS'!$H560&gt;0,'LISTA DE PRECIOS'!D560,"")</f>
        <v/>
      </c>
      <c r="E548" t="str">
        <f>IF('LISTA DE PRECIOS'!$H560&gt;0,'LISTA DE PRECIOS'!E560,"")</f>
        <v/>
      </c>
      <c r="F548" t="str">
        <f>IF('LISTA DE PRECIOS'!$H560&gt;0,'LISTA DE PRECIOS'!F560,"")</f>
        <v/>
      </c>
      <c r="G548" s="31" t="str">
        <f>IF('LISTA DE PRECIOS'!$H560&gt;0,'LISTA DE PRECIOS'!G560,"")</f>
        <v/>
      </c>
      <c r="H548" s="67" t="str">
        <f>IF('LISTA DE PRECIOS'!$H560&gt;0,'LISTA DE PRECIOS'!H560,"")</f>
        <v/>
      </c>
      <c r="I548" s="31" t="str">
        <f t="shared" si="7"/>
        <v/>
      </c>
    </row>
    <row r="549" spans="1:9">
      <c r="A549" t="str">
        <f>IF('LISTA DE PRECIOS'!$H561&gt;0,'LISTA DE PRECIOS'!A561,"")</f>
        <v/>
      </c>
      <c r="B549" t="str">
        <f>IF('LISTA DE PRECIOS'!$H561&gt;0,'LISTA DE PRECIOS'!B561,"")</f>
        <v/>
      </c>
      <c r="C549" t="str">
        <f>IF('LISTA DE PRECIOS'!$H561&gt;0,'LISTA DE PRECIOS'!C561,"")</f>
        <v/>
      </c>
      <c r="D549" s="67" t="str">
        <f>IF('LISTA DE PRECIOS'!$H561&gt;0,'LISTA DE PRECIOS'!D561,"")</f>
        <v/>
      </c>
      <c r="E549" t="str">
        <f>IF('LISTA DE PRECIOS'!$H561&gt;0,'LISTA DE PRECIOS'!E561,"")</f>
        <v/>
      </c>
      <c r="F549" t="str">
        <f>IF('LISTA DE PRECIOS'!$H561&gt;0,'LISTA DE PRECIOS'!F561,"")</f>
        <v/>
      </c>
      <c r="G549" s="31" t="str">
        <f>IF('LISTA DE PRECIOS'!$H561&gt;0,'LISTA DE PRECIOS'!G561,"")</f>
        <v/>
      </c>
      <c r="H549" s="67" t="str">
        <f>IF('LISTA DE PRECIOS'!$H561&gt;0,'LISTA DE PRECIOS'!H561,"")</f>
        <v/>
      </c>
      <c r="I549" s="31" t="str">
        <f t="shared" si="7"/>
        <v/>
      </c>
    </row>
    <row r="550" spans="1:9">
      <c r="A550" t="str">
        <f>IF('LISTA DE PRECIOS'!$H562&gt;0,'LISTA DE PRECIOS'!A562,"")</f>
        <v/>
      </c>
      <c r="B550" t="str">
        <f>IF('LISTA DE PRECIOS'!$H562&gt;0,'LISTA DE PRECIOS'!B562,"")</f>
        <v/>
      </c>
      <c r="C550" t="str">
        <f>IF('LISTA DE PRECIOS'!$H562&gt;0,'LISTA DE PRECIOS'!C562,"")</f>
        <v/>
      </c>
      <c r="D550" s="67" t="str">
        <f>IF('LISTA DE PRECIOS'!$H562&gt;0,'LISTA DE PRECIOS'!D562,"")</f>
        <v/>
      </c>
      <c r="E550" t="str">
        <f>IF('LISTA DE PRECIOS'!$H562&gt;0,'LISTA DE PRECIOS'!E562,"")</f>
        <v/>
      </c>
      <c r="F550" t="str">
        <f>IF('LISTA DE PRECIOS'!$H562&gt;0,'LISTA DE PRECIOS'!F562,"")</f>
        <v/>
      </c>
      <c r="G550" s="31" t="str">
        <f>IF('LISTA DE PRECIOS'!$H562&gt;0,'LISTA DE PRECIOS'!G562,"")</f>
        <v/>
      </c>
      <c r="H550" s="67" t="str">
        <f>IF('LISTA DE PRECIOS'!$H562&gt;0,'LISTA DE PRECIOS'!H562,"")</f>
        <v/>
      </c>
      <c r="I550" s="31" t="str">
        <f t="shared" si="7"/>
        <v/>
      </c>
    </row>
    <row r="551" spans="1:9">
      <c r="A551" t="str">
        <f>IF('LISTA DE PRECIOS'!$H563&gt;0,'LISTA DE PRECIOS'!A563,"")</f>
        <v/>
      </c>
      <c r="B551" t="str">
        <f>IF('LISTA DE PRECIOS'!$H563&gt;0,'LISTA DE PRECIOS'!B563,"")</f>
        <v/>
      </c>
      <c r="C551" t="str">
        <f>IF('LISTA DE PRECIOS'!$H563&gt;0,'LISTA DE PRECIOS'!C563,"")</f>
        <v/>
      </c>
      <c r="D551" s="67" t="str">
        <f>IF('LISTA DE PRECIOS'!$H563&gt;0,'LISTA DE PRECIOS'!D563,"")</f>
        <v/>
      </c>
      <c r="E551" t="str">
        <f>IF('LISTA DE PRECIOS'!$H563&gt;0,'LISTA DE PRECIOS'!E563,"")</f>
        <v/>
      </c>
      <c r="F551" t="str">
        <f>IF('LISTA DE PRECIOS'!$H563&gt;0,'LISTA DE PRECIOS'!F563,"")</f>
        <v/>
      </c>
      <c r="G551" s="31" t="str">
        <f>IF('LISTA DE PRECIOS'!$H563&gt;0,'LISTA DE PRECIOS'!G563,"")</f>
        <v/>
      </c>
      <c r="H551" s="67" t="str">
        <f>IF('LISTA DE PRECIOS'!$H563&gt;0,'LISTA DE PRECIOS'!H563,"")</f>
        <v/>
      </c>
      <c r="I551" s="31" t="str">
        <f t="shared" si="7"/>
        <v/>
      </c>
    </row>
    <row r="552" spans="1:9">
      <c r="A552" t="str">
        <f>IF('LISTA DE PRECIOS'!$H564&gt;0,'LISTA DE PRECIOS'!A564,"")</f>
        <v/>
      </c>
      <c r="B552" t="str">
        <f>IF('LISTA DE PRECIOS'!$H564&gt;0,'LISTA DE PRECIOS'!B564,"")</f>
        <v/>
      </c>
      <c r="C552" t="str">
        <f>IF('LISTA DE PRECIOS'!$H564&gt;0,'LISTA DE PRECIOS'!C564,"")</f>
        <v/>
      </c>
      <c r="D552" s="67" t="str">
        <f>IF('LISTA DE PRECIOS'!$H564&gt;0,'LISTA DE PRECIOS'!D564,"")</f>
        <v/>
      </c>
      <c r="E552" t="str">
        <f>IF('LISTA DE PRECIOS'!$H564&gt;0,'LISTA DE PRECIOS'!E564,"")</f>
        <v/>
      </c>
      <c r="F552" t="str">
        <f>IF('LISTA DE PRECIOS'!$H564&gt;0,'LISTA DE PRECIOS'!F564,"")</f>
        <v/>
      </c>
      <c r="G552" s="31" t="str">
        <f>IF('LISTA DE PRECIOS'!$H564&gt;0,'LISTA DE PRECIOS'!G564,"")</f>
        <v/>
      </c>
      <c r="H552" s="67" t="str">
        <f>IF('LISTA DE PRECIOS'!$H564&gt;0,'LISTA DE PRECIOS'!H564,"")</f>
        <v/>
      </c>
      <c r="I552" s="31" t="str">
        <f t="shared" si="7"/>
        <v/>
      </c>
    </row>
    <row r="553" spans="1:9">
      <c r="A553" t="str">
        <f>IF('LISTA DE PRECIOS'!$H565&gt;0,'LISTA DE PRECIOS'!A565,"")</f>
        <v/>
      </c>
      <c r="B553" t="str">
        <f>IF('LISTA DE PRECIOS'!$H565&gt;0,'LISTA DE PRECIOS'!B565,"")</f>
        <v/>
      </c>
      <c r="C553" t="str">
        <f>IF('LISTA DE PRECIOS'!$H565&gt;0,'LISTA DE PRECIOS'!C565,"")</f>
        <v/>
      </c>
      <c r="D553" s="67" t="str">
        <f>IF('LISTA DE PRECIOS'!$H565&gt;0,'LISTA DE PRECIOS'!D565,"")</f>
        <v/>
      </c>
      <c r="E553" t="str">
        <f>IF('LISTA DE PRECIOS'!$H565&gt;0,'LISTA DE PRECIOS'!E565,"")</f>
        <v/>
      </c>
      <c r="F553" t="str">
        <f>IF('LISTA DE PRECIOS'!$H565&gt;0,'LISTA DE PRECIOS'!F565,"")</f>
        <v/>
      </c>
      <c r="G553" s="31" t="str">
        <f>IF('LISTA DE PRECIOS'!$H565&gt;0,'LISTA DE PRECIOS'!G565,"")</f>
        <v/>
      </c>
      <c r="H553" s="67" t="str">
        <f>IF('LISTA DE PRECIOS'!$H565&gt;0,'LISTA DE PRECIOS'!H565,"")</f>
        <v/>
      </c>
      <c r="I553" s="31" t="str">
        <f t="shared" si="7"/>
        <v/>
      </c>
    </row>
    <row r="554" spans="1:9">
      <c r="A554" t="str">
        <f>IF('LISTA DE PRECIOS'!$H566&gt;0,'LISTA DE PRECIOS'!A566,"")</f>
        <v/>
      </c>
      <c r="B554" t="str">
        <f>IF('LISTA DE PRECIOS'!$H566&gt;0,'LISTA DE PRECIOS'!B566,"")</f>
        <v/>
      </c>
      <c r="C554" t="str">
        <f>IF('LISTA DE PRECIOS'!$H566&gt;0,'LISTA DE PRECIOS'!C566,"")</f>
        <v/>
      </c>
      <c r="D554" s="67" t="str">
        <f>IF('LISTA DE PRECIOS'!$H566&gt;0,'LISTA DE PRECIOS'!D566,"")</f>
        <v/>
      </c>
      <c r="E554" t="str">
        <f>IF('LISTA DE PRECIOS'!$H566&gt;0,'LISTA DE PRECIOS'!E566,"")</f>
        <v/>
      </c>
      <c r="F554" t="str">
        <f>IF('LISTA DE PRECIOS'!$H566&gt;0,'LISTA DE PRECIOS'!F566,"")</f>
        <v/>
      </c>
      <c r="G554" s="31" t="str">
        <f>IF('LISTA DE PRECIOS'!$H566&gt;0,'LISTA DE PRECIOS'!G566,"")</f>
        <v/>
      </c>
      <c r="H554" s="67" t="str">
        <f>IF('LISTA DE PRECIOS'!$H566&gt;0,'LISTA DE PRECIOS'!H566,"")</f>
        <v/>
      </c>
      <c r="I554" s="31" t="str">
        <f t="shared" si="7"/>
        <v/>
      </c>
    </row>
    <row r="555" spans="1:9">
      <c r="A555" t="str">
        <f>IF('LISTA DE PRECIOS'!$H567&gt;0,'LISTA DE PRECIOS'!A567,"")</f>
        <v/>
      </c>
      <c r="B555" t="str">
        <f>IF('LISTA DE PRECIOS'!$H567&gt;0,'LISTA DE PRECIOS'!B567,"")</f>
        <v/>
      </c>
      <c r="C555" t="str">
        <f>IF('LISTA DE PRECIOS'!$H567&gt;0,'LISTA DE PRECIOS'!C567,"")</f>
        <v/>
      </c>
      <c r="D555" s="67" t="str">
        <f>IF('LISTA DE PRECIOS'!$H567&gt;0,'LISTA DE PRECIOS'!D567,"")</f>
        <v/>
      </c>
      <c r="E555" t="str">
        <f>IF('LISTA DE PRECIOS'!$H567&gt;0,'LISTA DE PRECIOS'!E567,"")</f>
        <v/>
      </c>
      <c r="F555" t="str">
        <f>IF('LISTA DE PRECIOS'!$H567&gt;0,'LISTA DE PRECIOS'!F567,"")</f>
        <v/>
      </c>
      <c r="G555" s="31" t="str">
        <f>IF('LISTA DE PRECIOS'!$H567&gt;0,'LISTA DE PRECIOS'!G567,"")</f>
        <v/>
      </c>
      <c r="H555" s="67" t="str">
        <f>IF('LISTA DE PRECIOS'!$H567&gt;0,'LISTA DE PRECIOS'!H567,"")</f>
        <v/>
      </c>
      <c r="I555" s="31" t="str">
        <f t="shared" si="7"/>
        <v/>
      </c>
    </row>
    <row r="556" spans="1:9">
      <c r="A556" t="str">
        <f>IF('LISTA DE PRECIOS'!$H568&gt;0,'LISTA DE PRECIOS'!A568,"")</f>
        <v/>
      </c>
      <c r="B556" t="str">
        <f>IF('LISTA DE PRECIOS'!$H568&gt;0,'LISTA DE PRECIOS'!B568,"")</f>
        <v/>
      </c>
      <c r="C556" t="str">
        <f>IF('LISTA DE PRECIOS'!$H568&gt;0,'LISTA DE PRECIOS'!C568,"")</f>
        <v/>
      </c>
      <c r="D556" s="67" t="str">
        <f>IF('LISTA DE PRECIOS'!$H568&gt;0,'LISTA DE PRECIOS'!D568,"")</f>
        <v/>
      </c>
      <c r="E556" t="str">
        <f>IF('LISTA DE PRECIOS'!$H568&gt;0,'LISTA DE PRECIOS'!E568,"")</f>
        <v/>
      </c>
      <c r="F556" t="str">
        <f>IF('LISTA DE PRECIOS'!$H568&gt;0,'LISTA DE PRECIOS'!F568,"")</f>
        <v/>
      </c>
      <c r="G556" s="31" t="str">
        <f>IF('LISTA DE PRECIOS'!$H568&gt;0,'LISTA DE PRECIOS'!G568,"")</f>
        <v/>
      </c>
      <c r="H556" s="67" t="str">
        <f>IF('LISTA DE PRECIOS'!$H568&gt;0,'LISTA DE PRECIOS'!H568,"")</f>
        <v/>
      </c>
      <c r="I556" s="31" t="str">
        <f t="shared" si="7"/>
        <v/>
      </c>
    </row>
    <row r="557" spans="1:9">
      <c r="A557" t="str">
        <f>IF('LISTA DE PRECIOS'!$H569&gt;0,'LISTA DE PRECIOS'!A569,"")</f>
        <v/>
      </c>
      <c r="B557" t="str">
        <f>IF('LISTA DE PRECIOS'!$H569&gt;0,'LISTA DE PRECIOS'!B569,"")</f>
        <v/>
      </c>
      <c r="C557" t="str">
        <f>IF('LISTA DE PRECIOS'!$H569&gt;0,'LISTA DE PRECIOS'!C569,"")</f>
        <v/>
      </c>
      <c r="D557" s="67" t="str">
        <f>IF('LISTA DE PRECIOS'!$H569&gt;0,'LISTA DE PRECIOS'!D569,"")</f>
        <v/>
      </c>
      <c r="E557" t="str">
        <f>IF('LISTA DE PRECIOS'!$H569&gt;0,'LISTA DE PRECIOS'!E569,"")</f>
        <v/>
      </c>
      <c r="F557" t="str">
        <f>IF('LISTA DE PRECIOS'!$H569&gt;0,'LISTA DE PRECIOS'!F569,"")</f>
        <v/>
      </c>
      <c r="G557" s="31" t="str">
        <f>IF('LISTA DE PRECIOS'!$H569&gt;0,'LISTA DE PRECIOS'!G569,"")</f>
        <v/>
      </c>
      <c r="H557" s="67" t="str">
        <f>IF('LISTA DE PRECIOS'!$H569&gt;0,'LISTA DE PRECIOS'!H569,"")</f>
        <v/>
      </c>
      <c r="I557" s="31" t="str">
        <f t="shared" si="7"/>
        <v/>
      </c>
    </row>
    <row r="558" spans="1:9">
      <c r="A558" t="str">
        <f>IF('LISTA DE PRECIOS'!$H570&gt;0,'LISTA DE PRECIOS'!A570,"")</f>
        <v/>
      </c>
      <c r="B558" t="str">
        <f>IF('LISTA DE PRECIOS'!$H570&gt;0,'LISTA DE PRECIOS'!B570,"")</f>
        <v/>
      </c>
      <c r="C558" t="str">
        <f>IF('LISTA DE PRECIOS'!$H570&gt;0,'LISTA DE PRECIOS'!C570,"")</f>
        <v/>
      </c>
      <c r="D558" s="67" t="str">
        <f>IF('LISTA DE PRECIOS'!$H570&gt;0,'LISTA DE PRECIOS'!D570,"")</f>
        <v/>
      </c>
      <c r="E558" t="str">
        <f>IF('LISTA DE PRECIOS'!$H570&gt;0,'LISTA DE PRECIOS'!E570,"")</f>
        <v/>
      </c>
      <c r="F558" t="str">
        <f>IF('LISTA DE PRECIOS'!$H570&gt;0,'LISTA DE PRECIOS'!F570,"")</f>
        <v/>
      </c>
      <c r="G558" s="31" t="str">
        <f>IF('LISTA DE PRECIOS'!$H570&gt;0,'LISTA DE PRECIOS'!G570,"")</f>
        <v/>
      </c>
      <c r="H558" s="67" t="str">
        <f>IF('LISTA DE PRECIOS'!$H570&gt;0,'LISTA DE PRECIOS'!H570,"")</f>
        <v/>
      </c>
      <c r="I558" s="31" t="str">
        <f t="shared" si="7"/>
        <v/>
      </c>
    </row>
    <row r="559" spans="1:9">
      <c r="A559" t="str">
        <f>IF('LISTA DE PRECIOS'!$H571&gt;0,'LISTA DE PRECIOS'!A571,"")</f>
        <v/>
      </c>
      <c r="B559" t="str">
        <f>IF('LISTA DE PRECIOS'!$H571&gt;0,'LISTA DE PRECIOS'!B571,"")</f>
        <v/>
      </c>
      <c r="C559" t="str">
        <f>IF('LISTA DE PRECIOS'!$H571&gt;0,'LISTA DE PRECIOS'!C571,"")</f>
        <v/>
      </c>
      <c r="D559" s="67" t="str">
        <f>IF('LISTA DE PRECIOS'!$H571&gt;0,'LISTA DE PRECIOS'!D571,"")</f>
        <v/>
      </c>
      <c r="E559" t="str">
        <f>IF('LISTA DE PRECIOS'!$H571&gt;0,'LISTA DE PRECIOS'!E571,"")</f>
        <v/>
      </c>
      <c r="F559" t="str">
        <f>IF('LISTA DE PRECIOS'!$H571&gt;0,'LISTA DE PRECIOS'!F571,"")</f>
        <v/>
      </c>
      <c r="G559" s="31" t="str">
        <f>IF('LISTA DE PRECIOS'!$H571&gt;0,'LISTA DE PRECIOS'!G571,"")</f>
        <v/>
      </c>
      <c r="H559" s="67" t="str">
        <f>IF('LISTA DE PRECIOS'!$H571&gt;0,'LISTA DE PRECIOS'!H571,"")</f>
        <v/>
      </c>
      <c r="I559" s="31" t="str">
        <f t="shared" si="7"/>
        <v/>
      </c>
    </row>
    <row r="560" spans="1:9">
      <c r="A560" t="str">
        <f>IF('LISTA DE PRECIOS'!$H574&gt;0,'LISTA DE PRECIOS'!A574,"")</f>
        <v/>
      </c>
      <c r="B560" t="str">
        <f>IF('LISTA DE PRECIOS'!$H574&gt;0,'LISTA DE PRECIOS'!B574,"")</f>
        <v/>
      </c>
      <c r="C560" t="str">
        <f>IF('LISTA DE PRECIOS'!$H574&gt;0,'LISTA DE PRECIOS'!C574,"")</f>
        <v/>
      </c>
      <c r="D560" s="67" t="str">
        <f>IF('LISTA DE PRECIOS'!$H574&gt;0,'LISTA DE PRECIOS'!D574,"")</f>
        <v/>
      </c>
      <c r="E560" t="str">
        <f>IF('LISTA DE PRECIOS'!$H574&gt;0,'LISTA DE PRECIOS'!E574,"")</f>
        <v/>
      </c>
      <c r="F560" t="str">
        <f>IF('LISTA DE PRECIOS'!$H574&gt;0,'LISTA DE PRECIOS'!F574,"")</f>
        <v/>
      </c>
      <c r="G560" s="31" t="str">
        <f>IF('LISTA DE PRECIOS'!$H574&gt;0,'LISTA DE PRECIOS'!G574,"")</f>
        <v/>
      </c>
      <c r="H560" s="67" t="str">
        <f>IF('LISTA DE PRECIOS'!$H574&gt;0,'LISTA DE PRECIOS'!H574,"")</f>
        <v/>
      </c>
      <c r="I560" s="31" t="str">
        <f t="shared" si="7"/>
        <v/>
      </c>
    </row>
    <row r="561" spans="1:9">
      <c r="A561" t="str">
        <f>IF('LISTA DE PRECIOS'!$H575&gt;0,'LISTA DE PRECIOS'!A575,"")</f>
        <v/>
      </c>
      <c r="B561" t="str">
        <f>IF('LISTA DE PRECIOS'!$H575&gt;0,'LISTA DE PRECIOS'!B575,"")</f>
        <v/>
      </c>
      <c r="C561" t="str">
        <f>IF('LISTA DE PRECIOS'!$H575&gt;0,'LISTA DE PRECIOS'!C575,"")</f>
        <v/>
      </c>
      <c r="D561" s="67" t="str">
        <f>IF('LISTA DE PRECIOS'!$H575&gt;0,'LISTA DE PRECIOS'!D575,"")</f>
        <v/>
      </c>
      <c r="E561" t="str">
        <f>IF('LISTA DE PRECIOS'!$H575&gt;0,'LISTA DE PRECIOS'!E575,"")</f>
        <v/>
      </c>
      <c r="F561" t="str">
        <f>IF('LISTA DE PRECIOS'!$H575&gt;0,'LISTA DE PRECIOS'!F575,"")</f>
        <v/>
      </c>
      <c r="G561" s="31" t="str">
        <f>IF('LISTA DE PRECIOS'!$H575&gt;0,'LISTA DE PRECIOS'!G575,"")</f>
        <v/>
      </c>
      <c r="H561" s="67" t="str">
        <f>IF('LISTA DE PRECIOS'!$H575&gt;0,'LISTA DE PRECIOS'!H575,"")</f>
        <v/>
      </c>
      <c r="I561" s="31" t="str">
        <f t="shared" si="7"/>
        <v/>
      </c>
    </row>
    <row r="562" spans="1:9">
      <c r="A562" t="str">
        <f>IF('LISTA DE PRECIOS'!$H576&gt;0,'LISTA DE PRECIOS'!A576,"")</f>
        <v/>
      </c>
      <c r="B562" t="str">
        <f>IF('LISTA DE PRECIOS'!$H576&gt;0,'LISTA DE PRECIOS'!B576,"")</f>
        <v/>
      </c>
      <c r="C562" t="str">
        <f>IF('LISTA DE PRECIOS'!$H576&gt;0,'LISTA DE PRECIOS'!C576,"")</f>
        <v/>
      </c>
      <c r="D562" s="67" t="str">
        <f>IF('LISTA DE PRECIOS'!$H576&gt;0,'LISTA DE PRECIOS'!D576,"")</f>
        <v/>
      </c>
      <c r="E562" t="str">
        <f>IF('LISTA DE PRECIOS'!$H576&gt;0,'LISTA DE PRECIOS'!E576,"")</f>
        <v/>
      </c>
      <c r="F562" t="str">
        <f>IF('LISTA DE PRECIOS'!$H576&gt;0,'LISTA DE PRECIOS'!F576,"")</f>
        <v/>
      </c>
      <c r="G562" s="31" t="str">
        <f>IF('LISTA DE PRECIOS'!$H576&gt;0,'LISTA DE PRECIOS'!G576,"")</f>
        <v/>
      </c>
      <c r="H562" s="67" t="str">
        <f>IF('LISTA DE PRECIOS'!$H576&gt;0,'LISTA DE PRECIOS'!H576,"")</f>
        <v/>
      </c>
      <c r="I562" s="31" t="str">
        <f t="shared" si="7"/>
        <v/>
      </c>
    </row>
    <row r="563" spans="1:9">
      <c r="A563" t="str">
        <f>IF('LISTA DE PRECIOS'!$H577&gt;0,'LISTA DE PRECIOS'!A577,"")</f>
        <v/>
      </c>
      <c r="B563" t="str">
        <f>IF('LISTA DE PRECIOS'!$H577&gt;0,'LISTA DE PRECIOS'!B577,"")</f>
        <v/>
      </c>
      <c r="C563" t="str">
        <f>IF('LISTA DE PRECIOS'!$H577&gt;0,'LISTA DE PRECIOS'!C577,"")</f>
        <v/>
      </c>
      <c r="D563" s="67" t="str">
        <f>IF('LISTA DE PRECIOS'!$H577&gt;0,'LISTA DE PRECIOS'!D577,"")</f>
        <v/>
      </c>
      <c r="E563" t="str">
        <f>IF('LISTA DE PRECIOS'!$H577&gt;0,'LISTA DE PRECIOS'!E577,"")</f>
        <v/>
      </c>
      <c r="F563" t="str">
        <f>IF('LISTA DE PRECIOS'!$H577&gt;0,'LISTA DE PRECIOS'!F577,"")</f>
        <v/>
      </c>
      <c r="G563" s="31" t="str">
        <f>IF('LISTA DE PRECIOS'!$H577&gt;0,'LISTA DE PRECIOS'!G577,"")</f>
        <v/>
      </c>
      <c r="H563" s="67" t="str">
        <f>IF('LISTA DE PRECIOS'!$H577&gt;0,'LISTA DE PRECIOS'!H577,"")</f>
        <v/>
      </c>
      <c r="I563" s="31" t="str">
        <f t="shared" si="7"/>
        <v/>
      </c>
    </row>
    <row r="564" spans="1:9">
      <c r="A564" t="str">
        <f>IF('LISTA DE PRECIOS'!$H578&gt;0,'LISTA DE PRECIOS'!A578,"")</f>
        <v/>
      </c>
      <c r="B564" t="str">
        <f>IF('LISTA DE PRECIOS'!$H578&gt;0,'LISTA DE PRECIOS'!B578,"")</f>
        <v/>
      </c>
      <c r="C564" t="str">
        <f>IF('LISTA DE PRECIOS'!$H578&gt;0,'LISTA DE PRECIOS'!C578,"")</f>
        <v/>
      </c>
      <c r="D564" s="67" t="str">
        <f>IF('LISTA DE PRECIOS'!$H578&gt;0,'LISTA DE PRECIOS'!D578,"")</f>
        <v/>
      </c>
      <c r="E564" t="str">
        <f>IF('LISTA DE PRECIOS'!$H578&gt;0,'LISTA DE PRECIOS'!E578,"")</f>
        <v/>
      </c>
      <c r="F564" t="str">
        <f>IF('LISTA DE PRECIOS'!$H578&gt;0,'LISTA DE PRECIOS'!F578,"")</f>
        <v/>
      </c>
      <c r="G564" s="31" t="str">
        <f>IF('LISTA DE PRECIOS'!$H578&gt;0,'LISTA DE PRECIOS'!G578,"")</f>
        <v/>
      </c>
      <c r="H564" s="67" t="str">
        <f>IF('LISTA DE PRECIOS'!$H578&gt;0,'LISTA DE PRECIOS'!H578,"")</f>
        <v/>
      </c>
      <c r="I564" s="31" t="str">
        <f t="shared" si="7"/>
        <v/>
      </c>
    </row>
    <row r="565" spans="1:9">
      <c r="A565" t="str">
        <f>IF('LISTA DE PRECIOS'!$H579&gt;0,'LISTA DE PRECIOS'!A579,"")</f>
        <v/>
      </c>
      <c r="B565" t="str">
        <f>IF('LISTA DE PRECIOS'!$H579&gt;0,'LISTA DE PRECIOS'!B579,"")</f>
        <v/>
      </c>
      <c r="C565" t="str">
        <f>IF('LISTA DE PRECIOS'!$H579&gt;0,'LISTA DE PRECIOS'!C579,"")</f>
        <v/>
      </c>
      <c r="D565" s="67" t="str">
        <f>IF('LISTA DE PRECIOS'!$H579&gt;0,'LISTA DE PRECIOS'!D579,"")</f>
        <v/>
      </c>
      <c r="E565" t="str">
        <f>IF('LISTA DE PRECIOS'!$H579&gt;0,'LISTA DE PRECIOS'!E579,"")</f>
        <v/>
      </c>
      <c r="F565" t="str">
        <f>IF('LISTA DE PRECIOS'!$H579&gt;0,'LISTA DE PRECIOS'!F579,"")</f>
        <v/>
      </c>
      <c r="G565" s="31" t="str">
        <f>IF('LISTA DE PRECIOS'!$H579&gt;0,'LISTA DE PRECIOS'!G579,"")</f>
        <v/>
      </c>
      <c r="H565" s="67" t="str">
        <f>IF('LISTA DE PRECIOS'!$H579&gt;0,'LISTA DE PRECIOS'!H579,"")</f>
        <v/>
      </c>
      <c r="I565" s="31" t="str">
        <f t="shared" si="7"/>
        <v/>
      </c>
    </row>
    <row r="566" spans="1:9">
      <c r="A566" t="str">
        <f>IF('LISTA DE PRECIOS'!$H580&gt;0,'LISTA DE PRECIOS'!A580,"")</f>
        <v/>
      </c>
      <c r="B566" t="str">
        <f>IF('LISTA DE PRECIOS'!$H580&gt;0,'LISTA DE PRECIOS'!B580,"")</f>
        <v/>
      </c>
      <c r="C566" t="str">
        <f>IF('LISTA DE PRECIOS'!$H580&gt;0,'LISTA DE PRECIOS'!C580,"")</f>
        <v/>
      </c>
      <c r="D566" s="67" t="str">
        <f>IF('LISTA DE PRECIOS'!$H580&gt;0,'LISTA DE PRECIOS'!D580,"")</f>
        <v/>
      </c>
      <c r="E566" t="str">
        <f>IF('LISTA DE PRECIOS'!$H580&gt;0,'LISTA DE PRECIOS'!E580,"")</f>
        <v/>
      </c>
      <c r="F566" t="str">
        <f>IF('LISTA DE PRECIOS'!$H580&gt;0,'LISTA DE PRECIOS'!F580,"")</f>
        <v/>
      </c>
      <c r="G566" s="31" t="str">
        <f>IF('LISTA DE PRECIOS'!$H580&gt;0,'LISTA DE PRECIOS'!G580,"")</f>
        <v/>
      </c>
      <c r="H566" s="67" t="str">
        <f>IF('LISTA DE PRECIOS'!$H580&gt;0,'LISTA DE PRECIOS'!H580,"")</f>
        <v/>
      </c>
      <c r="I566" s="31" t="str">
        <f t="shared" si="7"/>
        <v/>
      </c>
    </row>
    <row r="567" spans="1:9">
      <c r="A567" t="str">
        <f>IF('LISTA DE PRECIOS'!$H581&gt;0,'LISTA DE PRECIOS'!A581,"")</f>
        <v/>
      </c>
      <c r="B567" t="str">
        <f>IF('LISTA DE PRECIOS'!$H581&gt;0,'LISTA DE PRECIOS'!B581,"")</f>
        <v/>
      </c>
      <c r="C567" t="str">
        <f>IF('LISTA DE PRECIOS'!$H581&gt;0,'LISTA DE PRECIOS'!C581,"")</f>
        <v/>
      </c>
      <c r="D567" s="67" t="str">
        <f>IF('LISTA DE PRECIOS'!$H581&gt;0,'LISTA DE PRECIOS'!D581,"")</f>
        <v/>
      </c>
      <c r="E567" t="str">
        <f>IF('LISTA DE PRECIOS'!$H581&gt;0,'LISTA DE PRECIOS'!E581,"")</f>
        <v/>
      </c>
      <c r="F567" t="str">
        <f>IF('LISTA DE PRECIOS'!$H581&gt;0,'LISTA DE PRECIOS'!F581,"")</f>
        <v/>
      </c>
      <c r="G567" s="31" t="str">
        <f>IF('LISTA DE PRECIOS'!$H581&gt;0,'LISTA DE PRECIOS'!G581,"")</f>
        <v/>
      </c>
      <c r="H567" s="67" t="str">
        <f>IF('LISTA DE PRECIOS'!$H581&gt;0,'LISTA DE PRECIOS'!H581,"")</f>
        <v/>
      </c>
      <c r="I567" s="31" t="str">
        <f t="shared" si="7"/>
        <v/>
      </c>
    </row>
    <row r="568" spans="1:9">
      <c r="A568" t="str">
        <f>IF('LISTA DE PRECIOS'!$H582&gt;0,'LISTA DE PRECIOS'!A582,"")</f>
        <v/>
      </c>
      <c r="B568" t="str">
        <f>IF('LISTA DE PRECIOS'!$H582&gt;0,'LISTA DE PRECIOS'!B582,"")</f>
        <v/>
      </c>
      <c r="C568" t="str">
        <f>IF('LISTA DE PRECIOS'!$H582&gt;0,'LISTA DE PRECIOS'!C582,"")</f>
        <v/>
      </c>
      <c r="D568" s="67" t="str">
        <f>IF('LISTA DE PRECIOS'!$H582&gt;0,'LISTA DE PRECIOS'!D582,"")</f>
        <v/>
      </c>
      <c r="E568" t="str">
        <f>IF('LISTA DE PRECIOS'!$H582&gt;0,'LISTA DE PRECIOS'!E582,"")</f>
        <v/>
      </c>
      <c r="F568" t="str">
        <f>IF('LISTA DE PRECIOS'!$H582&gt;0,'LISTA DE PRECIOS'!F582,"")</f>
        <v/>
      </c>
      <c r="G568" s="31" t="str">
        <f>IF('LISTA DE PRECIOS'!$H582&gt;0,'LISTA DE PRECIOS'!G582,"")</f>
        <v/>
      </c>
      <c r="H568" s="67" t="str">
        <f>IF('LISTA DE PRECIOS'!$H582&gt;0,'LISTA DE PRECIOS'!H582,"")</f>
        <v/>
      </c>
      <c r="I568" s="31" t="str">
        <f t="shared" si="7"/>
        <v/>
      </c>
    </row>
    <row r="569" spans="1:9">
      <c r="A569" t="str">
        <f>IF('LISTA DE PRECIOS'!$H583&gt;0,'LISTA DE PRECIOS'!A583,"")</f>
        <v/>
      </c>
      <c r="B569" t="str">
        <f>IF('LISTA DE PRECIOS'!$H583&gt;0,'LISTA DE PRECIOS'!B583,"")</f>
        <v/>
      </c>
      <c r="C569" t="str">
        <f>IF('LISTA DE PRECIOS'!$H583&gt;0,'LISTA DE PRECIOS'!C583,"")</f>
        <v/>
      </c>
      <c r="D569" s="67" t="str">
        <f>IF('LISTA DE PRECIOS'!$H583&gt;0,'LISTA DE PRECIOS'!D583,"")</f>
        <v/>
      </c>
      <c r="E569" t="str">
        <f>IF('LISTA DE PRECIOS'!$H583&gt;0,'LISTA DE PRECIOS'!E583,"")</f>
        <v/>
      </c>
      <c r="F569" t="str">
        <f>IF('LISTA DE PRECIOS'!$H583&gt;0,'LISTA DE PRECIOS'!F583,"")</f>
        <v/>
      </c>
      <c r="G569" s="31" t="str">
        <f>IF('LISTA DE PRECIOS'!$H583&gt;0,'LISTA DE PRECIOS'!G583,"")</f>
        <v/>
      </c>
      <c r="H569" s="67" t="str">
        <f>IF('LISTA DE PRECIOS'!$H583&gt;0,'LISTA DE PRECIOS'!H583,"")</f>
        <v/>
      </c>
      <c r="I569" s="31" t="str">
        <f t="shared" si="7"/>
        <v/>
      </c>
    </row>
    <row r="570" spans="1:9">
      <c r="A570" t="str">
        <f>IF('LISTA DE PRECIOS'!$H584&gt;0,'LISTA DE PRECIOS'!A584,"")</f>
        <v/>
      </c>
      <c r="B570" t="str">
        <f>IF('LISTA DE PRECIOS'!$H584&gt;0,'LISTA DE PRECIOS'!B584,"")</f>
        <v/>
      </c>
      <c r="C570" t="str">
        <f>IF('LISTA DE PRECIOS'!$H584&gt;0,'LISTA DE PRECIOS'!C584,"")</f>
        <v/>
      </c>
      <c r="D570" s="67" t="str">
        <f>IF('LISTA DE PRECIOS'!$H584&gt;0,'LISTA DE PRECIOS'!D584,"")</f>
        <v/>
      </c>
      <c r="E570" t="str">
        <f>IF('LISTA DE PRECIOS'!$H584&gt;0,'LISTA DE PRECIOS'!E584,"")</f>
        <v/>
      </c>
      <c r="F570" t="str">
        <f>IF('LISTA DE PRECIOS'!$H584&gt;0,'LISTA DE PRECIOS'!F584,"")</f>
        <v/>
      </c>
      <c r="G570" s="31" t="str">
        <f>IF('LISTA DE PRECIOS'!$H584&gt;0,'LISTA DE PRECIOS'!G584,"")</f>
        <v/>
      </c>
      <c r="H570" s="67" t="str">
        <f>IF('LISTA DE PRECIOS'!$H584&gt;0,'LISTA DE PRECIOS'!H584,"")</f>
        <v/>
      </c>
      <c r="I570" s="31" t="str">
        <f t="shared" si="7"/>
        <v/>
      </c>
    </row>
    <row r="571" spans="1:9">
      <c r="A571" t="str">
        <f>IF('LISTA DE PRECIOS'!$H585&gt;0,'LISTA DE PRECIOS'!A585,"")</f>
        <v/>
      </c>
      <c r="B571" t="str">
        <f>IF('LISTA DE PRECIOS'!$H585&gt;0,'LISTA DE PRECIOS'!B585,"")</f>
        <v/>
      </c>
      <c r="C571" t="str">
        <f>IF('LISTA DE PRECIOS'!$H585&gt;0,'LISTA DE PRECIOS'!C585,"")</f>
        <v/>
      </c>
      <c r="D571" s="67" t="str">
        <f>IF('LISTA DE PRECIOS'!$H585&gt;0,'LISTA DE PRECIOS'!D585,"")</f>
        <v/>
      </c>
      <c r="E571" t="str">
        <f>IF('LISTA DE PRECIOS'!$H585&gt;0,'LISTA DE PRECIOS'!E585,"")</f>
        <v/>
      </c>
      <c r="F571" t="str">
        <f>IF('LISTA DE PRECIOS'!$H585&gt;0,'LISTA DE PRECIOS'!F585,"")</f>
        <v/>
      </c>
      <c r="G571" s="31" t="str">
        <f>IF('LISTA DE PRECIOS'!$H585&gt;0,'LISTA DE PRECIOS'!G585,"")</f>
        <v/>
      </c>
      <c r="H571" s="67" t="str">
        <f>IF('LISTA DE PRECIOS'!$H585&gt;0,'LISTA DE PRECIOS'!H585,"")</f>
        <v/>
      </c>
      <c r="I571" s="31" t="str">
        <f t="shared" si="7"/>
        <v/>
      </c>
    </row>
    <row r="572" spans="1:9">
      <c r="A572" t="str">
        <f>IF('LISTA DE PRECIOS'!$H586&gt;0,'LISTA DE PRECIOS'!A586,"")</f>
        <v/>
      </c>
      <c r="B572" t="str">
        <f>IF('LISTA DE PRECIOS'!$H586&gt;0,'LISTA DE PRECIOS'!B586,"")</f>
        <v/>
      </c>
      <c r="C572" t="str">
        <f>IF('LISTA DE PRECIOS'!$H586&gt;0,'LISTA DE PRECIOS'!C586,"")</f>
        <v/>
      </c>
      <c r="D572" s="67" t="str">
        <f>IF('LISTA DE PRECIOS'!$H586&gt;0,'LISTA DE PRECIOS'!D586,"")</f>
        <v/>
      </c>
      <c r="E572" t="str">
        <f>IF('LISTA DE PRECIOS'!$H586&gt;0,'LISTA DE PRECIOS'!E586,"")</f>
        <v/>
      </c>
      <c r="F572" t="str">
        <f>IF('LISTA DE PRECIOS'!$H586&gt;0,'LISTA DE PRECIOS'!F586,"")</f>
        <v/>
      </c>
      <c r="G572" s="31" t="str">
        <f>IF('LISTA DE PRECIOS'!$H586&gt;0,'LISTA DE PRECIOS'!G586,"")</f>
        <v/>
      </c>
      <c r="H572" s="67" t="str">
        <f>IF('LISTA DE PRECIOS'!$H586&gt;0,'LISTA DE PRECIOS'!H586,"")</f>
        <v/>
      </c>
      <c r="I572" s="31" t="str">
        <f t="shared" si="7"/>
        <v/>
      </c>
    </row>
    <row r="573" spans="1:9">
      <c r="A573" t="str">
        <f>IF('LISTA DE PRECIOS'!$H587&gt;0,'LISTA DE PRECIOS'!A587,"")</f>
        <v/>
      </c>
      <c r="B573" t="str">
        <f>IF('LISTA DE PRECIOS'!$H587&gt;0,'LISTA DE PRECIOS'!B587,"")</f>
        <v/>
      </c>
      <c r="C573" t="str">
        <f>IF('LISTA DE PRECIOS'!$H587&gt;0,'LISTA DE PRECIOS'!C587,"")</f>
        <v/>
      </c>
      <c r="D573" s="67" t="str">
        <f>IF('LISTA DE PRECIOS'!$H587&gt;0,'LISTA DE PRECIOS'!D587,"")</f>
        <v/>
      </c>
      <c r="E573" t="str">
        <f>IF('LISTA DE PRECIOS'!$H587&gt;0,'LISTA DE PRECIOS'!E587,"")</f>
        <v/>
      </c>
      <c r="F573" t="str">
        <f>IF('LISTA DE PRECIOS'!$H587&gt;0,'LISTA DE PRECIOS'!F587,"")</f>
        <v/>
      </c>
      <c r="G573" s="31" t="str">
        <f>IF('LISTA DE PRECIOS'!$H587&gt;0,'LISTA DE PRECIOS'!G587,"")</f>
        <v/>
      </c>
      <c r="H573" s="67" t="str">
        <f>IF('LISTA DE PRECIOS'!$H587&gt;0,'LISTA DE PRECIOS'!H587,"")</f>
        <v/>
      </c>
      <c r="I573" s="31" t="str">
        <f t="shared" si="7"/>
        <v/>
      </c>
    </row>
    <row r="574" spans="1:9">
      <c r="A574" t="str">
        <f>IF('LISTA DE PRECIOS'!$H588&gt;0,'LISTA DE PRECIOS'!A588,"")</f>
        <v/>
      </c>
      <c r="B574" t="str">
        <f>IF('LISTA DE PRECIOS'!$H588&gt;0,'LISTA DE PRECIOS'!B588,"")</f>
        <v/>
      </c>
      <c r="C574" t="str">
        <f>IF('LISTA DE PRECIOS'!$H588&gt;0,'LISTA DE PRECIOS'!C588,"")</f>
        <v/>
      </c>
      <c r="D574" s="67" t="str">
        <f>IF('LISTA DE PRECIOS'!$H588&gt;0,'LISTA DE PRECIOS'!D588,"")</f>
        <v/>
      </c>
      <c r="E574" t="str">
        <f>IF('LISTA DE PRECIOS'!$H588&gt;0,'LISTA DE PRECIOS'!E588,"")</f>
        <v/>
      </c>
      <c r="F574" t="str">
        <f>IF('LISTA DE PRECIOS'!$H588&gt;0,'LISTA DE PRECIOS'!F588,"")</f>
        <v/>
      </c>
      <c r="G574" s="31" t="str">
        <f>IF('LISTA DE PRECIOS'!$H588&gt;0,'LISTA DE PRECIOS'!G588,"")</f>
        <v/>
      </c>
      <c r="H574" s="67" t="str">
        <f>IF('LISTA DE PRECIOS'!$H588&gt;0,'LISTA DE PRECIOS'!H588,"")</f>
        <v/>
      </c>
      <c r="I574" s="31" t="str">
        <f t="shared" si="7"/>
        <v/>
      </c>
    </row>
    <row r="575" spans="1:9">
      <c r="A575" t="str">
        <f>IF('LISTA DE PRECIOS'!$H589&gt;0,'LISTA DE PRECIOS'!A589,"")</f>
        <v/>
      </c>
      <c r="B575" t="str">
        <f>IF('LISTA DE PRECIOS'!$H589&gt;0,'LISTA DE PRECIOS'!B589,"")</f>
        <v/>
      </c>
      <c r="C575" t="str">
        <f>IF('LISTA DE PRECIOS'!$H589&gt;0,'LISTA DE PRECIOS'!C589,"")</f>
        <v/>
      </c>
      <c r="D575" s="67" t="str">
        <f>IF('LISTA DE PRECIOS'!$H589&gt;0,'LISTA DE PRECIOS'!D589,"")</f>
        <v/>
      </c>
      <c r="E575" t="str">
        <f>IF('LISTA DE PRECIOS'!$H589&gt;0,'LISTA DE PRECIOS'!E589,"")</f>
        <v/>
      </c>
      <c r="F575" t="str">
        <f>IF('LISTA DE PRECIOS'!$H589&gt;0,'LISTA DE PRECIOS'!F589,"")</f>
        <v/>
      </c>
      <c r="G575" s="31" t="str">
        <f>IF('LISTA DE PRECIOS'!$H589&gt;0,'LISTA DE PRECIOS'!G589,"")</f>
        <v/>
      </c>
      <c r="H575" s="67" t="str">
        <f>IF('LISTA DE PRECIOS'!$H589&gt;0,'LISTA DE PRECIOS'!H589,"")</f>
        <v/>
      </c>
      <c r="I575" s="31" t="str">
        <f t="shared" si="7"/>
        <v/>
      </c>
    </row>
    <row r="576" spans="1:9">
      <c r="A576" t="str">
        <f>IF('LISTA DE PRECIOS'!$H590&gt;0,'LISTA DE PRECIOS'!A590,"")</f>
        <v/>
      </c>
      <c r="B576" t="str">
        <f>IF('LISTA DE PRECIOS'!$H590&gt;0,'LISTA DE PRECIOS'!B590,"")</f>
        <v/>
      </c>
      <c r="C576" t="str">
        <f>IF('LISTA DE PRECIOS'!$H590&gt;0,'LISTA DE PRECIOS'!C590,"")</f>
        <v/>
      </c>
      <c r="D576" s="67" t="str">
        <f>IF('LISTA DE PRECIOS'!$H590&gt;0,'LISTA DE PRECIOS'!D590,"")</f>
        <v/>
      </c>
      <c r="E576" t="str">
        <f>IF('LISTA DE PRECIOS'!$H590&gt;0,'LISTA DE PRECIOS'!E590,"")</f>
        <v/>
      </c>
      <c r="F576" t="str">
        <f>IF('LISTA DE PRECIOS'!$H590&gt;0,'LISTA DE PRECIOS'!F590,"")</f>
        <v/>
      </c>
      <c r="G576" s="31" t="str">
        <f>IF('LISTA DE PRECIOS'!$H590&gt;0,'LISTA DE PRECIOS'!G590,"")</f>
        <v/>
      </c>
      <c r="H576" s="67" t="str">
        <f>IF('LISTA DE PRECIOS'!$H590&gt;0,'LISTA DE PRECIOS'!H590,"")</f>
        <v/>
      </c>
      <c r="I576" s="31" t="str">
        <f t="shared" si="7"/>
        <v/>
      </c>
    </row>
    <row r="577" spans="1:9">
      <c r="A577" t="str">
        <f>IF('LISTA DE PRECIOS'!$H592&gt;0,'LISTA DE PRECIOS'!A592,"")</f>
        <v/>
      </c>
      <c r="B577" t="str">
        <f>IF('LISTA DE PRECIOS'!$H592&gt;0,'LISTA DE PRECIOS'!B592,"")</f>
        <v/>
      </c>
      <c r="C577" t="str">
        <f>IF('LISTA DE PRECIOS'!$H592&gt;0,'LISTA DE PRECIOS'!C592,"")</f>
        <v/>
      </c>
      <c r="D577" s="67" t="str">
        <f>IF('LISTA DE PRECIOS'!$H592&gt;0,'LISTA DE PRECIOS'!D592,"")</f>
        <v/>
      </c>
      <c r="E577" t="str">
        <f>IF('LISTA DE PRECIOS'!$H592&gt;0,'LISTA DE PRECIOS'!E592,"")</f>
        <v/>
      </c>
      <c r="F577" t="str">
        <f>IF('LISTA DE PRECIOS'!$H592&gt;0,'LISTA DE PRECIOS'!F592,"")</f>
        <v/>
      </c>
      <c r="G577" s="31" t="str">
        <f>IF('LISTA DE PRECIOS'!$H592&gt;0,'LISTA DE PRECIOS'!G592,"")</f>
        <v/>
      </c>
      <c r="H577" s="67" t="str">
        <f>IF('LISTA DE PRECIOS'!$H592&gt;0,'LISTA DE PRECIOS'!H592,"")</f>
        <v/>
      </c>
      <c r="I577" s="31" t="str">
        <f t="shared" si="7"/>
        <v/>
      </c>
    </row>
    <row r="578" spans="1:9">
      <c r="A578" t="str">
        <f>IF('LISTA DE PRECIOS'!$H593&gt;0,'LISTA DE PRECIOS'!A593,"")</f>
        <v/>
      </c>
      <c r="B578" t="str">
        <f>IF('LISTA DE PRECIOS'!$H593&gt;0,'LISTA DE PRECIOS'!B593,"")</f>
        <v/>
      </c>
      <c r="C578" t="str">
        <f>IF('LISTA DE PRECIOS'!$H593&gt;0,'LISTA DE PRECIOS'!C593,"")</f>
        <v/>
      </c>
      <c r="D578" s="67" t="str">
        <f>IF('LISTA DE PRECIOS'!$H593&gt;0,'LISTA DE PRECIOS'!D593,"")</f>
        <v/>
      </c>
      <c r="E578" t="str">
        <f>IF('LISTA DE PRECIOS'!$H593&gt;0,'LISTA DE PRECIOS'!E593,"")</f>
        <v/>
      </c>
      <c r="F578" t="str">
        <f>IF('LISTA DE PRECIOS'!$H593&gt;0,'LISTA DE PRECIOS'!F593,"")</f>
        <v/>
      </c>
      <c r="G578" s="31" t="str">
        <f>IF('LISTA DE PRECIOS'!$H593&gt;0,'LISTA DE PRECIOS'!G593,"")</f>
        <v/>
      </c>
      <c r="H578" s="67" t="str">
        <f>IF('LISTA DE PRECIOS'!$H593&gt;0,'LISTA DE PRECIOS'!H593,"")</f>
        <v/>
      </c>
      <c r="I578" s="31" t="str">
        <f t="shared" si="7"/>
        <v/>
      </c>
    </row>
    <row r="579" spans="1:9">
      <c r="A579" t="str">
        <f>IF('LISTA DE PRECIOS'!$H594&gt;0,'LISTA DE PRECIOS'!A594,"")</f>
        <v/>
      </c>
      <c r="B579" t="str">
        <f>IF('LISTA DE PRECIOS'!$H594&gt;0,'LISTA DE PRECIOS'!B594,"")</f>
        <v/>
      </c>
      <c r="C579" t="str">
        <f>IF('LISTA DE PRECIOS'!$H594&gt;0,'LISTA DE PRECIOS'!C594,"")</f>
        <v/>
      </c>
      <c r="D579" s="67" t="str">
        <f>IF('LISTA DE PRECIOS'!$H594&gt;0,'LISTA DE PRECIOS'!D594,"")</f>
        <v/>
      </c>
      <c r="E579" t="str">
        <f>IF('LISTA DE PRECIOS'!$H594&gt;0,'LISTA DE PRECIOS'!E594,"")</f>
        <v/>
      </c>
      <c r="F579" t="str">
        <f>IF('LISTA DE PRECIOS'!$H594&gt;0,'LISTA DE PRECIOS'!F594,"")</f>
        <v/>
      </c>
      <c r="G579" s="31" t="str">
        <f>IF('LISTA DE PRECIOS'!$H594&gt;0,'LISTA DE PRECIOS'!G594,"")</f>
        <v/>
      </c>
      <c r="H579" s="67" t="str">
        <f>IF('LISTA DE PRECIOS'!$H594&gt;0,'LISTA DE PRECIOS'!H594,"")</f>
        <v/>
      </c>
      <c r="I579" s="31" t="str">
        <f t="shared" si="7"/>
        <v/>
      </c>
    </row>
    <row r="580" spans="1:9">
      <c r="A580" t="str">
        <f>IF('LISTA DE PRECIOS'!$H595&gt;0,'LISTA DE PRECIOS'!A595,"")</f>
        <v/>
      </c>
      <c r="B580" t="str">
        <f>IF('LISTA DE PRECIOS'!$H595&gt;0,'LISTA DE PRECIOS'!B595,"")</f>
        <v/>
      </c>
      <c r="C580" t="str">
        <f>IF('LISTA DE PRECIOS'!$H595&gt;0,'LISTA DE PRECIOS'!C595,"")</f>
        <v/>
      </c>
      <c r="D580" s="67" t="str">
        <f>IF('LISTA DE PRECIOS'!$H595&gt;0,'LISTA DE PRECIOS'!D595,"")</f>
        <v/>
      </c>
      <c r="E580" t="str">
        <f>IF('LISTA DE PRECIOS'!$H595&gt;0,'LISTA DE PRECIOS'!E595,"")</f>
        <v/>
      </c>
      <c r="F580" t="str">
        <f>IF('LISTA DE PRECIOS'!$H595&gt;0,'LISTA DE PRECIOS'!F595,"")</f>
        <v/>
      </c>
      <c r="G580" s="31" t="str">
        <f>IF('LISTA DE PRECIOS'!$H595&gt;0,'LISTA DE PRECIOS'!G595,"")</f>
        <v/>
      </c>
      <c r="H580" s="67" t="str">
        <f>IF('LISTA DE PRECIOS'!$H595&gt;0,'LISTA DE PRECIOS'!H595,"")</f>
        <v/>
      </c>
      <c r="I580" s="31" t="str">
        <f t="shared" si="7"/>
        <v/>
      </c>
    </row>
    <row r="581" spans="1:9">
      <c r="A581" t="str">
        <f>IF('LISTA DE PRECIOS'!$H596&gt;0,'LISTA DE PRECIOS'!A596,"")</f>
        <v/>
      </c>
      <c r="B581" t="str">
        <f>IF('LISTA DE PRECIOS'!$H596&gt;0,'LISTA DE PRECIOS'!B596,"")</f>
        <v/>
      </c>
      <c r="C581" t="str">
        <f>IF('LISTA DE PRECIOS'!$H596&gt;0,'LISTA DE PRECIOS'!C596,"")</f>
        <v/>
      </c>
      <c r="D581" s="67" t="str">
        <f>IF('LISTA DE PRECIOS'!$H596&gt;0,'LISTA DE PRECIOS'!D596,"")</f>
        <v/>
      </c>
      <c r="E581" t="str">
        <f>IF('LISTA DE PRECIOS'!$H596&gt;0,'LISTA DE PRECIOS'!E596,"")</f>
        <v/>
      </c>
      <c r="F581" t="str">
        <f>IF('LISTA DE PRECIOS'!$H596&gt;0,'LISTA DE PRECIOS'!F596,"")</f>
        <v/>
      </c>
      <c r="G581" s="31" t="str">
        <f>IF('LISTA DE PRECIOS'!$H596&gt;0,'LISTA DE PRECIOS'!G596,"")</f>
        <v/>
      </c>
      <c r="H581" s="67" t="str">
        <f>IF('LISTA DE PRECIOS'!$H596&gt;0,'LISTA DE PRECIOS'!H596,"")</f>
        <v/>
      </c>
      <c r="I581" s="31" t="str">
        <f t="shared" si="7"/>
        <v/>
      </c>
    </row>
    <row r="582" spans="1:9">
      <c r="A582" t="str">
        <f>IF('LISTA DE PRECIOS'!$H597&gt;0,'LISTA DE PRECIOS'!A597,"")</f>
        <v/>
      </c>
      <c r="B582" t="str">
        <f>IF('LISTA DE PRECIOS'!$H597&gt;0,'LISTA DE PRECIOS'!B597,"")</f>
        <v/>
      </c>
      <c r="C582" t="str">
        <f>IF('LISTA DE PRECIOS'!$H597&gt;0,'LISTA DE PRECIOS'!C597,"")</f>
        <v/>
      </c>
      <c r="D582" s="67" t="str">
        <f>IF('LISTA DE PRECIOS'!$H597&gt;0,'LISTA DE PRECIOS'!D597,"")</f>
        <v/>
      </c>
      <c r="E582" t="str">
        <f>IF('LISTA DE PRECIOS'!$H597&gt;0,'LISTA DE PRECIOS'!E597,"")</f>
        <v/>
      </c>
      <c r="F582" t="str">
        <f>IF('LISTA DE PRECIOS'!$H597&gt;0,'LISTA DE PRECIOS'!F597,"")</f>
        <v/>
      </c>
      <c r="G582" s="31" t="str">
        <f>IF('LISTA DE PRECIOS'!$H597&gt;0,'LISTA DE PRECIOS'!G597,"")</f>
        <v/>
      </c>
      <c r="H582" s="67" t="str">
        <f>IF('LISTA DE PRECIOS'!$H597&gt;0,'LISTA DE PRECIOS'!H597,"")</f>
        <v/>
      </c>
      <c r="I582" s="31" t="str">
        <f t="shared" si="7"/>
        <v/>
      </c>
    </row>
    <row r="583" spans="1:9">
      <c r="A583" t="str">
        <f>IF('LISTA DE PRECIOS'!$H598&gt;0,'LISTA DE PRECIOS'!A598,"")</f>
        <v/>
      </c>
      <c r="B583" t="str">
        <f>IF('LISTA DE PRECIOS'!$H598&gt;0,'LISTA DE PRECIOS'!B598,"")</f>
        <v/>
      </c>
      <c r="C583" t="str">
        <f>IF('LISTA DE PRECIOS'!$H598&gt;0,'LISTA DE PRECIOS'!C598,"")</f>
        <v/>
      </c>
      <c r="D583" s="67" t="str">
        <f>IF('LISTA DE PRECIOS'!$H598&gt;0,'LISTA DE PRECIOS'!D598,"")</f>
        <v/>
      </c>
      <c r="E583" t="str">
        <f>IF('LISTA DE PRECIOS'!$H598&gt;0,'LISTA DE PRECIOS'!E598,"")</f>
        <v/>
      </c>
      <c r="F583" t="str">
        <f>IF('LISTA DE PRECIOS'!$H598&gt;0,'LISTA DE PRECIOS'!F598,"")</f>
        <v/>
      </c>
      <c r="G583" s="31" t="str">
        <f>IF('LISTA DE PRECIOS'!$H598&gt;0,'LISTA DE PRECIOS'!G598,"")</f>
        <v/>
      </c>
      <c r="H583" s="67" t="str">
        <f>IF('LISTA DE PRECIOS'!$H598&gt;0,'LISTA DE PRECIOS'!H598,"")</f>
        <v/>
      </c>
      <c r="I583" s="31" t="str">
        <f t="shared" si="7"/>
        <v/>
      </c>
    </row>
    <row r="584" spans="1:9">
      <c r="A584" t="e">
        <f>IF('LISTA DE PRECIOS'!#REF!&gt;0,'LISTA DE PRECIOS'!#REF!,"")</f>
        <v>#REF!</v>
      </c>
      <c r="B584" t="e">
        <f>IF('LISTA DE PRECIOS'!#REF!&gt;0,'LISTA DE PRECIOS'!#REF!,"")</f>
        <v>#REF!</v>
      </c>
      <c r="C584" t="e">
        <f>IF('LISTA DE PRECIOS'!#REF!&gt;0,'LISTA DE PRECIOS'!#REF!,"")</f>
        <v>#REF!</v>
      </c>
      <c r="D584" s="67" t="e">
        <f>IF('LISTA DE PRECIOS'!#REF!&gt;0,'LISTA DE PRECIOS'!#REF!,"")</f>
        <v>#REF!</v>
      </c>
      <c r="E584" t="e">
        <f>IF('LISTA DE PRECIOS'!#REF!&gt;0,'LISTA DE PRECIOS'!#REF!,"")</f>
        <v>#REF!</v>
      </c>
      <c r="F584" t="e">
        <f>IF('LISTA DE PRECIOS'!#REF!&gt;0,'LISTA DE PRECIOS'!#REF!,"")</f>
        <v>#REF!</v>
      </c>
      <c r="G584" s="31" t="e">
        <f>IF('LISTA DE PRECIOS'!#REF!&gt;0,'LISTA DE PRECIOS'!#REF!,"")</f>
        <v>#REF!</v>
      </c>
      <c r="H584" s="67" t="e">
        <f>IF('LISTA DE PRECIOS'!#REF!&gt;0,'LISTA DE PRECIOS'!#REF!,"")</f>
        <v>#REF!</v>
      </c>
      <c r="I584" s="31" t="e">
        <f t="shared" si="7"/>
        <v>#REF!</v>
      </c>
    </row>
    <row r="585" spans="1:9">
      <c r="A585" t="str">
        <f>IF('LISTA DE PRECIOS'!$H599&gt;0,'LISTA DE PRECIOS'!A599,"")</f>
        <v/>
      </c>
      <c r="B585" t="str">
        <f>IF('LISTA DE PRECIOS'!$H599&gt;0,'LISTA DE PRECIOS'!B599,"")</f>
        <v/>
      </c>
      <c r="C585" t="str">
        <f>IF('LISTA DE PRECIOS'!$H599&gt;0,'LISTA DE PRECIOS'!C599,"")</f>
        <v/>
      </c>
      <c r="D585" s="67" t="str">
        <f>IF('LISTA DE PRECIOS'!$H599&gt;0,'LISTA DE PRECIOS'!D599,"")</f>
        <v/>
      </c>
      <c r="E585" t="str">
        <f>IF('LISTA DE PRECIOS'!$H599&gt;0,'LISTA DE PRECIOS'!E599,"")</f>
        <v/>
      </c>
      <c r="F585" t="str">
        <f>IF('LISTA DE PRECIOS'!$H599&gt;0,'LISTA DE PRECIOS'!F599,"")</f>
        <v/>
      </c>
      <c r="G585" s="31" t="str">
        <f>IF('LISTA DE PRECIOS'!$H599&gt;0,'LISTA DE PRECIOS'!G599,"")</f>
        <v/>
      </c>
      <c r="H585" s="67" t="str">
        <f>IF('LISTA DE PRECIOS'!$H599&gt;0,'LISTA DE PRECIOS'!H599,"")</f>
        <v/>
      </c>
      <c r="I585" s="31" t="str">
        <f t="shared" si="7"/>
        <v/>
      </c>
    </row>
    <row r="586" spans="1:9">
      <c r="A586" t="str">
        <f>IF('LISTA DE PRECIOS'!$H600&gt;0,'LISTA DE PRECIOS'!A600,"")</f>
        <v/>
      </c>
      <c r="B586" t="str">
        <f>IF('LISTA DE PRECIOS'!$H600&gt;0,'LISTA DE PRECIOS'!B600,"")</f>
        <v/>
      </c>
      <c r="C586" t="str">
        <f>IF('LISTA DE PRECIOS'!$H600&gt;0,'LISTA DE PRECIOS'!C600,"")</f>
        <v/>
      </c>
      <c r="D586" s="67" t="str">
        <f>IF('LISTA DE PRECIOS'!$H600&gt;0,'LISTA DE PRECIOS'!D600,"")</f>
        <v/>
      </c>
      <c r="E586" t="str">
        <f>IF('LISTA DE PRECIOS'!$H600&gt;0,'LISTA DE PRECIOS'!E600,"")</f>
        <v/>
      </c>
      <c r="F586" t="str">
        <f>IF('LISTA DE PRECIOS'!$H600&gt;0,'LISTA DE PRECIOS'!F600,"")</f>
        <v/>
      </c>
      <c r="G586" s="31" t="str">
        <f>IF('LISTA DE PRECIOS'!$H600&gt;0,'LISTA DE PRECIOS'!G600,"")</f>
        <v/>
      </c>
      <c r="H586" s="67" t="str">
        <f>IF('LISTA DE PRECIOS'!$H600&gt;0,'LISTA DE PRECIOS'!H600,"")</f>
        <v/>
      </c>
      <c r="I586" s="31" t="str">
        <f t="shared" si="7"/>
        <v/>
      </c>
    </row>
    <row r="587" spans="1:9">
      <c r="A587" t="str">
        <f>IF('LISTA DE PRECIOS'!$H601&gt;0,'LISTA DE PRECIOS'!A601,"")</f>
        <v/>
      </c>
      <c r="B587" t="str">
        <f>IF('LISTA DE PRECIOS'!$H601&gt;0,'LISTA DE PRECIOS'!B601,"")</f>
        <v/>
      </c>
      <c r="C587" t="str">
        <f>IF('LISTA DE PRECIOS'!$H601&gt;0,'LISTA DE PRECIOS'!C601,"")</f>
        <v/>
      </c>
      <c r="D587" s="67" t="str">
        <f>IF('LISTA DE PRECIOS'!$H601&gt;0,'LISTA DE PRECIOS'!D601,"")</f>
        <v/>
      </c>
      <c r="E587" t="str">
        <f>IF('LISTA DE PRECIOS'!$H601&gt;0,'LISTA DE PRECIOS'!E601,"")</f>
        <v/>
      </c>
      <c r="F587" t="str">
        <f>IF('LISTA DE PRECIOS'!$H601&gt;0,'LISTA DE PRECIOS'!F601,"")</f>
        <v/>
      </c>
      <c r="G587" s="31" t="str">
        <f>IF('LISTA DE PRECIOS'!$H601&gt;0,'LISTA DE PRECIOS'!G601,"")</f>
        <v/>
      </c>
      <c r="H587" s="67" t="str">
        <f>IF('LISTA DE PRECIOS'!$H601&gt;0,'LISTA DE PRECIOS'!H601,"")</f>
        <v/>
      </c>
      <c r="I587" s="31" t="str">
        <f t="shared" si="7"/>
        <v/>
      </c>
    </row>
    <row r="588" spans="1:9">
      <c r="A588" t="str">
        <f>IF('LISTA DE PRECIOS'!$H602&gt;0,'LISTA DE PRECIOS'!A602,"")</f>
        <v/>
      </c>
      <c r="B588" t="str">
        <f>IF('LISTA DE PRECIOS'!$H602&gt;0,'LISTA DE PRECIOS'!B602,"")</f>
        <v/>
      </c>
      <c r="C588" t="str">
        <f>IF('LISTA DE PRECIOS'!$H602&gt;0,'LISTA DE PRECIOS'!C602,"")</f>
        <v/>
      </c>
      <c r="D588" s="67" t="str">
        <f>IF('LISTA DE PRECIOS'!$H602&gt;0,'LISTA DE PRECIOS'!D602,"")</f>
        <v/>
      </c>
      <c r="E588" t="str">
        <f>IF('LISTA DE PRECIOS'!$H602&gt;0,'LISTA DE PRECIOS'!E602,"")</f>
        <v/>
      </c>
      <c r="F588" t="str">
        <f>IF('LISTA DE PRECIOS'!$H602&gt;0,'LISTA DE PRECIOS'!F602,"")</f>
        <v/>
      </c>
      <c r="G588" s="31" t="str">
        <f>IF('LISTA DE PRECIOS'!$H602&gt;0,'LISTA DE PRECIOS'!G602,"")</f>
        <v/>
      </c>
      <c r="H588" s="67" t="str">
        <f>IF('LISTA DE PRECIOS'!$H602&gt;0,'LISTA DE PRECIOS'!H602,"")</f>
        <v/>
      </c>
      <c r="I588" s="31" t="str">
        <f t="shared" si="7"/>
        <v/>
      </c>
    </row>
    <row r="589" spans="1:9">
      <c r="A589" t="str">
        <f>IF('LISTA DE PRECIOS'!$H603&gt;0,'LISTA DE PRECIOS'!A603,"")</f>
        <v/>
      </c>
      <c r="B589" t="str">
        <f>IF('LISTA DE PRECIOS'!$H603&gt;0,'LISTA DE PRECIOS'!B603,"")</f>
        <v/>
      </c>
      <c r="C589" t="str">
        <f>IF('LISTA DE PRECIOS'!$H603&gt;0,'LISTA DE PRECIOS'!C603,"")</f>
        <v/>
      </c>
      <c r="D589" s="67" t="str">
        <f>IF('LISTA DE PRECIOS'!$H603&gt;0,'LISTA DE PRECIOS'!D603,"")</f>
        <v/>
      </c>
      <c r="E589" t="str">
        <f>IF('LISTA DE PRECIOS'!$H603&gt;0,'LISTA DE PRECIOS'!E603,"")</f>
        <v/>
      </c>
      <c r="F589" t="str">
        <f>IF('LISTA DE PRECIOS'!$H603&gt;0,'LISTA DE PRECIOS'!F603,"")</f>
        <v/>
      </c>
      <c r="G589" s="31" t="str">
        <f>IF('LISTA DE PRECIOS'!$H603&gt;0,'LISTA DE PRECIOS'!G603,"")</f>
        <v/>
      </c>
      <c r="H589" s="67" t="str">
        <f>IF('LISTA DE PRECIOS'!$H603&gt;0,'LISTA DE PRECIOS'!H603,"")</f>
        <v/>
      </c>
      <c r="I589" s="31" t="str">
        <f t="shared" si="7"/>
        <v/>
      </c>
    </row>
    <row r="590" spans="1:9">
      <c r="A590" t="str">
        <f>IF('LISTA DE PRECIOS'!$H604&gt;0,'LISTA DE PRECIOS'!A604,"")</f>
        <v/>
      </c>
      <c r="B590" t="str">
        <f>IF('LISTA DE PRECIOS'!$H604&gt;0,'LISTA DE PRECIOS'!B604,"")</f>
        <v/>
      </c>
      <c r="C590" t="str">
        <f>IF('LISTA DE PRECIOS'!$H604&gt;0,'LISTA DE PRECIOS'!C604,"")</f>
        <v/>
      </c>
      <c r="D590" s="67" t="str">
        <f>IF('LISTA DE PRECIOS'!$H604&gt;0,'LISTA DE PRECIOS'!D604,"")</f>
        <v/>
      </c>
      <c r="E590" t="str">
        <f>IF('LISTA DE PRECIOS'!$H604&gt;0,'LISTA DE PRECIOS'!E604,"")</f>
        <v/>
      </c>
      <c r="F590" t="str">
        <f>IF('LISTA DE PRECIOS'!$H604&gt;0,'LISTA DE PRECIOS'!F604,"")</f>
        <v/>
      </c>
      <c r="G590" s="31" t="str">
        <f>IF('LISTA DE PRECIOS'!$H604&gt;0,'LISTA DE PRECIOS'!G604,"")</f>
        <v/>
      </c>
      <c r="H590" s="67" t="str">
        <f>IF('LISTA DE PRECIOS'!$H604&gt;0,'LISTA DE PRECIOS'!H604,"")</f>
        <v/>
      </c>
      <c r="I590" s="31" t="str">
        <f t="shared" si="7"/>
        <v/>
      </c>
    </row>
    <row r="591" spans="1:9">
      <c r="A591" t="str">
        <f>IF('LISTA DE PRECIOS'!$H605&gt;0,'LISTA DE PRECIOS'!A605,"")</f>
        <v/>
      </c>
      <c r="B591" t="str">
        <f>IF('LISTA DE PRECIOS'!$H605&gt;0,'LISTA DE PRECIOS'!B605,"")</f>
        <v/>
      </c>
      <c r="C591" t="str">
        <f>IF('LISTA DE PRECIOS'!$H605&gt;0,'LISTA DE PRECIOS'!C605,"")</f>
        <v/>
      </c>
      <c r="D591" s="67" t="str">
        <f>IF('LISTA DE PRECIOS'!$H605&gt;0,'LISTA DE PRECIOS'!D605,"")</f>
        <v/>
      </c>
      <c r="E591" t="str">
        <f>IF('LISTA DE PRECIOS'!$H605&gt;0,'LISTA DE PRECIOS'!E605,"")</f>
        <v/>
      </c>
      <c r="F591" t="str">
        <f>IF('LISTA DE PRECIOS'!$H605&gt;0,'LISTA DE PRECIOS'!F605,"")</f>
        <v/>
      </c>
      <c r="G591" s="31" t="str">
        <f>IF('LISTA DE PRECIOS'!$H605&gt;0,'LISTA DE PRECIOS'!G605,"")</f>
        <v/>
      </c>
      <c r="H591" s="67" t="str">
        <f>IF('LISTA DE PRECIOS'!$H605&gt;0,'LISTA DE PRECIOS'!H605,"")</f>
        <v/>
      </c>
      <c r="I591" s="31" t="str">
        <f t="shared" si="7"/>
        <v/>
      </c>
    </row>
    <row r="592" spans="1:9">
      <c r="A592" t="str">
        <f>IF('LISTA DE PRECIOS'!$H606&gt;0,'LISTA DE PRECIOS'!A606,"")</f>
        <v/>
      </c>
      <c r="B592" t="str">
        <f>IF('LISTA DE PRECIOS'!$H606&gt;0,'LISTA DE PRECIOS'!B606,"")</f>
        <v/>
      </c>
      <c r="C592" t="str">
        <f>IF('LISTA DE PRECIOS'!$H606&gt;0,'LISTA DE PRECIOS'!C606,"")</f>
        <v/>
      </c>
      <c r="D592" s="67" t="str">
        <f>IF('LISTA DE PRECIOS'!$H606&gt;0,'LISTA DE PRECIOS'!D606,"")</f>
        <v/>
      </c>
      <c r="E592" t="str">
        <f>IF('LISTA DE PRECIOS'!$H606&gt;0,'LISTA DE PRECIOS'!E606,"")</f>
        <v/>
      </c>
      <c r="F592" t="str">
        <f>IF('LISTA DE PRECIOS'!$H606&gt;0,'LISTA DE PRECIOS'!F606,"")</f>
        <v/>
      </c>
      <c r="G592" s="31" t="str">
        <f>IF('LISTA DE PRECIOS'!$H606&gt;0,'LISTA DE PRECIOS'!G606,"")</f>
        <v/>
      </c>
      <c r="H592" s="67" t="str">
        <f>IF('LISTA DE PRECIOS'!$H606&gt;0,'LISTA DE PRECIOS'!H606,"")</f>
        <v/>
      </c>
      <c r="I592" s="31" t="str">
        <f t="shared" si="7"/>
        <v/>
      </c>
    </row>
    <row r="593" spans="1:9">
      <c r="A593" t="str">
        <f>IF('LISTA DE PRECIOS'!$H607&gt;0,'LISTA DE PRECIOS'!A607,"")</f>
        <v/>
      </c>
      <c r="B593" t="str">
        <f>IF('LISTA DE PRECIOS'!$H607&gt;0,'LISTA DE PRECIOS'!B607,"")</f>
        <v/>
      </c>
      <c r="C593" t="str">
        <f>IF('LISTA DE PRECIOS'!$H607&gt;0,'LISTA DE PRECIOS'!C607,"")</f>
        <v/>
      </c>
      <c r="D593" s="67" t="str">
        <f>IF('LISTA DE PRECIOS'!$H607&gt;0,'LISTA DE PRECIOS'!D607,"")</f>
        <v/>
      </c>
      <c r="E593" t="str">
        <f>IF('LISTA DE PRECIOS'!$H607&gt;0,'LISTA DE PRECIOS'!E607,"")</f>
        <v/>
      </c>
      <c r="F593" t="str">
        <f>IF('LISTA DE PRECIOS'!$H607&gt;0,'LISTA DE PRECIOS'!F607,"")</f>
        <v/>
      </c>
      <c r="G593" s="31" t="str">
        <f>IF('LISTA DE PRECIOS'!$H607&gt;0,'LISTA DE PRECIOS'!G607,"")</f>
        <v/>
      </c>
      <c r="H593" s="67" t="str">
        <f>IF('LISTA DE PRECIOS'!$H607&gt;0,'LISTA DE PRECIOS'!H607,"")</f>
        <v/>
      </c>
      <c r="I593" s="31" t="str">
        <f t="shared" ref="I593:I656" si="8">IF(OR(G593="",H593=""),"",G593*H593)</f>
        <v/>
      </c>
    </row>
    <row r="594" spans="1:9">
      <c r="A594" t="str">
        <f>IF('LISTA DE PRECIOS'!$H608&gt;0,'LISTA DE PRECIOS'!A608,"")</f>
        <v/>
      </c>
      <c r="B594" t="str">
        <f>IF('LISTA DE PRECIOS'!$H608&gt;0,'LISTA DE PRECIOS'!B608,"")</f>
        <v/>
      </c>
      <c r="C594" t="str">
        <f>IF('LISTA DE PRECIOS'!$H608&gt;0,'LISTA DE PRECIOS'!C608,"")</f>
        <v/>
      </c>
      <c r="D594" s="67" t="str">
        <f>IF('LISTA DE PRECIOS'!$H608&gt;0,'LISTA DE PRECIOS'!D608,"")</f>
        <v/>
      </c>
      <c r="E594" t="str">
        <f>IF('LISTA DE PRECIOS'!$H608&gt;0,'LISTA DE PRECIOS'!E608,"")</f>
        <v/>
      </c>
      <c r="F594" t="str">
        <f>IF('LISTA DE PRECIOS'!$H608&gt;0,'LISTA DE PRECIOS'!F608,"")</f>
        <v/>
      </c>
      <c r="G594" s="31" t="str">
        <f>IF('LISTA DE PRECIOS'!$H608&gt;0,'LISTA DE PRECIOS'!G608,"")</f>
        <v/>
      </c>
      <c r="H594" s="67" t="str">
        <f>IF('LISTA DE PRECIOS'!$H608&gt;0,'LISTA DE PRECIOS'!H608,"")</f>
        <v/>
      </c>
      <c r="I594" s="31" t="str">
        <f t="shared" si="8"/>
        <v/>
      </c>
    </row>
    <row r="595" spans="1:9">
      <c r="A595" t="str">
        <f>IF('LISTA DE PRECIOS'!$H609&gt;0,'LISTA DE PRECIOS'!A609,"")</f>
        <v/>
      </c>
      <c r="B595" t="str">
        <f>IF('LISTA DE PRECIOS'!$H609&gt;0,'LISTA DE PRECIOS'!B609,"")</f>
        <v/>
      </c>
      <c r="C595" t="str">
        <f>IF('LISTA DE PRECIOS'!$H609&gt;0,'LISTA DE PRECIOS'!C609,"")</f>
        <v/>
      </c>
      <c r="D595" s="67" t="str">
        <f>IF('LISTA DE PRECIOS'!$H609&gt;0,'LISTA DE PRECIOS'!D609,"")</f>
        <v/>
      </c>
      <c r="E595" t="str">
        <f>IF('LISTA DE PRECIOS'!$H609&gt;0,'LISTA DE PRECIOS'!E609,"")</f>
        <v/>
      </c>
      <c r="F595" t="str">
        <f>IF('LISTA DE PRECIOS'!$H609&gt;0,'LISTA DE PRECIOS'!F609,"")</f>
        <v/>
      </c>
      <c r="G595" s="31" t="str">
        <f>IF('LISTA DE PRECIOS'!$H609&gt;0,'LISTA DE PRECIOS'!G609,"")</f>
        <v/>
      </c>
      <c r="H595" s="67" t="str">
        <f>IF('LISTA DE PRECIOS'!$H609&gt;0,'LISTA DE PRECIOS'!H609,"")</f>
        <v/>
      </c>
      <c r="I595" s="31" t="str">
        <f t="shared" si="8"/>
        <v/>
      </c>
    </row>
    <row r="596" spans="1:9">
      <c r="A596" t="str">
        <f>IF('LISTA DE PRECIOS'!$H610&gt;0,'LISTA DE PRECIOS'!A610,"")</f>
        <v/>
      </c>
      <c r="B596" t="str">
        <f>IF('LISTA DE PRECIOS'!$H610&gt;0,'LISTA DE PRECIOS'!B610,"")</f>
        <v/>
      </c>
      <c r="C596" t="str">
        <f>IF('LISTA DE PRECIOS'!$H610&gt;0,'LISTA DE PRECIOS'!C610,"")</f>
        <v/>
      </c>
      <c r="D596" s="67" t="str">
        <f>IF('LISTA DE PRECIOS'!$H610&gt;0,'LISTA DE PRECIOS'!D610,"")</f>
        <v/>
      </c>
      <c r="E596" t="str">
        <f>IF('LISTA DE PRECIOS'!$H610&gt;0,'LISTA DE PRECIOS'!E610,"")</f>
        <v/>
      </c>
      <c r="F596" t="str">
        <f>IF('LISTA DE PRECIOS'!$H610&gt;0,'LISTA DE PRECIOS'!F610,"")</f>
        <v/>
      </c>
      <c r="G596" s="31" t="str">
        <f>IF('LISTA DE PRECIOS'!$H610&gt;0,'LISTA DE PRECIOS'!G610,"")</f>
        <v/>
      </c>
      <c r="H596" s="67" t="str">
        <f>IF('LISTA DE PRECIOS'!$H610&gt;0,'LISTA DE PRECIOS'!H610,"")</f>
        <v/>
      </c>
      <c r="I596" s="31" t="str">
        <f t="shared" si="8"/>
        <v/>
      </c>
    </row>
    <row r="597" spans="1:9">
      <c r="A597" t="str">
        <f>IF('LISTA DE PRECIOS'!$H611&gt;0,'LISTA DE PRECIOS'!A611,"")</f>
        <v/>
      </c>
      <c r="B597" t="str">
        <f>IF('LISTA DE PRECIOS'!$H611&gt;0,'LISTA DE PRECIOS'!B611,"")</f>
        <v/>
      </c>
      <c r="C597" t="str">
        <f>IF('LISTA DE PRECIOS'!$H611&gt;0,'LISTA DE PRECIOS'!C611,"")</f>
        <v/>
      </c>
      <c r="D597" s="67" t="str">
        <f>IF('LISTA DE PRECIOS'!$H611&gt;0,'LISTA DE PRECIOS'!D611,"")</f>
        <v/>
      </c>
      <c r="E597" t="str">
        <f>IF('LISTA DE PRECIOS'!$H611&gt;0,'LISTA DE PRECIOS'!E611,"")</f>
        <v/>
      </c>
      <c r="F597" t="str">
        <f>IF('LISTA DE PRECIOS'!$H611&gt;0,'LISTA DE PRECIOS'!F611,"")</f>
        <v/>
      </c>
      <c r="G597" s="31" t="str">
        <f>IF('LISTA DE PRECIOS'!$H611&gt;0,'LISTA DE PRECIOS'!G611,"")</f>
        <v/>
      </c>
      <c r="H597" s="67" t="str">
        <f>IF('LISTA DE PRECIOS'!$H611&gt;0,'LISTA DE PRECIOS'!H611,"")</f>
        <v/>
      </c>
      <c r="I597" s="31" t="str">
        <f t="shared" si="8"/>
        <v/>
      </c>
    </row>
    <row r="598" spans="1:9">
      <c r="A598" t="str">
        <f>IF('LISTA DE PRECIOS'!$H612&gt;0,'LISTA DE PRECIOS'!A612,"")</f>
        <v/>
      </c>
      <c r="B598" t="str">
        <f>IF('LISTA DE PRECIOS'!$H612&gt;0,'LISTA DE PRECIOS'!B612,"")</f>
        <v/>
      </c>
      <c r="C598" t="str">
        <f>IF('LISTA DE PRECIOS'!$H612&gt;0,'LISTA DE PRECIOS'!C612,"")</f>
        <v/>
      </c>
      <c r="D598" s="67" t="str">
        <f>IF('LISTA DE PRECIOS'!$H612&gt;0,'LISTA DE PRECIOS'!D612,"")</f>
        <v/>
      </c>
      <c r="E598" t="str">
        <f>IF('LISTA DE PRECIOS'!$H612&gt;0,'LISTA DE PRECIOS'!E612,"")</f>
        <v/>
      </c>
      <c r="F598" t="str">
        <f>IF('LISTA DE PRECIOS'!$H612&gt;0,'LISTA DE PRECIOS'!F612,"")</f>
        <v/>
      </c>
      <c r="G598" s="31" t="str">
        <f>IF('LISTA DE PRECIOS'!$H612&gt;0,'LISTA DE PRECIOS'!G612,"")</f>
        <v/>
      </c>
      <c r="H598" s="67" t="str">
        <f>IF('LISTA DE PRECIOS'!$H612&gt;0,'LISTA DE PRECIOS'!H612,"")</f>
        <v/>
      </c>
      <c r="I598" s="31" t="str">
        <f t="shared" si="8"/>
        <v/>
      </c>
    </row>
    <row r="599" spans="1:9">
      <c r="A599" t="str">
        <f>IF('LISTA DE PRECIOS'!$H613&gt;0,'LISTA DE PRECIOS'!A613,"")</f>
        <v/>
      </c>
      <c r="B599" t="str">
        <f>IF('LISTA DE PRECIOS'!$H613&gt;0,'LISTA DE PRECIOS'!B613,"")</f>
        <v/>
      </c>
      <c r="C599" t="str">
        <f>IF('LISTA DE PRECIOS'!$H613&gt;0,'LISTA DE PRECIOS'!C613,"")</f>
        <v/>
      </c>
      <c r="D599" s="67" t="str">
        <f>IF('LISTA DE PRECIOS'!$H613&gt;0,'LISTA DE PRECIOS'!D613,"")</f>
        <v/>
      </c>
      <c r="E599" t="str">
        <f>IF('LISTA DE PRECIOS'!$H613&gt;0,'LISTA DE PRECIOS'!E613,"")</f>
        <v/>
      </c>
      <c r="F599" t="str">
        <f>IF('LISTA DE PRECIOS'!$H613&gt;0,'LISTA DE PRECIOS'!F613,"")</f>
        <v/>
      </c>
      <c r="G599" s="31" t="str">
        <f>IF('LISTA DE PRECIOS'!$H613&gt;0,'LISTA DE PRECIOS'!G613,"")</f>
        <v/>
      </c>
      <c r="H599" s="67" t="str">
        <f>IF('LISTA DE PRECIOS'!$H613&gt;0,'LISTA DE PRECIOS'!H613,"")</f>
        <v/>
      </c>
      <c r="I599" s="31" t="str">
        <f t="shared" si="8"/>
        <v/>
      </c>
    </row>
    <row r="600" spans="1:9">
      <c r="A600" t="str">
        <f>IF('LISTA DE PRECIOS'!$H614&gt;0,'LISTA DE PRECIOS'!A614,"")</f>
        <v/>
      </c>
      <c r="B600" t="str">
        <f>IF('LISTA DE PRECIOS'!$H614&gt;0,'LISTA DE PRECIOS'!B614,"")</f>
        <v/>
      </c>
      <c r="C600" t="str">
        <f>IF('LISTA DE PRECIOS'!$H614&gt;0,'LISTA DE PRECIOS'!C614,"")</f>
        <v/>
      </c>
      <c r="D600" s="67" t="str">
        <f>IF('LISTA DE PRECIOS'!$H614&gt;0,'LISTA DE PRECIOS'!D614,"")</f>
        <v/>
      </c>
      <c r="E600" t="str">
        <f>IF('LISTA DE PRECIOS'!$H614&gt;0,'LISTA DE PRECIOS'!E614,"")</f>
        <v/>
      </c>
      <c r="F600" t="str">
        <f>IF('LISTA DE PRECIOS'!$H614&gt;0,'LISTA DE PRECIOS'!F614,"")</f>
        <v/>
      </c>
      <c r="G600" s="31" t="str">
        <f>IF('LISTA DE PRECIOS'!$H614&gt;0,'LISTA DE PRECIOS'!G614,"")</f>
        <v/>
      </c>
      <c r="H600" s="67" t="str">
        <f>IF('LISTA DE PRECIOS'!$H614&gt;0,'LISTA DE PRECIOS'!H614,"")</f>
        <v/>
      </c>
      <c r="I600" s="31" t="str">
        <f t="shared" si="8"/>
        <v/>
      </c>
    </row>
    <row r="601" spans="1:9">
      <c r="A601" t="str">
        <f>IF('LISTA DE PRECIOS'!$H615&gt;0,'LISTA DE PRECIOS'!A615,"")</f>
        <v/>
      </c>
      <c r="B601" t="str">
        <f>IF('LISTA DE PRECIOS'!$H615&gt;0,'LISTA DE PRECIOS'!B615,"")</f>
        <v/>
      </c>
      <c r="C601" t="str">
        <f>IF('LISTA DE PRECIOS'!$H615&gt;0,'LISTA DE PRECIOS'!C615,"")</f>
        <v/>
      </c>
      <c r="D601" s="67" t="str">
        <f>IF('LISTA DE PRECIOS'!$H615&gt;0,'LISTA DE PRECIOS'!D615,"")</f>
        <v/>
      </c>
      <c r="E601" t="str">
        <f>IF('LISTA DE PRECIOS'!$H615&gt;0,'LISTA DE PRECIOS'!E615,"")</f>
        <v/>
      </c>
      <c r="F601" t="str">
        <f>IF('LISTA DE PRECIOS'!$H615&gt;0,'LISTA DE PRECIOS'!F615,"")</f>
        <v/>
      </c>
      <c r="G601" s="31" t="str">
        <f>IF('LISTA DE PRECIOS'!$H615&gt;0,'LISTA DE PRECIOS'!G615,"")</f>
        <v/>
      </c>
      <c r="H601" s="67" t="str">
        <f>IF('LISTA DE PRECIOS'!$H615&gt;0,'LISTA DE PRECIOS'!H615,"")</f>
        <v/>
      </c>
      <c r="I601" s="31" t="str">
        <f t="shared" si="8"/>
        <v/>
      </c>
    </row>
    <row r="602" spans="1:9">
      <c r="A602" t="str">
        <f>IF('LISTA DE PRECIOS'!$H616&gt;0,'LISTA DE PRECIOS'!A616,"")</f>
        <v/>
      </c>
      <c r="B602" t="str">
        <f>IF('LISTA DE PRECIOS'!$H616&gt;0,'LISTA DE PRECIOS'!B616,"")</f>
        <v/>
      </c>
      <c r="C602" t="str">
        <f>IF('LISTA DE PRECIOS'!$H616&gt;0,'LISTA DE PRECIOS'!C616,"")</f>
        <v/>
      </c>
      <c r="D602" s="67" t="str">
        <f>IF('LISTA DE PRECIOS'!$H616&gt;0,'LISTA DE PRECIOS'!D616,"")</f>
        <v/>
      </c>
      <c r="E602" t="str">
        <f>IF('LISTA DE PRECIOS'!$H616&gt;0,'LISTA DE PRECIOS'!E616,"")</f>
        <v/>
      </c>
      <c r="F602" t="str">
        <f>IF('LISTA DE PRECIOS'!$H616&gt;0,'LISTA DE PRECIOS'!F616,"")</f>
        <v/>
      </c>
      <c r="G602" s="31" t="str">
        <f>IF('LISTA DE PRECIOS'!$H616&gt;0,'LISTA DE PRECIOS'!G616,"")</f>
        <v/>
      </c>
      <c r="H602" s="67" t="str">
        <f>IF('LISTA DE PRECIOS'!$H616&gt;0,'LISTA DE PRECIOS'!H616,"")</f>
        <v/>
      </c>
      <c r="I602" s="31" t="str">
        <f t="shared" si="8"/>
        <v/>
      </c>
    </row>
    <row r="603" spans="1:9">
      <c r="A603" t="str">
        <f>IF('LISTA DE PRECIOS'!$H617&gt;0,'LISTA DE PRECIOS'!A617,"")</f>
        <v/>
      </c>
      <c r="B603" t="str">
        <f>IF('LISTA DE PRECIOS'!$H617&gt;0,'LISTA DE PRECIOS'!B617,"")</f>
        <v/>
      </c>
      <c r="C603" t="str">
        <f>IF('LISTA DE PRECIOS'!$H617&gt;0,'LISTA DE PRECIOS'!C617,"")</f>
        <v/>
      </c>
      <c r="D603" s="67" t="str">
        <f>IF('LISTA DE PRECIOS'!$H617&gt;0,'LISTA DE PRECIOS'!D617,"")</f>
        <v/>
      </c>
      <c r="E603" t="str">
        <f>IF('LISTA DE PRECIOS'!$H617&gt;0,'LISTA DE PRECIOS'!E617,"")</f>
        <v/>
      </c>
      <c r="F603" t="str">
        <f>IF('LISTA DE PRECIOS'!$H617&gt;0,'LISTA DE PRECIOS'!F617,"")</f>
        <v/>
      </c>
      <c r="G603" s="31" t="str">
        <f>IF('LISTA DE PRECIOS'!$H617&gt;0,'LISTA DE PRECIOS'!G617,"")</f>
        <v/>
      </c>
      <c r="H603" s="67" t="str">
        <f>IF('LISTA DE PRECIOS'!$H617&gt;0,'LISTA DE PRECIOS'!H617,"")</f>
        <v/>
      </c>
      <c r="I603" s="31" t="str">
        <f t="shared" si="8"/>
        <v/>
      </c>
    </row>
    <row r="604" spans="1:9">
      <c r="A604" t="str">
        <f>IF('LISTA DE PRECIOS'!$H618&gt;0,'LISTA DE PRECIOS'!A618,"")</f>
        <v/>
      </c>
      <c r="B604" t="str">
        <f>IF('LISTA DE PRECIOS'!$H618&gt;0,'LISTA DE PRECIOS'!B618,"")</f>
        <v/>
      </c>
      <c r="C604" t="str">
        <f>IF('LISTA DE PRECIOS'!$H618&gt;0,'LISTA DE PRECIOS'!C618,"")</f>
        <v/>
      </c>
      <c r="D604" s="67" t="str">
        <f>IF('LISTA DE PRECIOS'!$H618&gt;0,'LISTA DE PRECIOS'!D618,"")</f>
        <v/>
      </c>
      <c r="E604" t="str">
        <f>IF('LISTA DE PRECIOS'!$H618&gt;0,'LISTA DE PRECIOS'!E618,"")</f>
        <v/>
      </c>
      <c r="F604" t="str">
        <f>IF('LISTA DE PRECIOS'!$H618&gt;0,'LISTA DE PRECIOS'!F618,"")</f>
        <v/>
      </c>
      <c r="G604" s="31" t="str">
        <f>IF('LISTA DE PRECIOS'!$H618&gt;0,'LISTA DE PRECIOS'!G618,"")</f>
        <v/>
      </c>
      <c r="H604" s="67" t="str">
        <f>IF('LISTA DE PRECIOS'!$H618&gt;0,'LISTA DE PRECIOS'!H618,"")</f>
        <v/>
      </c>
      <c r="I604" s="31" t="str">
        <f t="shared" si="8"/>
        <v/>
      </c>
    </row>
    <row r="605" spans="1:9">
      <c r="A605" t="str">
        <f>IF('LISTA DE PRECIOS'!$H619&gt;0,'LISTA DE PRECIOS'!A619,"")</f>
        <v/>
      </c>
      <c r="B605" t="str">
        <f>IF('LISTA DE PRECIOS'!$H619&gt;0,'LISTA DE PRECIOS'!B619,"")</f>
        <v/>
      </c>
      <c r="C605" t="str">
        <f>IF('LISTA DE PRECIOS'!$H619&gt;0,'LISTA DE PRECIOS'!C619,"")</f>
        <v/>
      </c>
      <c r="D605" s="67" t="str">
        <f>IF('LISTA DE PRECIOS'!$H619&gt;0,'LISTA DE PRECIOS'!D619,"")</f>
        <v/>
      </c>
      <c r="E605" t="str">
        <f>IF('LISTA DE PRECIOS'!$H619&gt;0,'LISTA DE PRECIOS'!E619,"")</f>
        <v/>
      </c>
      <c r="F605" t="str">
        <f>IF('LISTA DE PRECIOS'!$H619&gt;0,'LISTA DE PRECIOS'!F619,"")</f>
        <v/>
      </c>
      <c r="G605" s="31" t="str">
        <f>IF('LISTA DE PRECIOS'!$H619&gt;0,'LISTA DE PRECIOS'!G619,"")</f>
        <v/>
      </c>
      <c r="H605" s="67" t="str">
        <f>IF('LISTA DE PRECIOS'!$H619&gt;0,'LISTA DE PRECIOS'!H619,"")</f>
        <v/>
      </c>
      <c r="I605" s="31" t="str">
        <f t="shared" si="8"/>
        <v/>
      </c>
    </row>
    <row r="606" spans="1:9">
      <c r="A606" t="str">
        <f>IF('LISTA DE PRECIOS'!$H620&gt;0,'LISTA DE PRECIOS'!A620,"")</f>
        <v/>
      </c>
      <c r="B606" t="str">
        <f>IF('LISTA DE PRECIOS'!$H620&gt;0,'LISTA DE PRECIOS'!B620,"")</f>
        <v/>
      </c>
      <c r="C606" t="str">
        <f>IF('LISTA DE PRECIOS'!$H620&gt;0,'LISTA DE PRECIOS'!C620,"")</f>
        <v/>
      </c>
      <c r="D606" s="67" t="str">
        <f>IF('LISTA DE PRECIOS'!$H620&gt;0,'LISTA DE PRECIOS'!D620,"")</f>
        <v/>
      </c>
      <c r="E606" t="str">
        <f>IF('LISTA DE PRECIOS'!$H620&gt;0,'LISTA DE PRECIOS'!E620,"")</f>
        <v/>
      </c>
      <c r="F606" t="str">
        <f>IF('LISTA DE PRECIOS'!$H620&gt;0,'LISTA DE PRECIOS'!F620,"")</f>
        <v/>
      </c>
      <c r="G606" s="31" t="str">
        <f>IF('LISTA DE PRECIOS'!$H620&gt;0,'LISTA DE PRECIOS'!G620,"")</f>
        <v/>
      </c>
      <c r="H606" s="67" t="str">
        <f>IF('LISTA DE PRECIOS'!$H620&gt;0,'LISTA DE PRECIOS'!H620,"")</f>
        <v/>
      </c>
      <c r="I606" s="31" t="str">
        <f t="shared" si="8"/>
        <v/>
      </c>
    </row>
    <row r="607" spans="1:9">
      <c r="A607" t="str">
        <f>IF('LISTA DE PRECIOS'!$H621&gt;0,'LISTA DE PRECIOS'!A621,"")</f>
        <v/>
      </c>
      <c r="B607" t="str">
        <f>IF('LISTA DE PRECIOS'!$H621&gt;0,'LISTA DE PRECIOS'!B621,"")</f>
        <v/>
      </c>
      <c r="C607" t="str">
        <f>IF('LISTA DE PRECIOS'!$H621&gt;0,'LISTA DE PRECIOS'!C621,"")</f>
        <v/>
      </c>
      <c r="D607" s="67" t="str">
        <f>IF('LISTA DE PRECIOS'!$H621&gt;0,'LISTA DE PRECIOS'!D621,"")</f>
        <v/>
      </c>
      <c r="E607" t="str">
        <f>IF('LISTA DE PRECIOS'!$H621&gt;0,'LISTA DE PRECIOS'!E621,"")</f>
        <v/>
      </c>
      <c r="F607" t="str">
        <f>IF('LISTA DE PRECIOS'!$H621&gt;0,'LISTA DE PRECIOS'!F621,"")</f>
        <v/>
      </c>
      <c r="G607" s="31" t="str">
        <f>IF('LISTA DE PRECIOS'!$H621&gt;0,'LISTA DE PRECIOS'!G621,"")</f>
        <v/>
      </c>
      <c r="H607" s="67" t="str">
        <f>IF('LISTA DE PRECIOS'!$H621&gt;0,'LISTA DE PRECIOS'!H621,"")</f>
        <v/>
      </c>
      <c r="I607" s="31" t="str">
        <f t="shared" si="8"/>
        <v/>
      </c>
    </row>
    <row r="608" spans="1:9">
      <c r="A608" t="str">
        <f>IF('LISTA DE PRECIOS'!$H622&gt;0,'LISTA DE PRECIOS'!A622,"")</f>
        <v/>
      </c>
      <c r="B608" t="str">
        <f>IF('LISTA DE PRECIOS'!$H622&gt;0,'LISTA DE PRECIOS'!B622,"")</f>
        <v/>
      </c>
      <c r="C608" t="str">
        <f>IF('LISTA DE PRECIOS'!$H622&gt;0,'LISTA DE PRECIOS'!C622,"")</f>
        <v/>
      </c>
      <c r="D608" s="67" t="str">
        <f>IF('LISTA DE PRECIOS'!$H622&gt;0,'LISTA DE PRECIOS'!D622,"")</f>
        <v/>
      </c>
      <c r="E608" t="str">
        <f>IF('LISTA DE PRECIOS'!$H622&gt;0,'LISTA DE PRECIOS'!E622,"")</f>
        <v/>
      </c>
      <c r="F608" t="str">
        <f>IF('LISTA DE PRECIOS'!$H622&gt;0,'LISTA DE PRECIOS'!F622,"")</f>
        <v/>
      </c>
      <c r="G608" s="31" t="str">
        <f>IF('LISTA DE PRECIOS'!$H622&gt;0,'LISTA DE PRECIOS'!G622,"")</f>
        <v/>
      </c>
      <c r="H608" s="67" t="str">
        <f>IF('LISTA DE PRECIOS'!$H622&gt;0,'LISTA DE PRECIOS'!H622,"")</f>
        <v/>
      </c>
      <c r="I608" s="31" t="str">
        <f t="shared" si="8"/>
        <v/>
      </c>
    </row>
    <row r="609" spans="1:9">
      <c r="A609" t="str">
        <f>IF('LISTA DE PRECIOS'!$H623&gt;0,'LISTA DE PRECIOS'!A623,"")</f>
        <v/>
      </c>
      <c r="B609" t="str">
        <f>IF('LISTA DE PRECIOS'!$H623&gt;0,'LISTA DE PRECIOS'!B623,"")</f>
        <v/>
      </c>
      <c r="C609" t="str">
        <f>IF('LISTA DE PRECIOS'!$H623&gt;0,'LISTA DE PRECIOS'!C623,"")</f>
        <v/>
      </c>
      <c r="D609" s="67" t="str">
        <f>IF('LISTA DE PRECIOS'!$H623&gt;0,'LISTA DE PRECIOS'!D623,"")</f>
        <v/>
      </c>
      <c r="E609" t="str">
        <f>IF('LISTA DE PRECIOS'!$H623&gt;0,'LISTA DE PRECIOS'!E623,"")</f>
        <v/>
      </c>
      <c r="F609" t="str">
        <f>IF('LISTA DE PRECIOS'!$H623&gt;0,'LISTA DE PRECIOS'!F623,"")</f>
        <v/>
      </c>
      <c r="G609" s="31" t="str">
        <f>IF('LISTA DE PRECIOS'!$H623&gt;0,'LISTA DE PRECIOS'!G623,"")</f>
        <v/>
      </c>
      <c r="H609" s="67" t="str">
        <f>IF('LISTA DE PRECIOS'!$H623&gt;0,'LISTA DE PRECIOS'!H623,"")</f>
        <v/>
      </c>
      <c r="I609" s="31" t="str">
        <f t="shared" si="8"/>
        <v/>
      </c>
    </row>
    <row r="610" spans="1:9">
      <c r="A610" t="str">
        <f>IF('LISTA DE PRECIOS'!$H624&gt;0,'LISTA DE PRECIOS'!A624,"")</f>
        <v/>
      </c>
      <c r="B610" t="str">
        <f>IF('LISTA DE PRECIOS'!$H624&gt;0,'LISTA DE PRECIOS'!B624,"")</f>
        <v/>
      </c>
      <c r="C610" t="str">
        <f>IF('LISTA DE PRECIOS'!$H624&gt;0,'LISTA DE PRECIOS'!C624,"")</f>
        <v/>
      </c>
      <c r="D610" s="67" t="str">
        <f>IF('LISTA DE PRECIOS'!$H624&gt;0,'LISTA DE PRECIOS'!D624,"")</f>
        <v/>
      </c>
      <c r="E610" t="str">
        <f>IF('LISTA DE PRECIOS'!$H624&gt;0,'LISTA DE PRECIOS'!E624,"")</f>
        <v/>
      </c>
      <c r="F610" t="str">
        <f>IF('LISTA DE PRECIOS'!$H624&gt;0,'LISTA DE PRECIOS'!F624,"")</f>
        <v/>
      </c>
      <c r="G610" s="31" t="str">
        <f>IF('LISTA DE PRECIOS'!$H624&gt;0,'LISTA DE PRECIOS'!G624,"")</f>
        <v/>
      </c>
      <c r="H610" s="67" t="str">
        <f>IF('LISTA DE PRECIOS'!$H624&gt;0,'LISTA DE PRECIOS'!H624,"")</f>
        <v/>
      </c>
      <c r="I610" s="31" t="str">
        <f t="shared" si="8"/>
        <v/>
      </c>
    </row>
    <row r="611" spans="1:9">
      <c r="A611" t="str">
        <f>IF('LISTA DE PRECIOS'!$H625&gt;0,'LISTA DE PRECIOS'!A625,"")</f>
        <v/>
      </c>
      <c r="B611" t="str">
        <f>IF('LISTA DE PRECIOS'!$H625&gt;0,'LISTA DE PRECIOS'!B625,"")</f>
        <v/>
      </c>
      <c r="C611" t="str">
        <f>IF('LISTA DE PRECIOS'!$H625&gt;0,'LISTA DE PRECIOS'!C625,"")</f>
        <v/>
      </c>
      <c r="D611" s="67" t="str">
        <f>IF('LISTA DE PRECIOS'!$H625&gt;0,'LISTA DE PRECIOS'!D625,"")</f>
        <v/>
      </c>
      <c r="E611" t="str">
        <f>IF('LISTA DE PRECIOS'!$H625&gt;0,'LISTA DE PRECIOS'!E625,"")</f>
        <v/>
      </c>
      <c r="F611" t="str">
        <f>IF('LISTA DE PRECIOS'!$H625&gt;0,'LISTA DE PRECIOS'!F625,"")</f>
        <v/>
      </c>
      <c r="G611" s="31" t="str">
        <f>IF('LISTA DE PRECIOS'!$H625&gt;0,'LISTA DE PRECIOS'!G625,"")</f>
        <v/>
      </c>
      <c r="H611" s="67" t="str">
        <f>IF('LISTA DE PRECIOS'!$H625&gt;0,'LISTA DE PRECIOS'!H625,"")</f>
        <v/>
      </c>
      <c r="I611" s="31" t="str">
        <f t="shared" si="8"/>
        <v/>
      </c>
    </row>
    <row r="612" spans="1:9">
      <c r="A612" t="str">
        <f>IF('LISTA DE PRECIOS'!$H626&gt;0,'LISTA DE PRECIOS'!A626,"")</f>
        <v/>
      </c>
      <c r="B612" t="str">
        <f>IF('LISTA DE PRECIOS'!$H626&gt;0,'LISTA DE PRECIOS'!B626,"")</f>
        <v/>
      </c>
      <c r="C612" t="str">
        <f>IF('LISTA DE PRECIOS'!$H626&gt;0,'LISTA DE PRECIOS'!C626,"")</f>
        <v/>
      </c>
      <c r="D612" s="67" t="str">
        <f>IF('LISTA DE PRECIOS'!$H626&gt;0,'LISTA DE PRECIOS'!D626,"")</f>
        <v/>
      </c>
      <c r="E612" t="str">
        <f>IF('LISTA DE PRECIOS'!$H626&gt;0,'LISTA DE PRECIOS'!E626,"")</f>
        <v/>
      </c>
      <c r="F612" t="str">
        <f>IF('LISTA DE PRECIOS'!$H626&gt;0,'LISTA DE PRECIOS'!F626,"")</f>
        <v/>
      </c>
      <c r="G612" s="31" t="str">
        <f>IF('LISTA DE PRECIOS'!$H626&gt;0,'LISTA DE PRECIOS'!G626,"")</f>
        <v/>
      </c>
      <c r="H612" s="67" t="str">
        <f>IF('LISTA DE PRECIOS'!$H626&gt;0,'LISTA DE PRECIOS'!H626,"")</f>
        <v/>
      </c>
      <c r="I612" s="31" t="str">
        <f t="shared" si="8"/>
        <v/>
      </c>
    </row>
    <row r="613" spans="1:9">
      <c r="A613" t="str">
        <f>IF('LISTA DE PRECIOS'!$H627&gt;0,'LISTA DE PRECIOS'!A627,"")</f>
        <v/>
      </c>
      <c r="B613" t="str">
        <f>IF('LISTA DE PRECIOS'!$H627&gt;0,'LISTA DE PRECIOS'!B627,"")</f>
        <v/>
      </c>
      <c r="C613" t="str">
        <f>IF('LISTA DE PRECIOS'!$H627&gt;0,'LISTA DE PRECIOS'!C627,"")</f>
        <v/>
      </c>
      <c r="D613" s="67" t="str">
        <f>IF('LISTA DE PRECIOS'!$H627&gt;0,'LISTA DE PRECIOS'!D627,"")</f>
        <v/>
      </c>
      <c r="E613" t="str">
        <f>IF('LISTA DE PRECIOS'!$H627&gt;0,'LISTA DE PRECIOS'!E627,"")</f>
        <v/>
      </c>
      <c r="F613" t="str">
        <f>IF('LISTA DE PRECIOS'!$H627&gt;0,'LISTA DE PRECIOS'!F627,"")</f>
        <v/>
      </c>
      <c r="G613" s="31" t="str">
        <f>IF('LISTA DE PRECIOS'!$H627&gt;0,'LISTA DE PRECIOS'!G627,"")</f>
        <v/>
      </c>
      <c r="H613" s="67" t="str">
        <f>IF('LISTA DE PRECIOS'!$H627&gt;0,'LISTA DE PRECIOS'!H627,"")</f>
        <v/>
      </c>
      <c r="I613" s="31" t="str">
        <f t="shared" si="8"/>
        <v/>
      </c>
    </row>
    <row r="614" spans="1:9">
      <c r="A614" t="str">
        <f>IF('LISTA DE PRECIOS'!$H628&gt;0,'LISTA DE PRECIOS'!A628,"")</f>
        <v/>
      </c>
      <c r="B614" t="str">
        <f>IF('LISTA DE PRECIOS'!$H628&gt;0,'LISTA DE PRECIOS'!B628,"")</f>
        <v/>
      </c>
      <c r="C614" t="str">
        <f>IF('LISTA DE PRECIOS'!$H628&gt;0,'LISTA DE PRECIOS'!C628,"")</f>
        <v/>
      </c>
      <c r="D614" s="67" t="str">
        <f>IF('LISTA DE PRECIOS'!$H628&gt;0,'LISTA DE PRECIOS'!D628,"")</f>
        <v/>
      </c>
      <c r="E614" t="str">
        <f>IF('LISTA DE PRECIOS'!$H628&gt;0,'LISTA DE PRECIOS'!E628,"")</f>
        <v/>
      </c>
      <c r="F614" t="str">
        <f>IF('LISTA DE PRECIOS'!$H628&gt;0,'LISTA DE PRECIOS'!F628,"")</f>
        <v/>
      </c>
      <c r="G614" s="31" t="str">
        <f>IF('LISTA DE PRECIOS'!$H628&gt;0,'LISTA DE PRECIOS'!G628,"")</f>
        <v/>
      </c>
      <c r="H614" s="67" t="str">
        <f>IF('LISTA DE PRECIOS'!$H628&gt;0,'LISTA DE PRECIOS'!H628,"")</f>
        <v/>
      </c>
      <c r="I614" s="31" t="str">
        <f t="shared" si="8"/>
        <v/>
      </c>
    </row>
    <row r="615" spans="1:9">
      <c r="A615" t="str">
        <f>IF('LISTA DE PRECIOS'!$H629&gt;0,'LISTA DE PRECIOS'!A629,"")</f>
        <v/>
      </c>
      <c r="B615" t="str">
        <f>IF('LISTA DE PRECIOS'!$H629&gt;0,'LISTA DE PRECIOS'!B629,"")</f>
        <v/>
      </c>
      <c r="C615" t="str">
        <f>IF('LISTA DE PRECIOS'!$H629&gt;0,'LISTA DE PRECIOS'!C629,"")</f>
        <v/>
      </c>
      <c r="D615" s="67" t="str">
        <f>IF('LISTA DE PRECIOS'!$H629&gt;0,'LISTA DE PRECIOS'!D629,"")</f>
        <v/>
      </c>
      <c r="E615" t="str">
        <f>IF('LISTA DE PRECIOS'!$H629&gt;0,'LISTA DE PRECIOS'!E629,"")</f>
        <v/>
      </c>
      <c r="F615" t="str">
        <f>IF('LISTA DE PRECIOS'!$H629&gt;0,'LISTA DE PRECIOS'!F629,"")</f>
        <v/>
      </c>
      <c r="G615" s="31" t="str">
        <f>IF('LISTA DE PRECIOS'!$H629&gt;0,'LISTA DE PRECIOS'!G629,"")</f>
        <v/>
      </c>
      <c r="H615" s="67" t="str">
        <f>IF('LISTA DE PRECIOS'!$H629&gt;0,'LISTA DE PRECIOS'!H629,"")</f>
        <v/>
      </c>
      <c r="I615" s="31" t="str">
        <f t="shared" si="8"/>
        <v/>
      </c>
    </row>
    <row r="616" spans="1:9">
      <c r="A616" t="str">
        <f>IF('LISTA DE PRECIOS'!$H630&gt;0,'LISTA DE PRECIOS'!A630,"")</f>
        <v/>
      </c>
      <c r="B616" t="str">
        <f>IF('LISTA DE PRECIOS'!$H630&gt;0,'LISTA DE PRECIOS'!B630,"")</f>
        <v/>
      </c>
      <c r="C616" t="str">
        <f>IF('LISTA DE PRECIOS'!$H630&gt;0,'LISTA DE PRECIOS'!C630,"")</f>
        <v/>
      </c>
      <c r="D616" s="67" t="str">
        <f>IF('LISTA DE PRECIOS'!$H630&gt;0,'LISTA DE PRECIOS'!D630,"")</f>
        <v/>
      </c>
      <c r="E616" t="str">
        <f>IF('LISTA DE PRECIOS'!$H630&gt;0,'LISTA DE PRECIOS'!E630,"")</f>
        <v/>
      </c>
      <c r="F616" t="str">
        <f>IF('LISTA DE PRECIOS'!$H630&gt;0,'LISTA DE PRECIOS'!F630,"")</f>
        <v/>
      </c>
      <c r="G616" s="31" t="str">
        <f>IF('LISTA DE PRECIOS'!$H630&gt;0,'LISTA DE PRECIOS'!G630,"")</f>
        <v/>
      </c>
      <c r="H616" s="67" t="str">
        <f>IF('LISTA DE PRECIOS'!$H630&gt;0,'LISTA DE PRECIOS'!H630,"")</f>
        <v/>
      </c>
      <c r="I616" s="31" t="str">
        <f t="shared" si="8"/>
        <v/>
      </c>
    </row>
    <row r="617" spans="1:9">
      <c r="A617" t="str">
        <f>IF('LISTA DE PRECIOS'!$H631&gt;0,'LISTA DE PRECIOS'!A631,"")</f>
        <v/>
      </c>
      <c r="B617" t="str">
        <f>IF('LISTA DE PRECIOS'!$H631&gt;0,'LISTA DE PRECIOS'!B631,"")</f>
        <v/>
      </c>
      <c r="C617" t="str">
        <f>IF('LISTA DE PRECIOS'!$H631&gt;0,'LISTA DE PRECIOS'!C631,"")</f>
        <v/>
      </c>
      <c r="D617" s="67" t="str">
        <f>IF('LISTA DE PRECIOS'!$H631&gt;0,'LISTA DE PRECIOS'!D631,"")</f>
        <v/>
      </c>
      <c r="E617" t="str">
        <f>IF('LISTA DE PRECIOS'!$H631&gt;0,'LISTA DE PRECIOS'!E631,"")</f>
        <v/>
      </c>
      <c r="F617" t="str">
        <f>IF('LISTA DE PRECIOS'!$H631&gt;0,'LISTA DE PRECIOS'!F631,"")</f>
        <v/>
      </c>
      <c r="G617" s="31" t="str">
        <f>IF('LISTA DE PRECIOS'!$H631&gt;0,'LISTA DE PRECIOS'!G631,"")</f>
        <v/>
      </c>
      <c r="H617" s="67" t="str">
        <f>IF('LISTA DE PRECIOS'!$H631&gt;0,'LISTA DE PRECIOS'!H631,"")</f>
        <v/>
      </c>
      <c r="I617" s="31" t="str">
        <f t="shared" si="8"/>
        <v/>
      </c>
    </row>
    <row r="618" spans="1:9">
      <c r="A618" t="str">
        <f>IF('LISTA DE PRECIOS'!$H632&gt;0,'LISTA DE PRECIOS'!A632,"")</f>
        <v/>
      </c>
      <c r="B618" t="str">
        <f>IF('LISTA DE PRECIOS'!$H632&gt;0,'LISTA DE PRECIOS'!B632,"")</f>
        <v/>
      </c>
      <c r="C618" t="str">
        <f>IF('LISTA DE PRECIOS'!$H632&gt;0,'LISTA DE PRECIOS'!C632,"")</f>
        <v/>
      </c>
      <c r="D618" s="67" t="str">
        <f>IF('LISTA DE PRECIOS'!$H632&gt;0,'LISTA DE PRECIOS'!D632,"")</f>
        <v/>
      </c>
      <c r="E618" t="str">
        <f>IF('LISTA DE PRECIOS'!$H632&gt;0,'LISTA DE PRECIOS'!E632,"")</f>
        <v/>
      </c>
      <c r="F618" t="str">
        <f>IF('LISTA DE PRECIOS'!$H632&gt;0,'LISTA DE PRECIOS'!F632,"")</f>
        <v/>
      </c>
      <c r="G618" s="31" t="str">
        <f>IF('LISTA DE PRECIOS'!$H632&gt;0,'LISTA DE PRECIOS'!G632,"")</f>
        <v/>
      </c>
      <c r="H618" s="67" t="str">
        <f>IF('LISTA DE PRECIOS'!$H632&gt;0,'LISTA DE PRECIOS'!H632,"")</f>
        <v/>
      </c>
      <c r="I618" s="31" t="str">
        <f t="shared" si="8"/>
        <v/>
      </c>
    </row>
    <row r="619" spans="1:9">
      <c r="A619" t="str">
        <f>IF('LISTA DE PRECIOS'!$H633&gt;0,'LISTA DE PRECIOS'!A633,"")</f>
        <v/>
      </c>
      <c r="B619" t="str">
        <f>IF('LISTA DE PRECIOS'!$H633&gt;0,'LISTA DE PRECIOS'!B633,"")</f>
        <v/>
      </c>
      <c r="C619" t="str">
        <f>IF('LISTA DE PRECIOS'!$H633&gt;0,'LISTA DE PRECIOS'!C633,"")</f>
        <v/>
      </c>
      <c r="D619" s="67" t="str">
        <f>IF('LISTA DE PRECIOS'!$H633&gt;0,'LISTA DE PRECIOS'!D633,"")</f>
        <v/>
      </c>
      <c r="E619" t="str">
        <f>IF('LISTA DE PRECIOS'!$H633&gt;0,'LISTA DE PRECIOS'!E633,"")</f>
        <v/>
      </c>
      <c r="F619" t="str">
        <f>IF('LISTA DE PRECIOS'!$H633&gt;0,'LISTA DE PRECIOS'!F633,"")</f>
        <v/>
      </c>
      <c r="G619" s="31" t="str">
        <f>IF('LISTA DE PRECIOS'!$H633&gt;0,'LISTA DE PRECIOS'!G633,"")</f>
        <v/>
      </c>
      <c r="H619" s="67" t="str">
        <f>IF('LISTA DE PRECIOS'!$H633&gt;0,'LISTA DE PRECIOS'!H633,"")</f>
        <v/>
      </c>
      <c r="I619" s="31" t="str">
        <f t="shared" si="8"/>
        <v/>
      </c>
    </row>
    <row r="620" spans="1:9">
      <c r="A620" t="str">
        <f>IF('LISTA DE PRECIOS'!$H634&gt;0,'LISTA DE PRECIOS'!A634,"")</f>
        <v/>
      </c>
      <c r="B620" t="str">
        <f>IF('LISTA DE PRECIOS'!$H634&gt;0,'LISTA DE PRECIOS'!B634,"")</f>
        <v/>
      </c>
      <c r="C620" t="str">
        <f>IF('LISTA DE PRECIOS'!$H634&gt;0,'LISTA DE PRECIOS'!C634,"")</f>
        <v/>
      </c>
      <c r="D620" s="67" t="str">
        <f>IF('LISTA DE PRECIOS'!$H634&gt;0,'LISTA DE PRECIOS'!D634,"")</f>
        <v/>
      </c>
      <c r="E620" t="str">
        <f>IF('LISTA DE PRECIOS'!$H634&gt;0,'LISTA DE PRECIOS'!E634,"")</f>
        <v/>
      </c>
      <c r="F620" t="str">
        <f>IF('LISTA DE PRECIOS'!$H634&gt;0,'LISTA DE PRECIOS'!F634,"")</f>
        <v/>
      </c>
      <c r="G620" s="31" t="str">
        <f>IF('LISTA DE PRECIOS'!$H634&gt;0,'LISTA DE PRECIOS'!G634,"")</f>
        <v/>
      </c>
      <c r="H620" s="67" t="str">
        <f>IF('LISTA DE PRECIOS'!$H634&gt;0,'LISTA DE PRECIOS'!H634,"")</f>
        <v/>
      </c>
      <c r="I620" s="31" t="str">
        <f t="shared" si="8"/>
        <v/>
      </c>
    </row>
    <row r="621" spans="1:9">
      <c r="A621" t="str">
        <f>IF('LISTA DE PRECIOS'!$H635&gt;0,'LISTA DE PRECIOS'!A635,"")</f>
        <v/>
      </c>
      <c r="B621" t="str">
        <f>IF('LISTA DE PRECIOS'!$H635&gt;0,'LISTA DE PRECIOS'!B635,"")</f>
        <v/>
      </c>
      <c r="C621" t="str">
        <f>IF('LISTA DE PRECIOS'!$H635&gt;0,'LISTA DE PRECIOS'!C635,"")</f>
        <v/>
      </c>
      <c r="D621" s="67" t="str">
        <f>IF('LISTA DE PRECIOS'!$H635&gt;0,'LISTA DE PRECIOS'!D635,"")</f>
        <v/>
      </c>
      <c r="E621" t="str">
        <f>IF('LISTA DE PRECIOS'!$H635&gt;0,'LISTA DE PRECIOS'!E635,"")</f>
        <v/>
      </c>
      <c r="F621" t="str">
        <f>IF('LISTA DE PRECIOS'!$H635&gt;0,'LISTA DE PRECIOS'!F635,"")</f>
        <v/>
      </c>
      <c r="G621" s="31" t="str">
        <f>IF('LISTA DE PRECIOS'!$H635&gt;0,'LISTA DE PRECIOS'!G635,"")</f>
        <v/>
      </c>
      <c r="H621" s="67" t="str">
        <f>IF('LISTA DE PRECIOS'!$H635&gt;0,'LISTA DE PRECIOS'!H635,"")</f>
        <v/>
      </c>
      <c r="I621" s="31" t="str">
        <f t="shared" si="8"/>
        <v/>
      </c>
    </row>
    <row r="622" spans="1:9">
      <c r="A622" t="str">
        <f>IF('LISTA DE PRECIOS'!$H636&gt;0,'LISTA DE PRECIOS'!A636,"")</f>
        <v/>
      </c>
      <c r="B622" t="str">
        <f>IF('LISTA DE PRECIOS'!$H636&gt;0,'LISTA DE PRECIOS'!B636,"")</f>
        <v/>
      </c>
      <c r="C622" t="str">
        <f>IF('LISTA DE PRECIOS'!$H636&gt;0,'LISTA DE PRECIOS'!C636,"")</f>
        <v/>
      </c>
      <c r="D622" s="67" t="str">
        <f>IF('LISTA DE PRECIOS'!$H636&gt;0,'LISTA DE PRECIOS'!D636,"")</f>
        <v/>
      </c>
      <c r="E622" t="str">
        <f>IF('LISTA DE PRECIOS'!$H636&gt;0,'LISTA DE PRECIOS'!E636,"")</f>
        <v/>
      </c>
      <c r="F622" t="str">
        <f>IF('LISTA DE PRECIOS'!$H636&gt;0,'LISTA DE PRECIOS'!F636,"")</f>
        <v/>
      </c>
      <c r="G622" s="31" t="str">
        <f>IF('LISTA DE PRECIOS'!$H636&gt;0,'LISTA DE PRECIOS'!G636,"")</f>
        <v/>
      </c>
      <c r="H622" s="67" t="str">
        <f>IF('LISTA DE PRECIOS'!$H636&gt;0,'LISTA DE PRECIOS'!H636,"")</f>
        <v/>
      </c>
      <c r="I622" s="31" t="str">
        <f t="shared" si="8"/>
        <v/>
      </c>
    </row>
    <row r="623" spans="1:9">
      <c r="A623" t="str">
        <f>IF('LISTA DE PRECIOS'!$H637&gt;0,'LISTA DE PRECIOS'!A637,"")</f>
        <v/>
      </c>
      <c r="B623" t="str">
        <f>IF('LISTA DE PRECIOS'!$H637&gt;0,'LISTA DE PRECIOS'!B637,"")</f>
        <v/>
      </c>
      <c r="C623" t="str">
        <f>IF('LISTA DE PRECIOS'!$H637&gt;0,'LISTA DE PRECIOS'!C637,"")</f>
        <v/>
      </c>
      <c r="D623" s="67" t="str">
        <f>IF('LISTA DE PRECIOS'!$H637&gt;0,'LISTA DE PRECIOS'!D637,"")</f>
        <v/>
      </c>
      <c r="E623" t="str">
        <f>IF('LISTA DE PRECIOS'!$H637&gt;0,'LISTA DE PRECIOS'!E637,"")</f>
        <v/>
      </c>
      <c r="F623" t="str">
        <f>IF('LISTA DE PRECIOS'!$H637&gt;0,'LISTA DE PRECIOS'!F637,"")</f>
        <v/>
      </c>
      <c r="G623" s="31" t="str">
        <f>IF('LISTA DE PRECIOS'!$H637&gt;0,'LISTA DE PRECIOS'!G637,"")</f>
        <v/>
      </c>
      <c r="H623" s="67" t="str">
        <f>IF('LISTA DE PRECIOS'!$H637&gt;0,'LISTA DE PRECIOS'!H637,"")</f>
        <v/>
      </c>
      <c r="I623" s="31" t="str">
        <f t="shared" si="8"/>
        <v/>
      </c>
    </row>
    <row r="624" spans="1:9">
      <c r="A624" t="str">
        <f>IF('LISTA DE PRECIOS'!$H638&gt;0,'LISTA DE PRECIOS'!A638,"")</f>
        <v/>
      </c>
      <c r="B624" t="str">
        <f>IF('LISTA DE PRECIOS'!$H638&gt;0,'LISTA DE PRECIOS'!B638,"")</f>
        <v/>
      </c>
      <c r="C624" t="str">
        <f>IF('LISTA DE PRECIOS'!$H638&gt;0,'LISTA DE PRECIOS'!C638,"")</f>
        <v/>
      </c>
      <c r="D624" s="67" t="str">
        <f>IF('LISTA DE PRECIOS'!$H638&gt;0,'LISTA DE PRECIOS'!D638,"")</f>
        <v/>
      </c>
      <c r="E624" t="str">
        <f>IF('LISTA DE PRECIOS'!$H638&gt;0,'LISTA DE PRECIOS'!E638,"")</f>
        <v/>
      </c>
      <c r="F624" t="str">
        <f>IF('LISTA DE PRECIOS'!$H638&gt;0,'LISTA DE PRECIOS'!F638,"")</f>
        <v/>
      </c>
      <c r="G624" s="31" t="str">
        <f>IF('LISTA DE PRECIOS'!$H638&gt;0,'LISTA DE PRECIOS'!G638,"")</f>
        <v/>
      </c>
      <c r="H624" s="67" t="str">
        <f>IF('LISTA DE PRECIOS'!$H638&gt;0,'LISTA DE PRECIOS'!H638,"")</f>
        <v/>
      </c>
      <c r="I624" s="31" t="str">
        <f t="shared" si="8"/>
        <v/>
      </c>
    </row>
    <row r="625" spans="1:9">
      <c r="A625" t="str">
        <f>IF('LISTA DE PRECIOS'!$H639&gt;0,'LISTA DE PRECIOS'!A639,"")</f>
        <v/>
      </c>
      <c r="B625" t="str">
        <f>IF('LISTA DE PRECIOS'!$H639&gt;0,'LISTA DE PRECIOS'!B639,"")</f>
        <v/>
      </c>
      <c r="C625" t="str">
        <f>IF('LISTA DE PRECIOS'!$H639&gt;0,'LISTA DE PRECIOS'!C639,"")</f>
        <v/>
      </c>
      <c r="D625" s="67" t="str">
        <f>IF('LISTA DE PRECIOS'!$H639&gt;0,'LISTA DE PRECIOS'!D639,"")</f>
        <v/>
      </c>
      <c r="E625" t="str">
        <f>IF('LISTA DE PRECIOS'!$H639&gt;0,'LISTA DE PRECIOS'!E639,"")</f>
        <v/>
      </c>
      <c r="F625" t="str">
        <f>IF('LISTA DE PRECIOS'!$H639&gt;0,'LISTA DE PRECIOS'!F639,"")</f>
        <v/>
      </c>
      <c r="G625" s="31" t="str">
        <f>IF('LISTA DE PRECIOS'!$H639&gt;0,'LISTA DE PRECIOS'!G639,"")</f>
        <v/>
      </c>
      <c r="H625" s="67" t="str">
        <f>IF('LISTA DE PRECIOS'!$H639&gt;0,'LISTA DE PRECIOS'!H639,"")</f>
        <v/>
      </c>
      <c r="I625" s="31" t="str">
        <f t="shared" si="8"/>
        <v/>
      </c>
    </row>
    <row r="626" spans="1:9">
      <c r="A626" t="str">
        <f>IF('LISTA DE PRECIOS'!$H640&gt;0,'LISTA DE PRECIOS'!A640,"")</f>
        <v/>
      </c>
      <c r="B626" t="str">
        <f>IF('LISTA DE PRECIOS'!$H640&gt;0,'LISTA DE PRECIOS'!B640,"")</f>
        <v/>
      </c>
      <c r="C626" t="str">
        <f>IF('LISTA DE PRECIOS'!$H640&gt;0,'LISTA DE PRECIOS'!C640,"")</f>
        <v/>
      </c>
      <c r="D626" s="67" t="str">
        <f>IF('LISTA DE PRECIOS'!$H640&gt;0,'LISTA DE PRECIOS'!D640,"")</f>
        <v/>
      </c>
      <c r="E626" t="str">
        <f>IF('LISTA DE PRECIOS'!$H640&gt;0,'LISTA DE PRECIOS'!E640,"")</f>
        <v/>
      </c>
      <c r="F626" t="str">
        <f>IF('LISTA DE PRECIOS'!$H640&gt;0,'LISTA DE PRECIOS'!F640,"")</f>
        <v/>
      </c>
      <c r="G626" s="31" t="str">
        <f>IF('LISTA DE PRECIOS'!$H640&gt;0,'LISTA DE PRECIOS'!G640,"")</f>
        <v/>
      </c>
      <c r="H626" s="67" t="str">
        <f>IF('LISTA DE PRECIOS'!$H640&gt;0,'LISTA DE PRECIOS'!H640,"")</f>
        <v/>
      </c>
      <c r="I626" s="31" t="str">
        <f t="shared" si="8"/>
        <v/>
      </c>
    </row>
    <row r="627" spans="1:9">
      <c r="A627" t="str">
        <f>IF('LISTA DE PRECIOS'!$H641&gt;0,'LISTA DE PRECIOS'!A641,"")</f>
        <v/>
      </c>
      <c r="B627" t="str">
        <f>IF('LISTA DE PRECIOS'!$H641&gt;0,'LISTA DE PRECIOS'!B641,"")</f>
        <v/>
      </c>
      <c r="C627" t="str">
        <f>IF('LISTA DE PRECIOS'!$H641&gt;0,'LISTA DE PRECIOS'!C641,"")</f>
        <v/>
      </c>
      <c r="D627" s="67" t="str">
        <f>IF('LISTA DE PRECIOS'!$H641&gt;0,'LISTA DE PRECIOS'!D641,"")</f>
        <v/>
      </c>
      <c r="E627" t="str">
        <f>IF('LISTA DE PRECIOS'!$H641&gt;0,'LISTA DE PRECIOS'!E641,"")</f>
        <v/>
      </c>
      <c r="F627" t="str">
        <f>IF('LISTA DE PRECIOS'!$H641&gt;0,'LISTA DE PRECIOS'!F641,"")</f>
        <v/>
      </c>
      <c r="G627" s="31" t="str">
        <f>IF('LISTA DE PRECIOS'!$H641&gt;0,'LISTA DE PRECIOS'!G641,"")</f>
        <v/>
      </c>
      <c r="H627" s="67" t="str">
        <f>IF('LISTA DE PRECIOS'!$H641&gt;0,'LISTA DE PRECIOS'!H641,"")</f>
        <v/>
      </c>
      <c r="I627" s="31" t="str">
        <f t="shared" si="8"/>
        <v/>
      </c>
    </row>
    <row r="628" spans="1:9">
      <c r="A628" t="str">
        <f>IF('LISTA DE PRECIOS'!$H642&gt;0,'LISTA DE PRECIOS'!A642,"")</f>
        <v/>
      </c>
      <c r="B628" t="str">
        <f>IF('LISTA DE PRECIOS'!$H642&gt;0,'LISTA DE PRECIOS'!B642,"")</f>
        <v/>
      </c>
      <c r="C628" t="str">
        <f>IF('LISTA DE PRECIOS'!$H642&gt;0,'LISTA DE PRECIOS'!C642,"")</f>
        <v/>
      </c>
      <c r="D628" s="67" t="str">
        <f>IF('LISTA DE PRECIOS'!$H642&gt;0,'LISTA DE PRECIOS'!D642,"")</f>
        <v/>
      </c>
      <c r="E628" t="str">
        <f>IF('LISTA DE PRECIOS'!$H642&gt;0,'LISTA DE PRECIOS'!E642,"")</f>
        <v/>
      </c>
      <c r="F628" t="str">
        <f>IF('LISTA DE PRECIOS'!$H642&gt;0,'LISTA DE PRECIOS'!F642,"")</f>
        <v/>
      </c>
      <c r="G628" s="31" t="str">
        <f>IF('LISTA DE PRECIOS'!$H642&gt;0,'LISTA DE PRECIOS'!G642,"")</f>
        <v/>
      </c>
      <c r="H628" s="67" t="str">
        <f>IF('LISTA DE PRECIOS'!$H642&gt;0,'LISTA DE PRECIOS'!H642,"")</f>
        <v/>
      </c>
      <c r="I628" s="31" t="str">
        <f t="shared" si="8"/>
        <v/>
      </c>
    </row>
    <row r="629" spans="1:9">
      <c r="A629" t="str">
        <f>IF('LISTA DE PRECIOS'!$H643&gt;0,'LISTA DE PRECIOS'!A643,"")</f>
        <v/>
      </c>
      <c r="B629" t="str">
        <f>IF('LISTA DE PRECIOS'!$H643&gt;0,'LISTA DE PRECIOS'!B643,"")</f>
        <v/>
      </c>
      <c r="C629" t="str">
        <f>IF('LISTA DE PRECIOS'!$H643&gt;0,'LISTA DE PRECIOS'!C643,"")</f>
        <v/>
      </c>
      <c r="D629" s="67" t="str">
        <f>IF('LISTA DE PRECIOS'!$H643&gt;0,'LISTA DE PRECIOS'!D643,"")</f>
        <v/>
      </c>
      <c r="E629" t="str">
        <f>IF('LISTA DE PRECIOS'!$H643&gt;0,'LISTA DE PRECIOS'!E643,"")</f>
        <v/>
      </c>
      <c r="F629" t="str">
        <f>IF('LISTA DE PRECIOS'!$H643&gt;0,'LISTA DE PRECIOS'!F643,"")</f>
        <v/>
      </c>
      <c r="G629" s="31" t="str">
        <f>IF('LISTA DE PRECIOS'!$H643&gt;0,'LISTA DE PRECIOS'!G643,"")</f>
        <v/>
      </c>
      <c r="H629" s="67" t="str">
        <f>IF('LISTA DE PRECIOS'!$H643&gt;0,'LISTA DE PRECIOS'!H643,"")</f>
        <v/>
      </c>
      <c r="I629" s="31" t="str">
        <f t="shared" si="8"/>
        <v/>
      </c>
    </row>
    <row r="630" spans="1:9">
      <c r="A630" t="str">
        <f>IF('LISTA DE PRECIOS'!$H644&gt;0,'LISTA DE PRECIOS'!A644,"")</f>
        <v/>
      </c>
      <c r="B630" t="str">
        <f>IF('LISTA DE PRECIOS'!$H644&gt;0,'LISTA DE PRECIOS'!B644,"")</f>
        <v/>
      </c>
      <c r="C630" t="str">
        <f>IF('LISTA DE PRECIOS'!$H644&gt;0,'LISTA DE PRECIOS'!C644,"")</f>
        <v/>
      </c>
      <c r="D630" s="67" t="str">
        <f>IF('LISTA DE PRECIOS'!$H644&gt;0,'LISTA DE PRECIOS'!D644,"")</f>
        <v/>
      </c>
      <c r="E630" t="str">
        <f>IF('LISTA DE PRECIOS'!$H644&gt;0,'LISTA DE PRECIOS'!E644,"")</f>
        <v/>
      </c>
      <c r="F630" t="str">
        <f>IF('LISTA DE PRECIOS'!$H644&gt;0,'LISTA DE PRECIOS'!F644,"")</f>
        <v/>
      </c>
      <c r="G630" s="31" t="str">
        <f>IF('LISTA DE PRECIOS'!$H644&gt;0,'LISTA DE PRECIOS'!G644,"")</f>
        <v/>
      </c>
      <c r="H630" s="67" t="str">
        <f>IF('LISTA DE PRECIOS'!$H644&gt;0,'LISTA DE PRECIOS'!H644,"")</f>
        <v/>
      </c>
      <c r="I630" s="31" t="str">
        <f t="shared" si="8"/>
        <v/>
      </c>
    </row>
    <row r="631" spans="1:9">
      <c r="A631" t="str">
        <f>IF('LISTA DE PRECIOS'!$H645&gt;0,'LISTA DE PRECIOS'!A645,"")</f>
        <v/>
      </c>
      <c r="B631" t="str">
        <f>IF('LISTA DE PRECIOS'!$H645&gt;0,'LISTA DE PRECIOS'!B645,"")</f>
        <v/>
      </c>
      <c r="C631" t="str">
        <f>IF('LISTA DE PRECIOS'!$H645&gt;0,'LISTA DE PRECIOS'!C645,"")</f>
        <v/>
      </c>
      <c r="D631" s="67" t="str">
        <f>IF('LISTA DE PRECIOS'!$H645&gt;0,'LISTA DE PRECIOS'!D645,"")</f>
        <v/>
      </c>
      <c r="E631" t="str">
        <f>IF('LISTA DE PRECIOS'!$H645&gt;0,'LISTA DE PRECIOS'!E645,"")</f>
        <v/>
      </c>
      <c r="F631" t="str">
        <f>IF('LISTA DE PRECIOS'!$H645&gt;0,'LISTA DE PRECIOS'!F645,"")</f>
        <v/>
      </c>
      <c r="G631" s="31" t="str">
        <f>IF('LISTA DE PRECIOS'!$H645&gt;0,'LISTA DE PRECIOS'!G645,"")</f>
        <v/>
      </c>
      <c r="H631" s="67" t="str">
        <f>IF('LISTA DE PRECIOS'!$H645&gt;0,'LISTA DE PRECIOS'!H645,"")</f>
        <v/>
      </c>
      <c r="I631" s="31" t="str">
        <f t="shared" si="8"/>
        <v/>
      </c>
    </row>
    <row r="632" spans="1:9">
      <c r="A632" t="str">
        <f>IF('LISTA DE PRECIOS'!$H646&gt;0,'LISTA DE PRECIOS'!A646,"")</f>
        <v/>
      </c>
      <c r="B632" t="str">
        <f>IF('LISTA DE PRECIOS'!$H646&gt;0,'LISTA DE PRECIOS'!B646,"")</f>
        <v/>
      </c>
      <c r="C632" t="str">
        <f>IF('LISTA DE PRECIOS'!$H646&gt;0,'LISTA DE PRECIOS'!C646,"")</f>
        <v/>
      </c>
      <c r="D632" s="67" t="str">
        <f>IF('LISTA DE PRECIOS'!$H646&gt;0,'LISTA DE PRECIOS'!D646,"")</f>
        <v/>
      </c>
      <c r="E632" t="str">
        <f>IF('LISTA DE PRECIOS'!$H646&gt;0,'LISTA DE PRECIOS'!E646,"")</f>
        <v/>
      </c>
      <c r="F632" t="str">
        <f>IF('LISTA DE PRECIOS'!$H646&gt;0,'LISTA DE PRECIOS'!F646,"")</f>
        <v/>
      </c>
      <c r="G632" s="31" t="str">
        <f>IF('LISTA DE PRECIOS'!$H646&gt;0,'LISTA DE PRECIOS'!G646,"")</f>
        <v/>
      </c>
      <c r="H632" s="67" t="str">
        <f>IF('LISTA DE PRECIOS'!$H646&gt;0,'LISTA DE PRECIOS'!H646,"")</f>
        <v/>
      </c>
      <c r="I632" s="31" t="str">
        <f t="shared" si="8"/>
        <v/>
      </c>
    </row>
    <row r="633" spans="1:9">
      <c r="A633" t="str">
        <f>IF('LISTA DE PRECIOS'!$H647&gt;0,'LISTA DE PRECIOS'!A647,"")</f>
        <v/>
      </c>
      <c r="B633" t="str">
        <f>IF('LISTA DE PRECIOS'!$H647&gt;0,'LISTA DE PRECIOS'!B647,"")</f>
        <v/>
      </c>
      <c r="C633" t="str">
        <f>IF('LISTA DE PRECIOS'!$H647&gt;0,'LISTA DE PRECIOS'!C647,"")</f>
        <v/>
      </c>
      <c r="D633" s="67" t="str">
        <f>IF('LISTA DE PRECIOS'!$H647&gt;0,'LISTA DE PRECIOS'!D647,"")</f>
        <v/>
      </c>
      <c r="E633" t="str">
        <f>IF('LISTA DE PRECIOS'!$H647&gt;0,'LISTA DE PRECIOS'!E647,"")</f>
        <v/>
      </c>
      <c r="F633" t="str">
        <f>IF('LISTA DE PRECIOS'!$H647&gt;0,'LISTA DE PRECIOS'!F647,"")</f>
        <v/>
      </c>
      <c r="G633" s="31" t="str">
        <f>IF('LISTA DE PRECIOS'!$H647&gt;0,'LISTA DE PRECIOS'!G647,"")</f>
        <v/>
      </c>
      <c r="H633" s="67" t="str">
        <f>IF('LISTA DE PRECIOS'!$H647&gt;0,'LISTA DE PRECIOS'!H647,"")</f>
        <v/>
      </c>
      <c r="I633" s="31" t="str">
        <f t="shared" si="8"/>
        <v/>
      </c>
    </row>
    <row r="634" spans="1:9">
      <c r="A634" t="str">
        <f>IF('LISTA DE PRECIOS'!$H648&gt;0,'LISTA DE PRECIOS'!A648,"")</f>
        <v/>
      </c>
      <c r="B634" t="str">
        <f>IF('LISTA DE PRECIOS'!$H648&gt;0,'LISTA DE PRECIOS'!B648,"")</f>
        <v/>
      </c>
      <c r="C634" t="str">
        <f>IF('LISTA DE PRECIOS'!$H648&gt;0,'LISTA DE PRECIOS'!C648,"")</f>
        <v/>
      </c>
      <c r="D634" s="67" t="str">
        <f>IF('LISTA DE PRECIOS'!$H648&gt;0,'LISTA DE PRECIOS'!D648,"")</f>
        <v/>
      </c>
      <c r="E634" t="str">
        <f>IF('LISTA DE PRECIOS'!$H648&gt;0,'LISTA DE PRECIOS'!E648,"")</f>
        <v/>
      </c>
      <c r="F634" t="str">
        <f>IF('LISTA DE PRECIOS'!$H648&gt;0,'LISTA DE PRECIOS'!F648,"")</f>
        <v/>
      </c>
      <c r="G634" s="31" t="str">
        <f>IF('LISTA DE PRECIOS'!$H648&gt;0,'LISTA DE PRECIOS'!G648,"")</f>
        <v/>
      </c>
      <c r="H634" s="67" t="str">
        <f>IF('LISTA DE PRECIOS'!$H648&gt;0,'LISTA DE PRECIOS'!H648,"")</f>
        <v/>
      </c>
      <c r="I634" s="31" t="str">
        <f t="shared" si="8"/>
        <v/>
      </c>
    </row>
    <row r="635" spans="1:9">
      <c r="A635" t="str">
        <f>IF('LISTA DE PRECIOS'!$H649&gt;0,'LISTA DE PRECIOS'!A649,"")</f>
        <v/>
      </c>
      <c r="B635" t="str">
        <f>IF('LISTA DE PRECIOS'!$H649&gt;0,'LISTA DE PRECIOS'!B649,"")</f>
        <v/>
      </c>
      <c r="C635" t="str">
        <f>IF('LISTA DE PRECIOS'!$H649&gt;0,'LISTA DE PRECIOS'!C649,"")</f>
        <v/>
      </c>
      <c r="D635" s="67" t="str">
        <f>IF('LISTA DE PRECIOS'!$H649&gt;0,'LISTA DE PRECIOS'!D649,"")</f>
        <v/>
      </c>
      <c r="E635" t="str">
        <f>IF('LISTA DE PRECIOS'!$H649&gt;0,'LISTA DE PRECIOS'!E649,"")</f>
        <v/>
      </c>
      <c r="F635" t="str">
        <f>IF('LISTA DE PRECIOS'!$H649&gt;0,'LISTA DE PRECIOS'!F649,"")</f>
        <v/>
      </c>
      <c r="G635" s="31" t="str">
        <f>IF('LISTA DE PRECIOS'!$H649&gt;0,'LISTA DE PRECIOS'!G649,"")</f>
        <v/>
      </c>
      <c r="H635" s="67" t="str">
        <f>IF('LISTA DE PRECIOS'!$H649&gt;0,'LISTA DE PRECIOS'!H649,"")</f>
        <v/>
      </c>
      <c r="I635" s="31" t="str">
        <f t="shared" si="8"/>
        <v/>
      </c>
    </row>
    <row r="636" spans="1:9">
      <c r="A636" t="str">
        <f>IF('LISTA DE PRECIOS'!$H650&gt;0,'LISTA DE PRECIOS'!A650,"")</f>
        <v/>
      </c>
      <c r="B636" t="str">
        <f>IF('LISTA DE PRECIOS'!$H650&gt;0,'LISTA DE PRECIOS'!B650,"")</f>
        <v/>
      </c>
      <c r="C636" t="str">
        <f>IF('LISTA DE PRECIOS'!$H650&gt;0,'LISTA DE PRECIOS'!C650,"")</f>
        <v/>
      </c>
      <c r="D636" s="67" t="str">
        <f>IF('LISTA DE PRECIOS'!$H650&gt;0,'LISTA DE PRECIOS'!D650,"")</f>
        <v/>
      </c>
      <c r="E636" t="str">
        <f>IF('LISTA DE PRECIOS'!$H650&gt;0,'LISTA DE PRECIOS'!E650,"")</f>
        <v/>
      </c>
      <c r="F636" t="str">
        <f>IF('LISTA DE PRECIOS'!$H650&gt;0,'LISTA DE PRECIOS'!F650,"")</f>
        <v/>
      </c>
      <c r="G636" s="31" t="str">
        <f>IF('LISTA DE PRECIOS'!$H650&gt;0,'LISTA DE PRECIOS'!G650,"")</f>
        <v/>
      </c>
      <c r="H636" s="67" t="str">
        <f>IF('LISTA DE PRECIOS'!$H650&gt;0,'LISTA DE PRECIOS'!H650,"")</f>
        <v/>
      </c>
      <c r="I636" s="31" t="str">
        <f t="shared" si="8"/>
        <v/>
      </c>
    </row>
    <row r="637" spans="1:9">
      <c r="A637" t="str">
        <f>IF('LISTA DE PRECIOS'!$H651&gt;0,'LISTA DE PRECIOS'!A651,"")</f>
        <v/>
      </c>
      <c r="B637" t="str">
        <f>IF('LISTA DE PRECIOS'!$H651&gt;0,'LISTA DE PRECIOS'!B651,"")</f>
        <v/>
      </c>
      <c r="C637" t="str">
        <f>IF('LISTA DE PRECIOS'!$H651&gt;0,'LISTA DE PRECIOS'!C651,"")</f>
        <v/>
      </c>
      <c r="D637" s="67" t="str">
        <f>IF('LISTA DE PRECIOS'!$H651&gt;0,'LISTA DE PRECIOS'!D651,"")</f>
        <v/>
      </c>
      <c r="E637" t="str">
        <f>IF('LISTA DE PRECIOS'!$H651&gt;0,'LISTA DE PRECIOS'!E651,"")</f>
        <v/>
      </c>
      <c r="F637" t="str">
        <f>IF('LISTA DE PRECIOS'!$H651&gt;0,'LISTA DE PRECIOS'!F651,"")</f>
        <v/>
      </c>
      <c r="G637" s="31" t="str">
        <f>IF('LISTA DE PRECIOS'!$H651&gt;0,'LISTA DE PRECIOS'!G651,"")</f>
        <v/>
      </c>
      <c r="H637" s="67" t="str">
        <f>IF('LISTA DE PRECIOS'!$H651&gt;0,'LISTA DE PRECIOS'!H651,"")</f>
        <v/>
      </c>
      <c r="I637" s="31" t="str">
        <f t="shared" si="8"/>
        <v/>
      </c>
    </row>
    <row r="638" spans="1:9">
      <c r="A638" t="str">
        <f>IF('LISTA DE PRECIOS'!$H652&gt;0,'LISTA DE PRECIOS'!A652,"")</f>
        <v/>
      </c>
      <c r="B638" t="str">
        <f>IF('LISTA DE PRECIOS'!$H652&gt;0,'LISTA DE PRECIOS'!B652,"")</f>
        <v/>
      </c>
      <c r="C638" t="str">
        <f>IF('LISTA DE PRECIOS'!$H652&gt;0,'LISTA DE PRECIOS'!C652,"")</f>
        <v/>
      </c>
      <c r="D638" s="67" t="str">
        <f>IF('LISTA DE PRECIOS'!$H652&gt;0,'LISTA DE PRECIOS'!D652,"")</f>
        <v/>
      </c>
      <c r="E638" t="str">
        <f>IF('LISTA DE PRECIOS'!$H652&gt;0,'LISTA DE PRECIOS'!E652,"")</f>
        <v/>
      </c>
      <c r="F638" t="str">
        <f>IF('LISTA DE PRECIOS'!$H652&gt;0,'LISTA DE PRECIOS'!F652,"")</f>
        <v/>
      </c>
      <c r="G638" s="31" t="str">
        <f>IF('LISTA DE PRECIOS'!$H652&gt;0,'LISTA DE PRECIOS'!G652,"")</f>
        <v/>
      </c>
      <c r="H638" s="67" t="str">
        <f>IF('LISTA DE PRECIOS'!$H652&gt;0,'LISTA DE PRECIOS'!H652,"")</f>
        <v/>
      </c>
      <c r="I638" s="31" t="str">
        <f t="shared" si="8"/>
        <v/>
      </c>
    </row>
    <row r="639" spans="1:9">
      <c r="A639" t="str">
        <f>IF('LISTA DE PRECIOS'!$H653&gt;0,'LISTA DE PRECIOS'!A653,"")</f>
        <v/>
      </c>
      <c r="B639" t="str">
        <f>IF('LISTA DE PRECIOS'!$H653&gt;0,'LISTA DE PRECIOS'!B653,"")</f>
        <v/>
      </c>
      <c r="C639" t="str">
        <f>IF('LISTA DE PRECIOS'!$H653&gt;0,'LISTA DE PRECIOS'!C653,"")</f>
        <v/>
      </c>
      <c r="D639" s="67" t="str">
        <f>IF('LISTA DE PRECIOS'!$H653&gt;0,'LISTA DE PRECIOS'!D653,"")</f>
        <v/>
      </c>
      <c r="E639" t="str">
        <f>IF('LISTA DE PRECIOS'!$H653&gt;0,'LISTA DE PRECIOS'!E653,"")</f>
        <v/>
      </c>
      <c r="F639" t="str">
        <f>IF('LISTA DE PRECIOS'!$H653&gt;0,'LISTA DE PRECIOS'!F653,"")</f>
        <v/>
      </c>
      <c r="G639" s="31" t="str">
        <f>IF('LISTA DE PRECIOS'!$H653&gt;0,'LISTA DE PRECIOS'!G653,"")</f>
        <v/>
      </c>
      <c r="H639" s="67" t="str">
        <f>IF('LISTA DE PRECIOS'!$H653&gt;0,'LISTA DE PRECIOS'!H653,"")</f>
        <v/>
      </c>
      <c r="I639" s="31" t="str">
        <f t="shared" si="8"/>
        <v/>
      </c>
    </row>
    <row r="640" spans="1:9">
      <c r="A640" t="str">
        <f>IF('LISTA DE PRECIOS'!$H654&gt;0,'LISTA DE PRECIOS'!A654,"")</f>
        <v/>
      </c>
      <c r="B640" t="str">
        <f>IF('LISTA DE PRECIOS'!$H654&gt;0,'LISTA DE PRECIOS'!B654,"")</f>
        <v/>
      </c>
      <c r="C640" t="str">
        <f>IF('LISTA DE PRECIOS'!$H654&gt;0,'LISTA DE PRECIOS'!C654,"")</f>
        <v/>
      </c>
      <c r="D640" s="67" t="str">
        <f>IF('LISTA DE PRECIOS'!$H654&gt;0,'LISTA DE PRECIOS'!D654,"")</f>
        <v/>
      </c>
      <c r="E640" t="str">
        <f>IF('LISTA DE PRECIOS'!$H654&gt;0,'LISTA DE PRECIOS'!E654,"")</f>
        <v/>
      </c>
      <c r="F640" t="str">
        <f>IF('LISTA DE PRECIOS'!$H654&gt;0,'LISTA DE PRECIOS'!F654,"")</f>
        <v/>
      </c>
      <c r="G640" s="31" t="str">
        <f>IF('LISTA DE PRECIOS'!$H654&gt;0,'LISTA DE PRECIOS'!G654,"")</f>
        <v/>
      </c>
      <c r="H640" s="67" t="str">
        <f>IF('LISTA DE PRECIOS'!$H654&gt;0,'LISTA DE PRECIOS'!H654,"")</f>
        <v/>
      </c>
      <c r="I640" s="31" t="str">
        <f t="shared" si="8"/>
        <v/>
      </c>
    </row>
    <row r="641" spans="1:9">
      <c r="A641" t="str">
        <f>IF('LISTA DE PRECIOS'!$H655&gt;0,'LISTA DE PRECIOS'!A655,"")</f>
        <v/>
      </c>
      <c r="B641" t="str">
        <f>IF('LISTA DE PRECIOS'!$H655&gt;0,'LISTA DE PRECIOS'!B655,"")</f>
        <v/>
      </c>
      <c r="C641" t="str">
        <f>IF('LISTA DE PRECIOS'!$H655&gt;0,'LISTA DE PRECIOS'!C655,"")</f>
        <v/>
      </c>
      <c r="D641" s="67" t="str">
        <f>IF('LISTA DE PRECIOS'!$H655&gt;0,'LISTA DE PRECIOS'!D655,"")</f>
        <v/>
      </c>
      <c r="E641" t="str">
        <f>IF('LISTA DE PRECIOS'!$H655&gt;0,'LISTA DE PRECIOS'!E655,"")</f>
        <v/>
      </c>
      <c r="F641" t="str">
        <f>IF('LISTA DE PRECIOS'!$H655&gt;0,'LISTA DE PRECIOS'!F655,"")</f>
        <v/>
      </c>
      <c r="G641" s="31" t="str">
        <f>IF('LISTA DE PRECIOS'!$H655&gt;0,'LISTA DE PRECIOS'!G655,"")</f>
        <v/>
      </c>
      <c r="H641" s="67" t="str">
        <f>IF('LISTA DE PRECIOS'!$H655&gt;0,'LISTA DE PRECIOS'!H655,"")</f>
        <v/>
      </c>
      <c r="I641" s="31" t="str">
        <f t="shared" si="8"/>
        <v/>
      </c>
    </row>
    <row r="642" spans="1:9">
      <c r="A642" t="str">
        <f>IF('LISTA DE PRECIOS'!$H656&gt;0,'LISTA DE PRECIOS'!A656,"")</f>
        <v/>
      </c>
      <c r="B642" t="str">
        <f>IF('LISTA DE PRECIOS'!$H656&gt;0,'LISTA DE PRECIOS'!B656,"")</f>
        <v/>
      </c>
      <c r="C642" t="str">
        <f>IF('LISTA DE PRECIOS'!$H656&gt;0,'LISTA DE PRECIOS'!C656,"")</f>
        <v/>
      </c>
      <c r="D642" s="67" t="str">
        <f>IF('LISTA DE PRECIOS'!$H656&gt;0,'LISTA DE PRECIOS'!D656,"")</f>
        <v/>
      </c>
      <c r="E642" t="str">
        <f>IF('LISTA DE PRECIOS'!$H656&gt;0,'LISTA DE PRECIOS'!E656,"")</f>
        <v/>
      </c>
      <c r="F642" t="str">
        <f>IF('LISTA DE PRECIOS'!$H656&gt;0,'LISTA DE PRECIOS'!F656,"")</f>
        <v/>
      </c>
      <c r="G642" s="31" t="str">
        <f>IF('LISTA DE PRECIOS'!$H656&gt;0,'LISTA DE PRECIOS'!G656,"")</f>
        <v/>
      </c>
      <c r="H642" s="67" t="str">
        <f>IF('LISTA DE PRECIOS'!$H656&gt;0,'LISTA DE PRECIOS'!H656,"")</f>
        <v/>
      </c>
      <c r="I642" s="31" t="str">
        <f t="shared" si="8"/>
        <v/>
      </c>
    </row>
    <row r="643" spans="1:9">
      <c r="A643" t="str">
        <f>IF('LISTA DE PRECIOS'!$H657&gt;0,'LISTA DE PRECIOS'!A657,"")</f>
        <v/>
      </c>
      <c r="B643" t="str">
        <f>IF('LISTA DE PRECIOS'!$H657&gt;0,'LISTA DE PRECIOS'!B657,"")</f>
        <v/>
      </c>
      <c r="C643" t="str">
        <f>IF('LISTA DE PRECIOS'!$H657&gt;0,'LISTA DE PRECIOS'!C657,"")</f>
        <v/>
      </c>
      <c r="D643" s="67" t="str">
        <f>IF('LISTA DE PRECIOS'!$H657&gt;0,'LISTA DE PRECIOS'!D657,"")</f>
        <v/>
      </c>
      <c r="E643" t="str">
        <f>IF('LISTA DE PRECIOS'!$H657&gt;0,'LISTA DE PRECIOS'!E657,"")</f>
        <v/>
      </c>
      <c r="F643" t="str">
        <f>IF('LISTA DE PRECIOS'!$H657&gt;0,'LISTA DE PRECIOS'!F657,"")</f>
        <v/>
      </c>
      <c r="G643" s="31" t="str">
        <f>IF('LISTA DE PRECIOS'!$H657&gt;0,'LISTA DE PRECIOS'!G657,"")</f>
        <v/>
      </c>
      <c r="H643" s="67" t="str">
        <f>IF('LISTA DE PRECIOS'!$H657&gt;0,'LISTA DE PRECIOS'!H657,"")</f>
        <v/>
      </c>
      <c r="I643" s="31" t="str">
        <f t="shared" si="8"/>
        <v/>
      </c>
    </row>
    <row r="644" spans="1:9">
      <c r="A644" t="str">
        <f>IF('LISTA DE PRECIOS'!$H658&gt;0,'LISTA DE PRECIOS'!A658,"")</f>
        <v/>
      </c>
      <c r="B644" t="str">
        <f>IF('LISTA DE PRECIOS'!$H658&gt;0,'LISTA DE PRECIOS'!B658,"")</f>
        <v/>
      </c>
      <c r="C644" t="str">
        <f>IF('LISTA DE PRECIOS'!$H658&gt;0,'LISTA DE PRECIOS'!C658,"")</f>
        <v/>
      </c>
      <c r="D644" s="67" t="str">
        <f>IF('LISTA DE PRECIOS'!$H658&gt;0,'LISTA DE PRECIOS'!D658,"")</f>
        <v/>
      </c>
      <c r="E644" t="str">
        <f>IF('LISTA DE PRECIOS'!$H658&gt;0,'LISTA DE PRECIOS'!E658,"")</f>
        <v/>
      </c>
      <c r="F644" t="str">
        <f>IF('LISTA DE PRECIOS'!$H658&gt;0,'LISTA DE PRECIOS'!F658,"")</f>
        <v/>
      </c>
      <c r="G644" s="31" t="str">
        <f>IF('LISTA DE PRECIOS'!$H658&gt;0,'LISTA DE PRECIOS'!G658,"")</f>
        <v/>
      </c>
      <c r="H644" s="67" t="str">
        <f>IF('LISTA DE PRECIOS'!$H658&gt;0,'LISTA DE PRECIOS'!H658,"")</f>
        <v/>
      </c>
      <c r="I644" s="31" t="str">
        <f t="shared" si="8"/>
        <v/>
      </c>
    </row>
    <row r="645" spans="1:9">
      <c r="A645" t="str">
        <f>IF('LISTA DE PRECIOS'!$H659&gt;0,'LISTA DE PRECIOS'!A659,"")</f>
        <v/>
      </c>
      <c r="B645" t="str">
        <f>IF('LISTA DE PRECIOS'!$H659&gt;0,'LISTA DE PRECIOS'!B659,"")</f>
        <v/>
      </c>
      <c r="C645" t="str">
        <f>IF('LISTA DE PRECIOS'!$H659&gt;0,'LISTA DE PRECIOS'!C659,"")</f>
        <v/>
      </c>
      <c r="D645" s="67" t="str">
        <f>IF('LISTA DE PRECIOS'!$H659&gt;0,'LISTA DE PRECIOS'!D659,"")</f>
        <v/>
      </c>
      <c r="E645" t="str">
        <f>IF('LISTA DE PRECIOS'!$H659&gt;0,'LISTA DE PRECIOS'!E659,"")</f>
        <v/>
      </c>
      <c r="F645" t="str">
        <f>IF('LISTA DE PRECIOS'!$H659&gt;0,'LISTA DE PRECIOS'!F659,"")</f>
        <v/>
      </c>
      <c r="G645" s="31" t="str">
        <f>IF('LISTA DE PRECIOS'!$H659&gt;0,'LISTA DE PRECIOS'!G659,"")</f>
        <v/>
      </c>
      <c r="H645" s="67" t="str">
        <f>IF('LISTA DE PRECIOS'!$H659&gt;0,'LISTA DE PRECIOS'!H659,"")</f>
        <v/>
      </c>
      <c r="I645" s="31" t="str">
        <f t="shared" si="8"/>
        <v/>
      </c>
    </row>
    <row r="646" spans="1:9">
      <c r="A646" t="str">
        <f>IF('LISTA DE PRECIOS'!$H660&gt;0,'LISTA DE PRECIOS'!A660,"")</f>
        <v/>
      </c>
      <c r="B646" t="str">
        <f>IF('LISTA DE PRECIOS'!$H660&gt;0,'LISTA DE PRECIOS'!B660,"")</f>
        <v/>
      </c>
      <c r="C646" t="str">
        <f>IF('LISTA DE PRECIOS'!$H660&gt;0,'LISTA DE PRECIOS'!C660,"")</f>
        <v/>
      </c>
      <c r="D646" s="67" t="str">
        <f>IF('LISTA DE PRECIOS'!$H660&gt;0,'LISTA DE PRECIOS'!D660,"")</f>
        <v/>
      </c>
      <c r="E646" t="str">
        <f>IF('LISTA DE PRECIOS'!$H660&gt;0,'LISTA DE PRECIOS'!E660,"")</f>
        <v/>
      </c>
      <c r="F646" t="str">
        <f>IF('LISTA DE PRECIOS'!$H660&gt;0,'LISTA DE PRECIOS'!F660,"")</f>
        <v/>
      </c>
      <c r="G646" s="31" t="str">
        <f>IF('LISTA DE PRECIOS'!$H660&gt;0,'LISTA DE PRECIOS'!G660,"")</f>
        <v/>
      </c>
      <c r="H646" s="67" t="str">
        <f>IF('LISTA DE PRECIOS'!$H660&gt;0,'LISTA DE PRECIOS'!H660,"")</f>
        <v/>
      </c>
      <c r="I646" s="31" t="str">
        <f t="shared" si="8"/>
        <v/>
      </c>
    </row>
    <row r="647" spans="1:9">
      <c r="A647" t="str">
        <f>IF('LISTA DE PRECIOS'!$H661&gt;0,'LISTA DE PRECIOS'!A661,"")</f>
        <v/>
      </c>
      <c r="B647" t="str">
        <f>IF('LISTA DE PRECIOS'!$H661&gt;0,'LISTA DE PRECIOS'!B661,"")</f>
        <v/>
      </c>
      <c r="C647" t="str">
        <f>IF('LISTA DE PRECIOS'!$H661&gt;0,'LISTA DE PRECIOS'!C661,"")</f>
        <v/>
      </c>
      <c r="D647" s="67" t="str">
        <f>IF('LISTA DE PRECIOS'!$H661&gt;0,'LISTA DE PRECIOS'!D661,"")</f>
        <v/>
      </c>
      <c r="E647" t="str">
        <f>IF('LISTA DE PRECIOS'!$H661&gt;0,'LISTA DE PRECIOS'!E661,"")</f>
        <v/>
      </c>
      <c r="F647" t="str">
        <f>IF('LISTA DE PRECIOS'!$H661&gt;0,'LISTA DE PRECIOS'!F661,"")</f>
        <v/>
      </c>
      <c r="G647" s="31" t="str">
        <f>IF('LISTA DE PRECIOS'!$H661&gt;0,'LISTA DE PRECIOS'!G661,"")</f>
        <v/>
      </c>
      <c r="H647" s="67" t="str">
        <f>IF('LISTA DE PRECIOS'!$H661&gt;0,'LISTA DE PRECIOS'!H661,"")</f>
        <v/>
      </c>
      <c r="I647" s="31" t="str">
        <f t="shared" si="8"/>
        <v/>
      </c>
    </row>
    <row r="648" spans="1:9">
      <c r="A648" t="str">
        <f>IF('LISTA DE PRECIOS'!$H662&gt;0,'LISTA DE PRECIOS'!A662,"")</f>
        <v/>
      </c>
      <c r="B648" t="str">
        <f>IF('LISTA DE PRECIOS'!$H662&gt;0,'LISTA DE PRECIOS'!B662,"")</f>
        <v/>
      </c>
      <c r="C648" t="str">
        <f>IF('LISTA DE PRECIOS'!$H662&gt;0,'LISTA DE PRECIOS'!C662,"")</f>
        <v/>
      </c>
      <c r="D648" s="67" t="str">
        <f>IF('LISTA DE PRECIOS'!$H662&gt;0,'LISTA DE PRECIOS'!D662,"")</f>
        <v/>
      </c>
      <c r="E648" t="str">
        <f>IF('LISTA DE PRECIOS'!$H662&gt;0,'LISTA DE PRECIOS'!E662,"")</f>
        <v/>
      </c>
      <c r="F648" t="str">
        <f>IF('LISTA DE PRECIOS'!$H662&gt;0,'LISTA DE PRECIOS'!F662,"")</f>
        <v/>
      </c>
      <c r="G648" s="31" t="str">
        <f>IF('LISTA DE PRECIOS'!$H662&gt;0,'LISTA DE PRECIOS'!G662,"")</f>
        <v/>
      </c>
      <c r="H648" s="67" t="str">
        <f>IF('LISTA DE PRECIOS'!$H662&gt;0,'LISTA DE PRECIOS'!H662,"")</f>
        <v/>
      </c>
      <c r="I648" s="31" t="str">
        <f t="shared" si="8"/>
        <v/>
      </c>
    </row>
    <row r="649" spans="1:9">
      <c r="A649" t="str">
        <f>IF('LISTA DE PRECIOS'!$H663&gt;0,'LISTA DE PRECIOS'!A663,"")</f>
        <v/>
      </c>
      <c r="B649" t="str">
        <f>IF('LISTA DE PRECIOS'!$H663&gt;0,'LISTA DE PRECIOS'!B663,"")</f>
        <v/>
      </c>
      <c r="C649" t="str">
        <f>IF('LISTA DE PRECIOS'!$H663&gt;0,'LISTA DE PRECIOS'!C663,"")</f>
        <v/>
      </c>
      <c r="D649" s="67" t="str">
        <f>IF('LISTA DE PRECIOS'!$H663&gt;0,'LISTA DE PRECIOS'!D663,"")</f>
        <v/>
      </c>
      <c r="E649" t="str">
        <f>IF('LISTA DE PRECIOS'!$H663&gt;0,'LISTA DE PRECIOS'!E663,"")</f>
        <v/>
      </c>
      <c r="F649" t="str">
        <f>IF('LISTA DE PRECIOS'!$H663&gt;0,'LISTA DE PRECIOS'!F663,"")</f>
        <v/>
      </c>
      <c r="G649" s="31" t="str">
        <f>IF('LISTA DE PRECIOS'!$H663&gt;0,'LISTA DE PRECIOS'!G663,"")</f>
        <v/>
      </c>
      <c r="H649" s="67" t="str">
        <f>IF('LISTA DE PRECIOS'!$H663&gt;0,'LISTA DE PRECIOS'!H663,"")</f>
        <v/>
      </c>
      <c r="I649" s="31" t="str">
        <f t="shared" si="8"/>
        <v/>
      </c>
    </row>
    <row r="650" spans="1:9">
      <c r="A650" t="str">
        <f>IF('LISTA DE PRECIOS'!$H664&gt;0,'LISTA DE PRECIOS'!A664,"")</f>
        <v/>
      </c>
      <c r="B650" t="str">
        <f>IF('LISTA DE PRECIOS'!$H664&gt;0,'LISTA DE PRECIOS'!B664,"")</f>
        <v/>
      </c>
      <c r="C650" t="str">
        <f>IF('LISTA DE PRECIOS'!$H664&gt;0,'LISTA DE PRECIOS'!C664,"")</f>
        <v/>
      </c>
      <c r="D650" s="67" t="str">
        <f>IF('LISTA DE PRECIOS'!$H664&gt;0,'LISTA DE PRECIOS'!D664,"")</f>
        <v/>
      </c>
      <c r="E650" t="str">
        <f>IF('LISTA DE PRECIOS'!$H664&gt;0,'LISTA DE PRECIOS'!E664,"")</f>
        <v/>
      </c>
      <c r="F650" t="str">
        <f>IF('LISTA DE PRECIOS'!$H664&gt;0,'LISTA DE PRECIOS'!F664,"")</f>
        <v/>
      </c>
      <c r="G650" s="31" t="str">
        <f>IF('LISTA DE PRECIOS'!$H664&gt;0,'LISTA DE PRECIOS'!G664,"")</f>
        <v/>
      </c>
      <c r="H650" s="67" t="str">
        <f>IF('LISTA DE PRECIOS'!$H664&gt;0,'LISTA DE PRECIOS'!H664,"")</f>
        <v/>
      </c>
      <c r="I650" s="31" t="str">
        <f t="shared" si="8"/>
        <v/>
      </c>
    </row>
    <row r="651" spans="1:9">
      <c r="A651" t="str">
        <f>IF('LISTA DE PRECIOS'!$H665&gt;0,'LISTA DE PRECIOS'!A665,"")</f>
        <v/>
      </c>
      <c r="B651" t="str">
        <f>IF('LISTA DE PRECIOS'!$H665&gt;0,'LISTA DE PRECIOS'!B665,"")</f>
        <v/>
      </c>
      <c r="C651" t="str">
        <f>IF('LISTA DE PRECIOS'!$H665&gt;0,'LISTA DE PRECIOS'!C665,"")</f>
        <v/>
      </c>
      <c r="D651" s="67" t="str">
        <f>IF('LISTA DE PRECIOS'!$H665&gt;0,'LISTA DE PRECIOS'!D665,"")</f>
        <v/>
      </c>
      <c r="E651" t="str">
        <f>IF('LISTA DE PRECIOS'!$H665&gt;0,'LISTA DE PRECIOS'!E665,"")</f>
        <v/>
      </c>
      <c r="F651" t="str">
        <f>IF('LISTA DE PRECIOS'!$H665&gt;0,'LISTA DE PRECIOS'!F665,"")</f>
        <v/>
      </c>
      <c r="G651" s="31" t="str">
        <f>IF('LISTA DE PRECIOS'!$H665&gt;0,'LISTA DE PRECIOS'!G665,"")</f>
        <v/>
      </c>
      <c r="H651" s="67" t="str">
        <f>IF('LISTA DE PRECIOS'!$H665&gt;0,'LISTA DE PRECIOS'!H665,"")</f>
        <v/>
      </c>
      <c r="I651" s="31" t="str">
        <f t="shared" si="8"/>
        <v/>
      </c>
    </row>
    <row r="652" spans="1:9">
      <c r="A652" t="str">
        <f>IF('LISTA DE PRECIOS'!$H666&gt;0,'LISTA DE PRECIOS'!A666,"")</f>
        <v/>
      </c>
      <c r="B652" t="str">
        <f>IF('LISTA DE PRECIOS'!$H666&gt;0,'LISTA DE PRECIOS'!B666,"")</f>
        <v/>
      </c>
      <c r="C652" t="str">
        <f>IF('LISTA DE PRECIOS'!$H666&gt;0,'LISTA DE PRECIOS'!C666,"")</f>
        <v/>
      </c>
      <c r="D652" s="67" t="str">
        <f>IF('LISTA DE PRECIOS'!$H666&gt;0,'LISTA DE PRECIOS'!D666,"")</f>
        <v/>
      </c>
      <c r="E652" t="str">
        <f>IF('LISTA DE PRECIOS'!$H666&gt;0,'LISTA DE PRECIOS'!E666,"")</f>
        <v/>
      </c>
      <c r="F652" t="str">
        <f>IF('LISTA DE PRECIOS'!$H666&gt;0,'LISTA DE PRECIOS'!F666,"")</f>
        <v/>
      </c>
      <c r="G652" s="31" t="str">
        <f>IF('LISTA DE PRECIOS'!$H666&gt;0,'LISTA DE PRECIOS'!G666,"")</f>
        <v/>
      </c>
      <c r="H652" s="67" t="str">
        <f>IF('LISTA DE PRECIOS'!$H666&gt;0,'LISTA DE PRECIOS'!H666,"")</f>
        <v/>
      </c>
      <c r="I652" s="31" t="str">
        <f t="shared" si="8"/>
        <v/>
      </c>
    </row>
    <row r="653" spans="1:9">
      <c r="A653" t="str">
        <f>IF('LISTA DE PRECIOS'!$H667&gt;0,'LISTA DE PRECIOS'!A667,"")</f>
        <v/>
      </c>
      <c r="B653" t="str">
        <f>IF('LISTA DE PRECIOS'!$H667&gt;0,'LISTA DE PRECIOS'!B667,"")</f>
        <v/>
      </c>
      <c r="C653" t="str">
        <f>IF('LISTA DE PRECIOS'!$H667&gt;0,'LISTA DE PRECIOS'!C667,"")</f>
        <v/>
      </c>
      <c r="D653" s="67" t="str">
        <f>IF('LISTA DE PRECIOS'!$H667&gt;0,'LISTA DE PRECIOS'!D667,"")</f>
        <v/>
      </c>
      <c r="E653" t="str">
        <f>IF('LISTA DE PRECIOS'!$H667&gt;0,'LISTA DE PRECIOS'!E667,"")</f>
        <v/>
      </c>
      <c r="F653" t="str">
        <f>IF('LISTA DE PRECIOS'!$H667&gt;0,'LISTA DE PRECIOS'!F667,"")</f>
        <v/>
      </c>
      <c r="G653" s="31" t="str">
        <f>IF('LISTA DE PRECIOS'!$H667&gt;0,'LISTA DE PRECIOS'!G667,"")</f>
        <v/>
      </c>
      <c r="H653" s="67" t="str">
        <f>IF('LISTA DE PRECIOS'!$H667&gt;0,'LISTA DE PRECIOS'!H667,"")</f>
        <v/>
      </c>
      <c r="I653" s="31" t="str">
        <f t="shared" si="8"/>
        <v/>
      </c>
    </row>
    <row r="654" spans="1:9">
      <c r="A654" t="str">
        <f>IF('LISTA DE PRECIOS'!$H668&gt;0,'LISTA DE PRECIOS'!A668,"")</f>
        <v/>
      </c>
      <c r="B654" t="str">
        <f>IF('LISTA DE PRECIOS'!$H668&gt;0,'LISTA DE PRECIOS'!B668,"")</f>
        <v/>
      </c>
      <c r="C654" t="str">
        <f>IF('LISTA DE PRECIOS'!$H668&gt;0,'LISTA DE PRECIOS'!C668,"")</f>
        <v/>
      </c>
      <c r="D654" s="67" t="str">
        <f>IF('LISTA DE PRECIOS'!$H668&gt;0,'LISTA DE PRECIOS'!D668,"")</f>
        <v/>
      </c>
      <c r="E654" t="str">
        <f>IF('LISTA DE PRECIOS'!$H668&gt;0,'LISTA DE PRECIOS'!E668,"")</f>
        <v/>
      </c>
      <c r="F654" t="str">
        <f>IF('LISTA DE PRECIOS'!$H668&gt;0,'LISTA DE PRECIOS'!F668,"")</f>
        <v/>
      </c>
      <c r="G654" s="31" t="str">
        <f>IF('LISTA DE PRECIOS'!$H668&gt;0,'LISTA DE PRECIOS'!G668,"")</f>
        <v/>
      </c>
      <c r="H654" s="67" t="str">
        <f>IF('LISTA DE PRECIOS'!$H668&gt;0,'LISTA DE PRECIOS'!H668,"")</f>
        <v/>
      </c>
      <c r="I654" s="31" t="str">
        <f t="shared" si="8"/>
        <v/>
      </c>
    </row>
    <row r="655" spans="1:9">
      <c r="A655" t="str">
        <f>IF('LISTA DE PRECIOS'!$H669&gt;0,'LISTA DE PRECIOS'!A669,"")</f>
        <v/>
      </c>
      <c r="B655" t="str">
        <f>IF('LISTA DE PRECIOS'!$H669&gt;0,'LISTA DE PRECIOS'!B669,"")</f>
        <v/>
      </c>
      <c r="C655" t="str">
        <f>IF('LISTA DE PRECIOS'!$H669&gt;0,'LISTA DE PRECIOS'!C669,"")</f>
        <v/>
      </c>
      <c r="D655" s="67" t="str">
        <f>IF('LISTA DE PRECIOS'!$H669&gt;0,'LISTA DE PRECIOS'!D669,"")</f>
        <v/>
      </c>
      <c r="E655" t="str">
        <f>IF('LISTA DE PRECIOS'!$H669&gt;0,'LISTA DE PRECIOS'!E669,"")</f>
        <v/>
      </c>
      <c r="F655" t="str">
        <f>IF('LISTA DE PRECIOS'!$H669&gt;0,'LISTA DE PRECIOS'!F669,"")</f>
        <v/>
      </c>
      <c r="G655" s="31" t="str">
        <f>IF('LISTA DE PRECIOS'!$H669&gt;0,'LISTA DE PRECIOS'!G669,"")</f>
        <v/>
      </c>
      <c r="H655" s="67" t="str">
        <f>IF('LISTA DE PRECIOS'!$H669&gt;0,'LISTA DE PRECIOS'!H669,"")</f>
        <v/>
      </c>
      <c r="I655" s="31" t="str">
        <f t="shared" si="8"/>
        <v/>
      </c>
    </row>
    <row r="656" spans="1:9">
      <c r="A656" t="str">
        <f>IF('LISTA DE PRECIOS'!$H670&gt;0,'LISTA DE PRECIOS'!A670,"")</f>
        <v/>
      </c>
      <c r="B656" t="str">
        <f>IF('LISTA DE PRECIOS'!$H670&gt;0,'LISTA DE PRECIOS'!B670,"")</f>
        <v/>
      </c>
      <c r="C656" t="str">
        <f>IF('LISTA DE PRECIOS'!$H670&gt;0,'LISTA DE PRECIOS'!C670,"")</f>
        <v/>
      </c>
      <c r="D656" s="67" t="str">
        <f>IF('LISTA DE PRECIOS'!$H670&gt;0,'LISTA DE PRECIOS'!D670,"")</f>
        <v/>
      </c>
      <c r="E656" t="str">
        <f>IF('LISTA DE PRECIOS'!$H670&gt;0,'LISTA DE PRECIOS'!E670,"")</f>
        <v/>
      </c>
      <c r="F656" t="str">
        <f>IF('LISTA DE PRECIOS'!$H670&gt;0,'LISTA DE PRECIOS'!F670,"")</f>
        <v/>
      </c>
      <c r="G656" s="31" t="str">
        <f>IF('LISTA DE PRECIOS'!$H670&gt;0,'LISTA DE PRECIOS'!G670,"")</f>
        <v/>
      </c>
      <c r="H656" s="67" t="str">
        <f>IF('LISTA DE PRECIOS'!$H670&gt;0,'LISTA DE PRECIOS'!H670,"")</f>
        <v/>
      </c>
      <c r="I656" s="31" t="str">
        <f t="shared" si="8"/>
        <v/>
      </c>
    </row>
    <row r="657" spans="1:9">
      <c r="A657" t="str">
        <f>IF('LISTA DE PRECIOS'!$H671&gt;0,'LISTA DE PRECIOS'!A671,"")</f>
        <v/>
      </c>
      <c r="B657" t="str">
        <f>IF('LISTA DE PRECIOS'!$H671&gt;0,'LISTA DE PRECIOS'!B671,"")</f>
        <v/>
      </c>
      <c r="C657" t="str">
        <f>IF('LISTA DE PRECIOS'!$H671&gt;0,'LISTA DE PRECIOS'!C671,"")</f>
        <v/>
      </c>
      <c r="D657" s="67" t="str">
        <f>IF('LISTA DE PRECIOS'!$H671&gt;0,'LISTA DE PRECIOS'!D671,"")</f>
        <v/>
      </c>
      <c r="E657" t="str">
        <f>IF('LISTA DE PRECIOS'!$H671&gt;0,'LISTA DE PRECIOS'!E671,"")</f>
        <v/>
      </c>
      <c r="F657" t="str">
        <f>IF('LISTA DE PRECIOS'!$H671&gt;0,'LISTA DE PRECIOS'!F671,"")</f>
        <v/>
      </c>
      <c r="G657" s="31" t="str">
        <f>IF('LISTA DE PRECIOS'!$H671&gt;0,'LISTA DE PRECIOS'!G671,"")</f>
        <v/>
      </c>
      <c r="H657" s="67" t="str">
        <f>IF('LISTA DE PRECIOS'!$H671&gt;0,'LISTA DE PRECIOS'!H671,"")</f>
        <v/>
      </c>
      <c r="I657" s="31" t="str">
        <f t="shared" ref="I657:I720" si="9">IF(OR(G657="",H657=""),"",G657*H657)</f>
        <v/>
      </c>
    </row>
    <row r="658" spans="1:9">
      <c r="A658" t="str">
        <f>IF('LISTA DE PRECIOS'!$H672&gt;0,'LISTA DE PRECIOS'!A672,"")</f>
        <v/>
      </c>
      <c r="B658" t="str">
        <f>IF('LISTA DE PRECIOS'!$H672&gt;0,'LISTA DE PRECIOS'!B672,"")</f>
        <v/>
      </c>
      <c r="C658" t="str">
        <f>IF('LISTA DE PRECIOS'!$H672&gt;0,'LISTA DE PRECIOS'!C672,"")</f>
        <v/>
      </c>
      <c r="D658" s="67" t="str">
        <f>IF('LISTA DE PRECIOS'!$H672&gt;0,'LISTA DE PRECIOS'!D672,"")</f>
        <v/>
      </c>
      <c r="E658" t="str">
        <f>IF('LISTA DE PRECIOS'!$H672&gt;0,'LISTA DE PRECIOS'!E672,"")</f>
        <v/>
      </c>
      <c r="F658" t="str">
        <f>IF('LISTA DE PRECIOS'!$H672&gt;0,'LISTA DE PRECIOS'!F672,"")</f>
        <v/>
      </c>
      <c r="G658" s="31" t="str">
        <f>IF('LISTA DE PRECIOS'!$H672&gt;0,'LISTA DE PRECIOS'!G672,"")</f>
        <v/>
      </c>
      <c r="H658" s="67" t="str">
        <f>IF('LISTA DE PRECIOS'!$H672&gt;0,'LISTA DE PRECIOS'!H672,"")</f>
        <v/>
      </c>
      <c r="I658" s="31" t="str">
        <f t="shared" si="9"/>
        <v/>
      </c>
    </row>
    <row r="659" spans="1:9">
      <c r="A659" t="str">
        <f>IF('LISTA DE PRECIOS'!$H673&gt;0,'LISTA DE PRECIOS'!A673,"")</f>
        <v/>
      </c>
      <c r="B659" t="str">
        <f>IF('LISTA DE PRECIOS'!$H673&gt;0,'LISTA DE PRECIOS'!B673,"")</f>
        <v/>
      </c>
      <c r="C659" t="str">
        <f>IF('LISTA DE PRECIOS'!$H673&gt;0,'LISTA DE PRECIOS'!C673,"")</f>
        <v/>
      </c>
      <c r="D659" s="67" t="str">
        <f>IF('LISTA DE PRECIOS'!$H673&gt;0,'LISTA DE PRECIOS'!D673,"")</f>
        <v/>
      </c>
      <c r="E659" t="str">
        <f>IF('LISTA DE PRECIOS'!$H673&gt;0,'LISTA DE PRECIOS'!E673,"")</f>
        <v/>
      </c>
      <c r="F659" t="str">
        <f>IF('LISTA DE PRECIOS'!$H673&gt;0,'LISTA DE PRECIOS'!F673,"")</f>
        <v/>
      </c>
      <c r="G659" s="31" t="str">
        <f>IF('LISTA DE PRECIOS'!$H673&gt;0,'LISTA DE PRECIOS'!G673,"")</f>
        <v/>
      </c>
      <c r="H659" s="67" t="str">
        <f>IF('LISTA DE PRECIOS'!$H673&gt;0,'LISTA DE PRECIOS'!H673,"")</f>
        <v/>
      </c>
      <c r="I659" s="31" t="str">
        <f t="shared" si="9"/>
        <v/>
      </c>
    </row>
    <row r="660" spans="1:9">
      <c r="A660" t="str">
        <f>IF('LISTA DE PRECIOS'!$H674&gt;0,'LISTA DE PRECIOS'!A674,"")</f>
        <v/>
      </c>
      <c r="B660" t="str">
        <f>IF('LISTA DE PRECIOS'!$H674&gt;0,'LISTA DE PRECIOS'!B674,"")</f>
        <v/>
      </c>
      <c r="C660" t="str">
        <f>IF('LISTA DE PRECIOS'!$H674&gt;0,'LISTA DE PRECIOS'!C674,"")</f>
        <v/>
      </c>
      <c r="D660" s="67" t="str">
        <f>IF('LISTA DE PRECIOS'!$H674&gt;0,'LISTA DE PRECIOS'!D674,"")</f>
        <v/>
      </c>
      <c r="E660" t="str">
        <f>IF('LISTA DE PRECIOS'!$H674&gt;0,'LISTA DE PRECIOS'!E674,"")</f>
        <v/>
      </c>
      <c r="F660" t="str">
        <f>IF('LISTA DE PRECIOS'!$H674&gt;0,'LISTA DE PRECIOS'!F674,"")</f>
        <v/>
      </c>
      <c r="G660" s="31" t="str">
        <f>IF('LISTA DE PRECIOS'!$H674&gt;0,'LISTA DE PRECIOS'!G674,"")</f>
        <v/>
      </c>
      <c r="H660" s="67" t="str">
        <f>IF('LISTA DE PRECIOS'!$H674&gt;0,'LISTA DE PRECIOS'!H674,"")</f>
        <v/>
      </c>
      <c r="I660" s="31" t="str">
        <f t="shared" si="9"/>
        <v/>
      </c>
    </row>
    <row r="661" spans="1:9">
      <c r="A661" t="str">
        <f>IF('LISTA DE PRECIOS'!$H675&gt;0,'LISTA DE PRECIOS'!A675,"")</f>
        <v/>
      </c>
      <c r="B661" t="str">
        <f>IF('LISTA DE PRECIOS'!$H675&gt;0,'LISTA DE PRECIOS'!B675,"")</f>
        <v/>
      </c>
      <c r="C661" t="str">
        <f>IF('LISTA DE PRECIOS'!$H675&gt;0,'LISTA DE PRECIOS'!C675,"")</f>
        <v/>
      </c>
      <c r="D661" s="67" t="str">
        <f>IF('LISTA DE PRECIOS'!$H675&gt;0,'LISTA DE PRECIOS'!D675,"")</f>
        <v/>
      </c>
      <c r="E661" t="str">
        <f>IF('LISTA DE PRECIOS'!$H675&gt;0,'LISTA DE PRECIOS'!E675,"")</f>
        <v/>
      </c>
      <c r="F661" t="str">
        <f>IF('LISTA DE PRECIOS'!$H675&gt;0,'LISTA DE PRECIOS'!F675,"")</f>
        <v/>
      </c>
      <c r="G661" s="31" t="str">
        <f>IF('LISTA DE PRECIOS'!$H675&gt;0,'LISTA DE PRECIOS'!G675,"")</f>
        <v/>
      </c>
      <c r="H661" s="67" t="str">
        <f>IF('LISTA DE PRECIOS'!$H675&gt;0,'LISTA DE PRECIOS'!H675,"")</f>
        <v/>
      </c>
      <c r="I661" s="31" t="str">
        <f t="shared" si="9"/>
        <v/>
      </c>
    </row>
    <row r="662" spans="1:9">
      <c r="A662" t="str">
        <f>IF('LISTA DE PRECIOS'!$H676&gt;0,'LISTA DE PRECIOS'!A676,"")</f>
        <v/>
      </c>
      <c r="B662" t="str">
        <f>IF('LISTA DE PRECIOS'!$H676&gt;0,'LISTA DE PRECIOS'!B676,"")</f>
        <v/>
      </c>
      <c r="C662" t="str">
        <f>IF('LISTA DE PRECIOS'!$H676&gt;0,'LISTA DE PRECIOS'!C676,"")</f>
        <v/>
      </c>
      <c r="D662" s="67" t="str">
        <f>IF('LISTA DE PRECIOS'!$H676&gt;0,'LISTA DE PRECIOS'!D676,"")</f>
        <v/>
      </c>
      <c r="E662" t="str">
        <f>IF('LISTA DE PRECIOS'!$H676&gt;0,'LISTA DE PRECIOS'!E676,"")</f>
        <v/>
      </c>
      <c r="F662" t="str">
        <f>IF('LISTA DE PRECIOS'!$H676&gt;0,'LISTA DE PRECIOS'!F676,"")</f>
        <v/>
      </c>
      <c r="G662" s="31" t="str">
        <f>IF('LISTA DE PRECIOS'!$H676&gt;0,'LISTA DE PRECIOS'!G676,"")</f>
        <v/>
      </c>
      <c r="H662" s="67" t="str">
        <f>IF('LISTA DE PRECIOS'!$H676&gt;0,'LISTA DE PRECIOS'!H676,"")</f>
        <v/>
      </c>
      <c r="I662" s="31" t="str">
        <f t="shared" si="9"/>
        <v/>
      </c>
    </row>
    <row r="663" spans="1:9">
      <c r="A663" t="str">
        <f>IF('LISTA DE PRECIOS'!$H677&gt;0,'LISTA DE PRECIOS'!A677,"")</f>
        <v/>
      </c>
      <c r="B663" t="str">
        <f>IF('LISTA DE PRECIOS'!$H677&gt;0,'LISTA DE PRECIOS'!B677,"")</f>
        <v/>
      </c>
      <c r="C663" t="str">
        <f>IF('LISTA DE PRECIOS'!$H677&gt;0,'LISTA DE PRECIOS'!C677,"")</f>
        <v/>
      </c>
      <c r="D663" s="67" t="str">
        <f>IF('LISTA DE PRECIOS'!$H677&gt;0,'LISTA DE PRECIOS'!D677,"")</f>
        <v/>
      </c>
      <c r="E663" t="str">
        <f>IF('LISTA DE PRECIOS'!$H677&gt;0,'LISTA DE PRECIOS'!E677,"")</f>
        <v/>
      </c>
      <c r="F663" t="str">
        <f>IF('LISTA DE PRECIOS'!$H677&gt;0,'LISTA DE PRECIOS'!F677,"")</f>
        <v/>
      </c>
      <c r="G663" s="31" t="str">
        <f>IF('LISTA DE PRECIOS'!$H677&gt;0,'LISTA DE PRECIOS'!G677,"")</f>
        <v/>
      </c>
      <c r="H663" s="67" t="str">
        <f>IF('LISTA DE PRECIOS'!$H677&gt;0,'LISTA DE PRECIOS'!H677,"")</f>
        <v/>
      </c>
      <c r="I663" s="31" t="str">
        <f t="shared" si="9"/>
        <v/>
      </c>
    </row>
    <row r="664" spans="1:9">
      <c r="A664" t="str">
        <f>IF('LISTA DE PRECIOS'!$H678&gt;0,'LISTA DE PRECIOS'!A678,"")</f>
        <v/>
      </c>
      <c r="B664" t="str">
        <f>IF('LISTA DE PRECIOS'!$H678&gt;0,'LISTA DE PRECIOS'!B678,"")</f>
        <v/>
      </c>
      <c r="C664" t="str">
        <f>IF('LISTA DE PRECIOS'!$H678&gt;0,'LISTA DE PRECIOS'!C678,"")</f>
        <v/>
      </c>
      <c r="D664" s="67" t="str">
        <f>IF('LISTA DE PRECIOS'!$H678&gt;0,'LISTA DE PRECIOS'!D678,"")</f>
        <v/>
      </c>
      <c r="E664" t="str">
        <f>IF('LISTA DE PRECIOS'!$H678&gt;0,'LISTA DE PRECIOS'!E678,"")</f>
        <v/>
      </c>
      <c r="F664" t="str">
        <f>IF('LISTA DE PRECIOS'!$H678&gt;0,'LISTA DE PRECIOS'!F678,"")</f>
        <v/>
      </c>
      <c r="G664" s="31" t="str">
        <f>IF('LISTA DE PRECIOS'!$H678&gt;0,'LISTA DE PRECIOS'!G678,"")</f>
        <v/>
      </c>
      <c r="H664" s="67" t="str">
        <f>IF('LISTA DE PRECIOS'!$H678&gt;0,'LISTA DE PRECIOS'!H678,"")</f>
        <v/>
      </c>
      <c r="I664" s="31" t="str">
        <f t="shared" si="9"/>
        <v/>
      </c>
    </row>
    <row r="665" spans="1:9">
      <c r="A665" t="str">
        <f>IF('LISTA DE PRECIOS'!$H679&gt;0,'LISTA DE PRECIOS'!A679,"")</f>
        <v/>
      </c>
      <c r="B665" t="str">
        <f>IF('LISTA DE PRECIOS'!$H679&gt;0,'LISTA DE PRECIOS'!B679,"")</f>
        <v/>
      </c>
      <c r="C665" t="str">
        <f>IF('LISTA DE PRECIOS'!$H679&gt;0,'LISTA DE PRECIOS'!C679,"")</f>
        <v/>
      </c>
      <c r="D665" s="67" t="str">
        <f>IF('LISTA DE PRECIOS'!$H679&gt;0,'LISTA DE PRECIOS'!D679,"")</f>
        <v/>
      </c>
      <c r="E665" t="str">
        <f>IF('LISTA DE PRECIOS'!$H679&gt;0,'LISTA DE PRECIOS'!E679,"")</f>
        <v/>
      </c>
      <c r="F665" t="str">
        <f>IF('LISTA DE PRECIOS'!$H679&gt;0,'LISTA DE PRECIOS'!F679,"")</f>
        <v/>
      </c>
      <c r="G665" s="31" t="str">
        <f>IF('LISTA DE PRECIOS'!$H679&gt;0,'LISTA DE PRECIOS'!G679,"")</f>
        <v/>
      </c>
      <c r="H665" s="67" t="str">
        <f>IF('LISTA DE PRECIOS'!$H679&gt;0,'LISTA DE PRECIOS'!H679,"")</f>
        <v/>
      </c>
      <c r="I665" s="31" t="str">
        <f t="shared" si="9"/>
        <v/>
      </c>
    </row>
    <row r="666" spans="1:9">
      <c r="A666" t="str">
        <f>IF('LISTA DE PRECIOS'!$H680&gt;0,'LISTA DE PRECIOS'!A680,"")</f>
        <v/>
      </c>
      <c r="B666" t="str">
        <f>IF('LISTA DE PRECIOS'!$H680&gt;0,'LISTA DE PRECIOS'!B680,"")</f>
        <v/>
      </c>
      <c r="C666" t="str">
        <f>IF('LISTA DE PRECIOS'!$H680&gt;0,'LISTA DE PRECIOS'!C680,"")</f>
        <v/>
      </c>
      <c r="D666" s="67" t="str">
        <f>IF('LISTA DE PRECIOS'!$H680&gt;0,'LISTA DE PRECIOS'!D680,"")</f>
        <v/>
      </c>
      <c r="E666" t="str">
        <f>IF('LISTA DE PRECIOS'!$H680&gt;0,'LISTA DE PRECIOS'!E680,"")</f>
        <v/>
      </c>
      <c r="F666" t="str">
        <f>IF('LISTA DE PRECIOS'!$H680&gt;0,'LISTA DE PRECIOS'!F680,"")</f>
        <v/>
      </c>
      <c r="G666" s="31" t="str">
        <f>IF('LISTA DE PRECIOS'!$H680&gt;0,'LISTA DE PRECIOS'!G680,"")</f>
        <v/>
      </c>
      <c r="H666" s="67" t="str">
        <f>IF('LISTA DE PRECIOS'!$H680&gt;0,'LISTA DE PRECIOS'!H680,"")</f>
        <v/>
      </c>
      <c r="I666" s="31" t="str">
        <f t="shared" si="9"/>
        <v/>
      </c>
    </row>
    <row r="667" spans="1:9">
      <c r="A667" t="str">
        <f>IF('LISTA DE PRECIOS'!$H681&gt;0,'LISTA DE PRECIOS'!A681,"")</f>
        <v/>
      </c>
      <c r="B667" t="str">
        <f>IF('LISTA DE PRECIOS'!$H681&gt;0,'LISTA DE PRECIOS'!B681,"")</f>
        <v/>
      </c>
      <c r="C667" t="str">
        <f>IF('LISTA DE PRECIOS'!$H681&gt;0,'LISTA DE PRECIOS'!C681,"")</f>
        <v/>
      </c>
      <c r="D667" s="67" t="str">
        <f>IF('LISTA DE PRECIOS'!$H681&gt;0,'LISTA DE PRECIOS'!D681,"")</f>
        <v/>
      </c>
      <c r="E667" t="str">
        <f>IF('LISTA DE PRECIOS'!$H681&gt;0,'LISTA DE PRECIOS'!E681,"")</f>
        <v/>
      </c>
      <c r="F667" t="str">
        <f>IF('LISTA DE PRECIOS'!$H681&gt;0,'LISTA DE PRECIOS'!F681,"")</f>
        <v/>
      </c>
      <c r="G667" s="31" t="str">
        <f>IF('LISTA DE PRECIOS'!$H681&gt;0,'LISTA DE PRECIOS'!G681,"")</f>
        <v/>
      </c>
      <c r="H667" s="67" t="str">
        <f>IF('LISTA DE PRECIOS'!$H681&gt;0,'LISTA DE PRECIOS'!H681,"")</f>
        <v/>
      </c>
      <c r="I667" s="31" t="str">
        <f t="shared" si="9"/>
        <v/>
      </c>
    </row>
    <row r="668" spans="1:9">
      <c r="A668" t="str">
        <f>IF('LISTA DE PRECIOS'!$H682&gt;0,'LISTA DE PRECIOS'!A682,"")</f>
        <v/>
      </c>
      <c r="B668" t="str">
        <f>IF('LISTA DE PRECIOS'!$H682&gt;0,'LISTA DE PRECIOS'!B682,"")</f>
        <v/>
      </c>
      <c r="C668" t="str">
        <f>IF('LISTA DE PRECIOS'!$H682&gt;0,'LISTA DE PRECIOS'!C682,"")</f>
        <v/>
      </c>
      <c r="D668" s="67" t="str">
        <f>IF('LISTA DE PRECIOS'!$H682&gt;0,'LISTA DE PRECIOS'!D682,"")</f>
        <v/>
      </c>
      <c r="E668" t="str">
        <f>IF('LISTA DE PRECIOS'!$H682&gt;0,'LISTA DE PRECIOS'!E682,"")</f>
        <v/>
      </c>
      <c r="F668" t="str">
        <f>IF('LISTA DE PRECIOS'!$H682&gt;0,'LISTA DE PRECIOS'!F682,"")</f>
        <v/>
      </c>
      <c r="G668" s="31" t="str">
        <f>IF('LISTA DE PRECIOS'!$H682&gt;0,'LISTA DE PRECIOS'!G682,"")</f>
        <v/>
      </c>
      <c r="H668" s="67" t="str">
        <f>IF('LISTA DE PRECIOS'!$H682&gt;0,'LISTA DE PRECIOS'!H682,"")</f>
        <v/>
      </c>
      <c r="I668" s="31" t="str">
        <f t="shared" si="9"/>
        <v/>
      </c>
    </row>
    <row r="669" spans="1:9">
      <c r="A669" t="str">
        <f>IF('LISTA DE PRECIOS'!$H683&gt;0,'LISTA DE PRECIOS'!A683,"")</f>
        <v/>
      </c>
      <c r="B669" t="str">
        <f>IF('LISTA DE PRECIOS'!$H683&gt;0,'LISTA DE PRECIOS'!B683,"")</f>
        <v/>
      </c>
      <c r="C669" t="str">
        <f>IF('LISTA DE PRECIOS'!$H683&gt;0,'LISTA DE PRECIOS'!C683,"")</f>
        <v/>
      </c>
      <c r="D669" s="67" t="str">
        <f>IF('LISTA DE PRECIOS'!$H683&gt;0,'LISTA DE PRECIOS'!D683,"")</f>
        <v/>
      </c>
      <c r="E669" t="str">
        <f>IF('LISTA DE PRECIOS'!$H683&gt;0,'LISTA DE PRECIOS'!E683,"")</f>
        <v/>
      </c>
      <c r="F669" t="str">
        <f>IF('LISTA DE PRECIOS'!$H683&gt;0,'LISTA DE PRECIOS'!F683,"")</f>
        <v/>
      </c>
      <c r="G669" s="31" t="str">
        <f>IF('LISTA DE PRECIOS'!$H683&gt;0,'LISTA DE PRECIOS'!G683,"")</f>
        <v/>
      </c>
      <c r="H669" s="67" t="str">
        <f>IF('LISTA DE PRECIOS'!$H683&gt;0,'LISTA DE PRECIOS'!H683,"")</f>
        <v/>
      </c>
      <c r="I669" s="31" t="str">
        <f t="shared" si="9"/>
        <v/>
      </c>
    </row>
    <row r="670" spans="1:9">
      <c r="A670" t="str">
        <f>IF('LISTA DE PRECIOS'!$H684&gt;0,'LISTA DE PRECIOS'!A684,"")</f>
        <v/>
      </c>
      <c r="B670" t="str">
        <f>IF('LISTA DE PRECIOS'!$H684&gt;0,'LISTA DE PRECIOS'!B684,"")</f>
        <v/>
      </c>
      <c r="C670" t="str">
        <f>IF('LISTA DE PRECIOS'!$H684&gt;0,'LISTA DE PRECIOS'!C684,"")</f>
        <v/>
      </c>
      <c r="D670" s="67" t="str">
        <f>IF('LISTA DE PRECIOS'!$H684&gt;0,'LISTA DE PRECIOS'!D684,"")</f>
        <v/>
      </c>
      <c r="E670" t="str">
        <f>IF('LISTA DE PRECIOS'!$H684&gt;0,'LISTA DE PRECIOS'!E684,"")</f>
        <v/>
      </c>
      <c r="F670" t="str">
        <f>IF('LISTA DE PRECIOS'!$H684&gt;0,'LISTA DE PRECIOS'!F684,"")</f>
        <v/>
      </c>
      <c r="G670" s="31" t="str">
        <f>IF('LISTA DE PRECIOS'!$H684&gt;0,'LISTA DE PRECIOS'!G684,"")</f>
        <v/>
      </c>
      <c r="H670" s="67" t="str">
        <f>IF('LISTA DE PRECIOS'!$H684&gt;0,'LISTA DE PRECIOS'!H684,"")</f>
        <v/>
      </c>
      <c r="I670" s="31" t="str">
        <f t="shared" si="9"/>
        <v/>
      </c>
    </row>
    <row r="671" spans="1:9">
      <c r="A671" t="str">
        <f>IF('LISTA DE PRECIOS'!$H685&gt;0,'LISTA DE PRECIOS'!A685,"")</f>
        <v/>
      </c>
      <c r="B671" t="str">
        <f>IF('LISTA DE PRECIOS'!$H685&gt;0,'LISTA DE PRECIOS'!B685,"")</f>
        <v/>
      </c>
      <c r="C671" t="str">
        <f>IF('LISTA DE PRECIOS'!$H685&gt;0,'LISTA DE PRECIOS'!C685,"")</f>
        <v/>
      </c>
      <c r="D671" s="67" t="str">
        <f>IF('LISTA DE PRECIOS'!$H685&gt;0,'LISTA DE PRECIOS'!D685,"")</f>
        <v/>
      </c>
      <c r="E671" t="str">
        <f>IF('LISTA DE PRECIOS'!$H685&gt;0,'LISTA DE PRECIOS'!E685,"")</f>
        <v/>
      </c>
      <c r="F671" t="str">
        <f>IF('LISTA DE PRECIOS'!$H685&gt;0,'LISTA DE PRECIOS'!F685,"")</f>
        <v/>
      </c>
      <c r="G671" s="31" t="str">
        <f>IF('LISTA DE PRECIOS'!$H685&gt;0,'LISTA DE PRECIOS'!G685,"")</f>
        <v/>
      </c>
      <c r="H671" s="67" t="str">
        <f>IF('LISTA DE PRECIOS'!$H685&gt;0,'LISTA DE PRECIOS'!H685,"")</f>
        <v/>
      </c>
      <c r="I671" s="31" t="str">
        <f t="shared" si="9"/>
        <v/>
      </c>
    </row>
    <row r="672" spans="1:9">
      <c r="A672" t="str">
        <f>IF('LISTA DE PRECIOS'!$H686&gt;0,'LISTA DE PRECIOS'!A686,"")</f>
        <v/>
      </c>
      <c r="B672" t="str">
        <f>IF('LISTA DE PRECIOS'!$H686&gt;0,'LISTA DE PRECIOS'!B686,"")</f>
        <v/>
      </c>
      <c r="C672" t="str">
        <f>IF('LISTA DE PRECIOS'!$H686&gt;0,'LISTA DE PRECIOS'!C686,"")</f>
        <v/>
      </c>
      <c r="D672" s="67" t="str">
        <f>IF('LISTA DE PRECIOS'!$H686&gt;0,'LISTA DE PRECIOS'!D686,"")</f>
        <v/>
      </c>
      <c r="E672" t="str">
        <f>IF('LISTA DE PRECIOS'!$H686&gt;0,'LISTA DE PRECIOS'!E686,"")</f>
        <v/>
      </c>
      <c r="F672" t="str">
        <f>IF('LISTA DE PRECIOS'!$H686&gt;0,'LISTA DE PRECIOS'!F686,"")</f>
        <v/>
      </c>
      <c r="G672" s="31" t="str">
        <f>IF('LISTA DE PRECIOS'!$H686&gt;0,'LISTA DE PRECIOS'!G686,"")</f>
        <v/>
      </c>
      <c r="H672" s="67" t="str">
        <f>IF('LISTA DE PRECIOS'!$H686&gt;0,'LISTA DE PRECIOS'!H686,"")</f>
        <v/>
      </c>
      <c r="I672" s="31" t="str">
        <f t="shared" si="9"/>
        <v/>
      </c>
    </row>
    <row r="673" spans="1:9">
      <c r="A673" t="str">
        <f>IF('LISTA DE PRECIOS'!$H687&gt;0,'LISTA DE PRECIOS'!A687,"")</f>
        <v/>
      </c>
      <c r="B673" t="str">
        <f>IF('LISTA DE PRECIOS'!$H687&gt;0,'LISTA DE PRECIOS'!B687,"")</f>
        <v/>
      </c>
      <c r="C673" t="str">
        <f>IF('LISTA DE PRECIOS'!$H687&gt;0,'LISTA DE PRECIOS'!C687,"")</f>
        <v/>
      </c>
      <c r="D673" s="67" t="str">
        <f>IF('LISTA DE PRECIOS'!$H687&gt;0,'LISTA DE PRECIOS'!D687,"")</f>
        <v/>
      </c>
      <c r="E673" t="str">
        <f>IF('LISTA DE PRECIOS'!$H687&gt;0,'LISTA DE PRECIOS'!E687,"")</f>
        <v/>
      </c>
      <c r="F673" t="str">
        <f>IF('LISTA DE PRECIOS'!$H687&gt;0,'LISTA DE PRECIOS'!F687,"")</f>
        <v/>
      </c>
      <c r="G673" s="31" t="str">
        <f>IF('LISTA DE PRECIOS'!$H687&gt;0,'LISTA DE PRECIOS'!G687,"")</f>
        <v/>
      </c>
      <c r="H673" s="67" t="str">
        <f>IF('LISTA DE PRECIOS'!$H687&gt;0,'LISTA DE PRECIOS'!H687,"")</f>
        <v/>
      </c>
      <c r="I673" s="31" t="str">
        <f t="shared" si="9"/>
        <v/>
      </c>
    </row>
    <row r="674" spans="1:9">
      <c r="A674" t="str">
        <f>IF('LISTA DE PRECIOS'!$H688&gt;0,'LISTA DE PRECIOS'!A688,"")</f>
        <v/>
      </c>
      <c r="B674" t="str">
        <f>IF('LISTA DE PRECIOS'!$H688&gt;0,'LISTA DE PRECIOS'!B688,"")</f>
        <v/>
      </c>
      <c r="C674" t="str">
        <f>IF('LISTA DE PRECIOS'!$H688&gt;0,'LISTA DE PRECIOS'!C688,"")</f>
        <v/>
      </c>
      <c r="D674" s="67" t="str">
        <f>IF('LISTA DE PRECIOS'!$H688&gt;0,'LISTA DE PRECIOS'!D688,"")</f>
        <v/>
      </c>
      <c r="E674" t="str">
        <f>IF('LISTA DE PRECIOS'!$H688&gt;0,'LISTA DE PRECIOS'!E688,"")</f>
        <v/>
      </c>
      <c r="F674" t="str">
        <f>IF('LISTA DE PRECIOS'!$H688&gt;0,'LISTA DE PRECIOS'!F688,"")</f>
        <v/>
      </c>
      <c r="G674" s="31" t="str">
        <f>IF('LISTA DE PRECIOS'!$H688&gt;0,'LISTA DE PRECIOS'!G688,"")</f>
        <v/>
      </c>
      <c r="H674" s="67" t="str">
        <f>IF('LISTA DE PRECIOS'!$H688&gt;0,'LISTA DE PRECIOS'!H688,"")</f>
        <v/>
      </c>
      <c r="I674" s="31" t="str">
        <f t="shared" si="9"/>
        <v/>
      </c>
    </row>
    <row r="675" spans="1:9">
      <c r="A675" t="str">
        <f>IF('LISTA DE PRECIOS'!$H689&gt;0,'LISTA DE PRECIOS'!A689,"")</f>
        <v/>
      </c>
      <c r="B675" t="str">
        <f>IF('LISTA DE PRECIOS'!$H689&gt;0,'LISTA DE PRECIOS'!B689,"")</f>
        <v/>
      </c>
      <c r="C675" t="str">
        <f>IF('LISTA DE PRECIOS'!$H689&gt;0,'LISTA DE PRECIOS'!C689,"")</f>
        <v/>
      </c>
      <c r="D675" s="67" t="str">
        <f>IF('LISTA DE PRECIOS'!$H689&gt;0,'LISTA DE PRECIOS'!D689,"")</f>
        <v/>
      </c>
      <c r="E675" t="str">
        <f>IF('LISTA DE PRECIOS'!$H689&gt;0,'LISTA DE PRECIOS'!E689,"")</f>
        <v/>
      </c>
      <c r="F675" t="str">
        <f>IF('LISTA DE PRECIOS'!$H689&gt;0,'LISTA DE PRECIOS'!F689,"")</f>
        <v/>
      </c>
      <c r="G675" s="31" t="str">
        <f>IF('LISTA DE PRECIOS'!$H689&gt;0,'LISTA DE PRECIOS'!G689,"")</f>
        <v/>
      </c>
      <c r="H675" s="67" t="str">
        <f>IF('LISTA DE PRECIOS'!$H689&gt;0,'LISTA DE PRECIOS'!H689,"")</f>
        <v/>
      </c>
      <c r="I675" s="31" t="str">
        <f t="shared" si="9"/>
        <v/>
      </c>
    </row>
    <row r="676" spans="1:9">
      <c r="A676" t="str">
        <f>IF('LISTA DE PRECIOS'!$H690&gt;0,'LISTA DE PRECIOS'!A690,"")</f>
        <v/>
      </c>
      <c r="B676" t="str">
        <f>IF('LISTA DE PRECIOS'!$H690&gt;0,'LISTA DE PRECIOS'!B690,"")</f>
        <v/>
      </c>
      <c r="C676" t="str">
        <f>IF('LISTA DE PRECIOS'!$H690&gt;0,'LISTA DE PRECIOS'!C690,"")</f>
        <v/>
      </c>
      <c r="D676" s="67" t="str">
        <f>IF('LISTA DE PRECIOS'!$H690&gt;0,'LISTA DE PRECIOS'!D690,"")</f>
        <v/>
      </c>
      <c r="E676" t="str">
        <f>IF('LISTA DE PRECIOS'!$H690&gt;0,'LISTA DE PRECIOS'!E690,"")</f>
        <v/>
      </c>
      <c r="F676" t="str">
        <f>IF('LISTA DE PRECIOS'!$H690&gt;0,'LISTA DE PRECIOS'!F690,"")</f>
        <v/>
      </c>
      <c r="G676" s="31" t="str">
        <f>IF('LISTA DE PRECIOS'!$H690&gt;0,'LISTA DE PRECIOS'!G690,"")</f>
        <v/>
      </c>
      <c r="H676" s="67" t="str">
        <f>IF('LISTA DE PRECIOS'!$H690&gt;0,'LISTA DE PRECIOS'!H690,"")</f>
        <v/>
      </c>
      <c r="I676" s="31" t="str">
        <f t="shared" si="9"/>
        <v/>
      </c>
    </row>
    <row r="677" spans="1:9">
      <c r="A677" t="str">
        <f>IF('LISTA DE PRECIOS'!$H691&gt;0,'LISTA DE PRECIOS'!A691,"")</f>
        <v/>
      </c>
      <c r="B677" t="str">
        <f>IF('LISTA DE PRECIOS'!$H691&gt;0,'LISTA DE PRECIOS'!B691,"")</f>
        <v/>
      </c>
      <c r="C677" t="str">
        <f>IF('LISTA DE PRECIOS'!$H691&gt;0,'LISTA DE PRECIOS'!C691,"")</f>
        <v/>
      </c>
      <c r="D677" s="67" t="str">
        <f>IF('LISTA DE PRECIOS'!$H691&gt;0,'LISTA DE PRECIOS'!D691,"")</f>
        <v/>
      </c>
      <c r="E677" t="str">
        <f>IF('LISTA DE PRECIOS'!$H691&gt;0,'LISTA DE PRECIOS'!E691,"")</f>
        <v/>
      </c>
      <c r="F677" t="str">
        <f>IF('LISTA DE PRECIOS'!$H691&gt;0,'LISTA DE PRECIOS'!F691,"")</f>
        <v/>
      </c>
      <c r="G677" s="31" t="str">
        <f>IF('LISTA DE PRECIOS'!$H691&gt;0,'LISTA DE PRECIOS'!G691,"")</f>
        <v/>
      </c>
      <c r="H677" s="67" t="str">
        <f>IF('LISTA DE PRECIOS'!$H691&gt;0,'LISTA DE PRECIOS'!H691,"")</f>
        <v/>
      </c>
      <c r="I677" s="31" t="str">
        <f t="shared" si="9"/>
        <v/>
      </c>
    </row>
    <row r="678" spans="1:9">
      <c r="A678" t="str">
        <f>IF('LISTA DE PRECIOS'!$H692&gt;0,'LISTA DE PRECIOS'!A692,"")</f>
        <v/>
      </c>
      <c r="B678" t="str">
        <f>IF('LISTA DE PRECIOS'!$H692&gt;0,'LISTA DE PRECIOS'!B692,"")</f>
        <v/>
      </c>
      <c r="C678" t="str">
        <f>IF('LISTA DE PRECIOS'!$H692&gt;0,'LISTA DE PRECIOS'!C692,"")</f>
        <v/>
      </c>
      <c r="D678" s="67" t="str">
        <f>IF('LISTA DE PRECIOS'!$H692&gt;0,'LISTA DE PRECIOS'!D692,"")</f>
        <v/>
      </c>
      <c r="E678" t="str">
        <f>IF('LISTA DE PRECIOS'!$H692&gt;0,'LISTA DE PRECIOS'!E692,"")</f>
        <v/>
      </c>
      <c r="F678" t="str">
        <f>IF('LISTA DE PRECIOS'!$H692&gt;0,'LISTA DE PRECIOS'!F692,"")</f>
        <v/>
      </c>
      <c r="G678" s="31" t="str">
        <f>IF('LISTA DE PRECIOS'!$H692&gt;0,'LISTA DE PRECIOS'!G692,"")</f>
        <v/>
      </c>
      <c r="H678" s="67" t="str">
        <f>IF('LISTA DE PRECIOS'!$H692&gt;0,'LISTA DE PRECIOS'!H692,"")</f>
        <v/>
      </c>
      <c r="I678" s="31" t="str">
        <f t="shared" si="9"/>
        <v/>
      </c>
    </row>
    <row r="679" spans="1:9">
      <c r="A679" t="str">
        <f>IF('LISTA DE PRECIOS'!$H693&gt;0,'LISTA DE PRECIOS'!A693,"")</f>
        <v/>
      </c>
      <c r="B679" t="str">
        <f>IF('LISTA DE PRECIOS'!$H693&gt;0,'LISTA DE PRECIOS'!B693,"")</f>
        <v/>
      </c>
      <c r="C679" t="str">
        <f>IF('LISTA DE PRECIOS'!$H693&gt;0,'LISTA DE PRECIOS'!C693,"")</f>
        <v/>
      </c>
      <c r="D679" s="67" t="str">
        <f>IF('LISTA DE PRECIOS'!$H693&gt;0,'LISTA DE PRECIOS'!D693,"")</f>
        <v/>
      </c>
      <c r="E679" t="str">
        <f>IF('LISTA DE PRECIOS'!$H693&gt;0,'LISTA DE PRECIOS'!E693,"")</f>
        <v/>
      </c>
      <c r="F679" t="str">
        <f>IF('LISTA DE PRECIOS'!$H693&gt;0,'LISTA DE PRECIOS'!F693,"")</f>
        <v/>
      </c>
      <c r="G679" s="31" t="str">
        <f>IF('LISTA DE PRECIOS'!$H693&gt;0,'LISTA DE PRECIOS'!G693,"")</f>
        <v/>
      </c>
      <c r="H679" s="67" t="str">
        <f>IF('LISTA DE PRECIOS'!$H693&gt;0,'LISTA DE PRECIOS'!H693,"")</f>
        <v/>
      </c>
      <c r="I679" s="31" t="str">
        <f t="shared" si="9"/>
        <v/>
      </c>
    </row>
    <row r="680" spans="1:9">
      <c r="A680" t="str">
        <f>IF('LISTA DE PRECIOS'!$H694&gt;0,'LISTA DE PRECIOS'!A694,"")</f>
        <v/>
      </c>
      <c r="B680" t="str">
        <f>IF('LISTA DE PRECIOS'!$H694&gt;0,'LISTA DE PRECIOS'!B694,"")</f>
        <v/>
      </c>
      <c r="C680" t="str">
        <f>IF('LISTA DE PRECIOS'!$H694&gt;0,'LISTA DE PRECIOS'!C694,"")</f>
        <v/>
      </c>
      <c r="D680" s="67" t="str">
        <f>IF('LISTA DE PRECIOS'!$H694&gt;0,'LISTA DE PRECIOS'!D694,"")</f>
        <v/>
      </c>
      <c r="E680" t="str">
        <f>IF('LISTA DE PRECIOS'!$H694&gt;0,'LISTA DE PRECIOS'!E694,"")</f>
        <v/>
      </c>
      <c r="F680" t="str">
        <f>IF('LISTA DE PRECIOS'!$H694&gt;0,'LISTA DE PRECIOS'!F694,"")</f>
        <v/>
      </c>
      <c r="G680" s="31" t="str">
        <f>IF('LISTA DE PRECIOS'!$H694&gt;0,'LISTA DE PRECIOS'!G694,"")</f>
        <v/>
      </c>
      <c r="H680" s="67" t="str">
        <f>IF('LISTA DE PRECIOS'!$H694&gt;0,'LISTA DE PRECIOS'!H694,"")</f>
        <v/>
      </c>
      <c r="I680" s="31" t="str">
        <f t="shared" si="9"/>
        <v/>
      </c>
    </row>
    <row r="681" spans="1:9">
      <c r="A681" t="str">
        <f>IF('LISTA DE PRECIOS'!$H695&gt;0,'LISTA DE PRECIOS'!A695,"")</f>
        <v/>
      </c>
      <c r="B681" t="str">
        <f>IF('LISTA DE PRECIOS'!$H695&gt;0,'LISTA DE PRECIOS'!B695,"")</f>
        <v/>
      </c>
      <c r="C681" t="str">
        <f>IF('LISTA DE PRECIOS'!$H695&gt;0,'LISTA DE PRECIOS'!C695,"")</f>
        <v/>
      </c>
      <c r="D681" s="67" t="str">
        <f>IF('LISTA DE PRECIOS'!$H695&gt;0,'LISTA DE PRECIOS'!D695,"")</f>
        <v/>
      </c>
      <c r="E681" t="str">
        <f>IF('LISTA DE PRECIOS'!$H695&gt;0,'LISTA DE PRECIOS'!E695,"")</f>
        <v/>
      </c>
      <c r="F681" t="str">
        <f>IF('LISTA DE PRECIOS'!$H695&gt;0,'LISTA DE PRECIOS'!F695,"")</f>
        <v/>
      </c>
      <c r="G681" s="31" t="str">
        <f>IF('LISTA DE PRECIOS'!$H695&gt;0,'LISTA DE PRECIOS'!G695,"")</f>
        <v/>
      </c>
      <c r="H681" s="67" t="str">
        <f>IF('LISTA DE PRECIOS'!$H695&gt;0,'LISTA DE PRECIOS'!H695,"")</f>
        <v/>
      </c>
      <c r="I681" s="31" t="str">
        <f t="shared" si="9"/>
        <v/>
      </c>
    </row>
    <row r="682" spans="1:9">
      <c r="A682" t="str">
        <f>IF('LISTA DE PRECIOS'!$H696&gt;0,'LISTA DE PRECIOS'!A696,"")</f>
        <v/>
      </c>
      <c r="B682" t="str">
        <f>IF('LISTA DE PRECIOS'!$H696&gt;0,'LISTA DE PRECIOS'!B696,"")</f>
        <v/>
      </c>
      <c r="C682" t="str">
        <f>IF('LISTA DE PRECIOS'!$H696&gt;0,'LISTA DE PRECIOS'!C696,"")</f>
        <v/>
      </c>
      <c r="D682" s="67" t="str">
        <f>IF('LISTA DE PRECIOS'!$H696&gt;0,'LISTA DE PRECIOS'!D696,"")</f>
        <v/>
      </c>
      <c r="E682" t="str">
        <f>IF('LISTA DE PRECIOS'!$H696&gt;0,'LISTA DE PRECIOS'!E696,"")</f>
        <v/>
      </c>
      <c r="F682" t="str">
        <f>IF('LISTA DE PRECIOS'!$H696&gt;0,'LISTA DE PRECIOS'!F696,"")</f>
        <v/>
      </c>
      <c r="G682" s="31" t="str">
        <f>IF('LISTA DE PRECIOS'!$H696&gt;0,'LISTA DE PRECIOS'!G696,"")</f>
        <v/>
      </c>
      <c r="H682" s="67" t="str">
        <f>IF('LISTA DE PRECIOS'!$H696&gt;0,'LISTA DE PRECIOS'!H696,"")</f>
        <v/>
      </c>
      <c r="I682" s="31" t="str">
        <f t="shared" si="9"/>
        <v/>
      </c>
    </row>
    <row r="683" spans="1:9">
      <c r="A683" t="str">
        <f>IF('LISTA DE PRECIOS'!$H697&gt;0,'LISTA DE PRECIOS'!A697,"")</f>
        <v/>
      </c>
      <c r="B683" t="str">
        <f>IF('LISTA DE PRECIOS'!$H697&gt;0,'LISTA DE PRECIOS'!B697,"")</f>
        <v/>
      </c>
      <c r="C683" t="str">
        <f>IF('LISTA DE PRECIOS'!$H697&gt;0,'LISTA DE PRECIOS'!C697,"")</f>
        <v/>
      </c>
      <c r="D683" s="67" t="str">
        <f>IF('LISTA DE PRECIOS'!$H697&gt;0,'LISTA DE PRECIOS'!D697,"")</f>
        <v/>
      </c>
      <c r="E683" t="str">
        <f>IF('LISTA DE PRECIOS'!$H697&gt;0,'LISTA DE PRECIOS'!E697,"")</f>
        <v/>
      </c>
      <c r="F683" t="str">
        <f>IF('LISTA DE PRECIOS'!$H697&gt;0,'LISTA DE PRECIOS'!F697,"")</f>
        <v/>
      </c>
      <c r="G683" s="31" t="str">
        <f>IF('LISTA DE PRECIOS'!$H697&gt;0,'LISTA DE PRECIOS'!G697,"")</f>
        <v/>
      </c>
      <c r="H683" s="67" t="str">
        <f>IF('LISTA DE PRECIOS'!$H697&gt;0,'LISTA DE PRECIOS'!H697,"")</f>
        <v/>
      </c>
      <c r="I683" s="31" t="str">
        <f t="shared" si="9"/>
        <v/>
      </c>
    </row>
    <row r="684" spans="1:9">
      <c r="A684" t="str">
        <f>IF('LISTA DE PRECIOS'!$H698&gt;0,'LISTA DE PRECIOS'!A698,"")</f>
        <v/>
      </c>
      <c r="B684" t="str">
        <f>IF('LISTA DE PRECIOS'!$H698&gt;0,'LISTA DE PRECIOS'!B698,"")</f>
        <v/>
      </c>
      <c r="C684" t="str">
        <f>IF('LISTA DE PRECIOS'!$H698&gt;0,'LISTA DE PRECIOS'!C698,"")</f>
        <v/>
      </c>
      <c r="D684" s="67" t="str">
        <f>IF('LISTA DE PRECIOS'!$H698&gt;0,'LISTA DE PRECIOS'!D698,"")</f>
        <v/>
      </c>
      <c r="E684" t="str">
        <f>IF('LISTA DE PRECIOS'!$H698&gt;0,'LISTA DE PRECIOS'!E698,"")</f>
        <v/>
      </c>
      <c r="F684" t="str">
        <f>IF('LISTA DE PRECIOS'!$H698&gt;0,'LISTA DE PRECIOS'!F698,"")</f>
        <v/>
      </c>
      <c r="G684" s="31" t="str">
        <f>IF('LISTA DE PRECIOS'!$H698&gt;0,'LISTA DE PRECIOS'!G698,"")</f>
        <v/>
      </c>
      <c r="H684" s="67" t="str">
        <f>IF('LISTA DE PRECIOS'!$H698&gt;0,'LISTA DE PRECIOS'!H698,"")</f>
        <v/>
      </c>
      <c r="I684" s="31" t="str">
        <f t="shared" si="9"/>
        <v/>
      </c>
    </row>
    <row r="685" spans="1:9">
      <c r="A685" t="str">
        <f>IF('LISTA DE PRECIOS'!$H699&gt;0,'LISTA DE PRECIOS'!A699,"")</f>
        <v/>
      </c>
      <c r="B685" t="str">
        <f>IF('LISTA DE PRECIOS'!$H699&gt;0,'LISTA DE PRECIOS'!B699,"")</f>
        <v/>
      </c>
      <c r="C685" t="str">
        <f>IF('LISTA DE PRECIOS'!$H699&gt;0,'LISTA DE PRECIOS'!C699,"")</f>
        <v/>
      </c>
      <c r="D685" s="67" t="str">
        <f>IF('LISTA DE PRECIOS'!$H699&gt;0,'LISTA DE PRECIOS'!D699,"")</f>
        <v/>
      </c>
      <c r="E685" t="str">
        <f>IF('LISTA DE PRECIOS'!$H699&gt;0,'LISTA DE PRECIOS'!E699,"")</f>
        <v/>
      </c>
      <c r="F685" t="str">
        <f>IF('LISTA DE PRECIOS'!$H699&gt;0,'LISTA DE PRECIOS'!F699,"")</f>
        <v/>
      </c>
      <c r="G685" s="31" t="str">
        <f>IF('LISTA DE PRECIOS'!$H699&gt;0,'LISTA DE PRECIOS'!G699,"")</f>
        <v/>
      </c>
      <c r="H685" s="67" t="str">
        <f>IF('LISTA DE PRECIOS'!$H699&gt;0,'LISTA DE PRECIOS'!H699,"")</f>
        <v/>
      </c>
      <c r="I685" s="31" t="str">
        <f t="shared" si="9"/>
        <v/>
      </c>
    </row>
    <row r="686" spans="1:9">
      <c r="A686" t="str">
        <f>IF('LISTA DE PRECIOS'!$H700&gt;0,'LISTA DE PRECIOS'!A700,"")</f>
        <v/>
      </c>
      <c r="B686" t="str">
        <f>IF('LISTA DE PRECIOS'!$H700&gt;0,'LISTA DE PRECIOS'!B700,"")</f>
        <v/>
      </c>
      <c r="C686" t="str">
        <f>IF('LISTA DE PRECIOS'!$H700&gt;0,'LISTA DE PRECIOS'!C700,"")</f>
        <v/>
      </c>
      <c r="D686" s="67" t="str">
        <f>IF('LISTA DE PRECIOS'!$H700&gt;0,'LISTA DE PRECIOS'!D700,"")</f>
        <v/>
      </c>
      <c r="E686" t="str">
        <f>IF('LISTA DE PRECIOS'!$H700&gt;0,'LISTA DE PRECIOS'!E700,"")</f>
        <v/>
      </c>
      <c r="F686" t="str">
        <f>IF('LISTA DE PRECIOS'!$H700&gt;0,'LISTA DE PRECIOS'!F700,"")</f>
        <v/>
      </c>
      <c r="G686" s="31" t="str">
        <f>IF('LISTA DE PRECIOS'!$H700&gt;0,'LISTA DE PRECIOS'!G700,"")</f>
        <v/>
      </c>
      <c r="H686" s="67" t="str">
        <f>IF('LISTA DE PRECIOS'!$H700&gt;0,'LISTA DE PRECIOS'!H700,"")</f>
        <v/>
      </c>
      <c r="I686" s="31" t="str">
        <f t="shared" si="9"/>
        <v/>
      </c>
    </row>
    <row r="687" spans="1:9">
      <c r="A687" t="str">
        <f>IF('LISTA DE PRECIOS'!$H701&gt;0,'LISTA DE PRECIOS'!A701,"")</f>
        <v/>
      </c>
      <c r="B687" t="str">
        <f>IF('LISTA DE PRECIOS'!$H701&gt;0,'LISTA DE PRECIOS'!B701,"")</f>
        <v/>
      </c>
      <c r="C687" t="str">
        <f>IF('LISTA DE PRECIOS'!$H701&gt;0,'LISTA DE PRECIOS'!C701,"")</f>
        <v/>
      </c>
      <c r="D687" s="67" t="str">
        <f>IF('LISTA DE PRECIOS'!$H701&gt;0,'LISTA DE PRECIOS'!D701,"")</f>
        <v/>
      </c>
      <c r="E687" t="str">
        <f>IF('LISTA DE PRECIOS'!$H701&gt;0,'LISTA DE PRECIOS'!E701,"")</f>
        <v/>
      </c>
      <c r="F687" t="str">
        <f>IF('LISTA DE PRECIOS'!$H701&gt;0,'LISTA DE PRECIOS'!F701,"")</f>
        <v/>
      </c>
      <c r="G687" s="31" t="str">
        <f>IF('LISTA DE PRECIOS'!$H701&gt;0,'LISTA DE PRECIOS'!G701,"")</f>
        <v/>
      </c>
      <c r="H687" s="67" t="str">
        <f>IF('LISTA DE PRECIOS'!$H701&gt;0,'LISTA DE PRECIOS'!H701,"")</f>
        <v/>
      </c>
      <c r="I687" s="31" t="str">
        <f t="shared" si="9"/>
        <v/>
      </c>
    </row>
    <row r="688" spans="1:9">
      <c r="A688" t="str">
        <f>IF('LISTA DE PRECIOS'!$H702&gt;0,'LISTA DE PRECIOS'!A702,"")</f>
        <v/>
      </c>
      <c r="B688" t="str">
        <f>IF('LISTA DE PRECIOS'!$H702&gt;0,'LISTA DE PRECIOS'!B702,"")</f>
        <v/>
      </c>
      <c r="C688" t="str">
        <f>IF('LISTA DE PRECIOS'!$H702&gt;0,'LISTA DE PRECIOS'!C702,"")</f>
        <v/>
      </c>
      <c r="D688" s="67" t="str">
        <f>IF('LISTA DE PRECIOS'!$H702&gt;0,'LISTA DE PRECIOS'!D702,"")</f>
        <v/>
      </c>
      <c r="E688" t="str">
        <f>IF('LISTA DE PRECIOS'!$H702&gt;0,'LISTA DE PRECIOS'!E702,"")</f>
        <v/>
      </c>
      <c r="F688" t="str">
        <f>IF('LISTA DE PRECIOS'!$H702&gt;0,'LISTA DE PRECIOS'!F702,"")</f>
        <v/>
      </c>
      <c r="G688" s="31" t="str">
        <f>IF('LISTA DE PRECIOS'!$H702&gt;0,'LISTA DE PRECIOS'!G702,"")</f>
        <v/>
      </c>
      <c r="H688" s="67" t="str">
        <f>IF('LISTA DE PRECIOS'!$H702&gt;0,'LISTA DE PRECIOS'!H702,"")</f>
        <v/>
      </c>
      <c r="I688" s="31" t="str">
        <f t="shared" si="9"/>
        <v/>
      </c>
    </row>
    <row r="689" spans="1:9">
      <c r="A689" t="str">
        <f>IF('LISTA DE PRECIOS'!$H703&gt;0,'LISTA DE PRECIOS'!A703,"")</f>
        <v/>
      </c>
      <c r="B689" t="str">
        <f>IF('LISTA DE PRECIOS'!$H703&gt;0,'LISTA DE PRECIOS'!B703,"")</f>
        <v/>
      </c>
      <c r="C689" t="str">
        <f>IF('LISTA DE PRECIOS'!$H703&gt;0,'LISTA DE PRECIOS'!C703,"")</f>
        <v/>
      </c>
      <c r="D689" s="67" t="str">
        <f>IF('LISTA DE PRECIOS'!$H703&gt;0,'LISTA DE PRECIOS'!D703,"")</f>
        <v/>
      </c>
      <c r="E689" t="str">
        <f>IF('LISTA DE PRECIOS'!$H703&gt;0,'LISTA DE PRECIOS'!E703,"")</f>
        <v/>
      </c>
      <c r="F689" t="str">
        <f>IF('LISTA DE PRECIOS'!$H703&gt;0,'LISTA DE PRECIOS'!F703,"")</f>
        <v/>
      </c>
      <c r="G689" s="31" t="str">
        <f>IF('LISTA DE PRECIOS'!$H703&gt;0,'LISTA DE PRECIOS'!G703,"")</f>
        <v/>
      </c>
      <c r="H689" s="67" t="str">
        <f>IF('LISTA DE PRECIOS'!$H703&gt;0,'LISTA DE PRECIOS'!H703,"")</f>
        <v/>
      </c>
      <c r="I689" s="31" t="str">
        <f t="shared" si="9"/>
        <v/>
      </c>
    </row>
    <row r="690" spans="1:9">
      <c r="A690" t="str">
        <f>IF('LISTA DE PRECIOS'!$H704&gt;0,'LISTA DE PRECIOS'!A704,"")</f>
        <v/>
      </c>
      <c r="B690" t="str">
        <f>IF('LISTA DE PRECIOS'!$H704&gt;0,'LISTA DE PRECIOS'!B704,"")</f>
        <v/>
      </c>
      <c r="C690" t="str">
        <f>IF('LISTA DE PRECIOS'!$H704&gt;0,'LISTA DE PRECIOS'!C704,"")</f>
        <v/>
      </c>
      <c r="D690" s="67" t="str">
        <f>IF('LISTA DE PRECIOS'!$H704&gt;0,'LISTA DE PRECIOS'!D704,"")</f>
        <v/>
      </c>
      <c r="E690" t="str">
        <f>IF('LISTA DE PRECIOS'!$H704&gt;0,'LISTA DE PRECIOS'!E704,"")</f>
        <v/>
      </c>
      <c r="F690" t="str">
        <f>IF('LISTA DE PRECIOS'!$H704&gt;0,'LISTA DE PRECIOS'!F704,"")</f>
        <v/>
      </c>
      <c r="G690" s="31" t="str">
        <f>IF('LISTA DE PRECIOS'!$H704&gt;0,'LISTA DE PRECIOS'!G704,"")</f>
        <v/>
      </c>
      <c r="H690" s="67" t="str">
        <f>IF('LISTA DE PRECIOS'!$H704&gt;0,'LISTA DE PRECIOS'!H704,"")</f>
        <v/>
      </c>
      <c r="I690" s="31" t="str">
        <f t="shared" si="9"/>
        <v/>
      </c>
    </row>
    <row r="691" spans="1:9">
      <c r="A691" t="str">
        <f>IF('LISTA DE PRECIOS'!$H705&gt;0,'LISTA DE PRECIOS'!A705,"")</f>
        <v/>
      </c>
      <c r="B691" t="str">
        <f>IF('LISTA DE PRECIOS'!$H705&gt;0,'LISTA DE PRECIOS'!B705,"")</f>
        <v/>
      </c>
      <c r="C691" t="str">
        <f>IF('LISTA DE PRECIOS'!$H705&gt;0,'LISTA DE PRECIOS'!C705,"")</f>
        <v/>
      </c>
      <c r="D691" s="67" t="str">
        <f>IF('LISTA DE PRECIOS'!$H705&gt;0,'LISTA DE PRECIOS'!D705,"")</f>
        <v/>
      </c>
      <c r="E691" t="str">
        <f>IF('LISTA DE PRECIOS'!$H705&gt;0,'LISTA DE PRECIOS'!E705,"")</f>
        <v/>
      </c>
      <c r="F691" t="str">
        <f>IF('LISTA DE PRECIOS'!$H705&gt;0,'LISTA DE PRECIOS'!F705,"")</f>
        <v/>
      </c>
      <c r="G691" s="31" t="str">
        <f>IF('LISTA DE PRECIOS'!$H705&gt;0,'LISTA DE PRECIOS'!G705,"")</f>
        <v/>
      </c>
      <c r="H691" s="67" t="str">
        <f>IF('LISTA DE PRECIOS'!$H705&gt;0,'LISTA DE PRECIOS'!H705,"")</f>
        <v/>
      </c>
      <c r="I691" s="31" t="str">
        <f t="shared" si="9"/>
        <v/>
      </c>
    </row>
    <row r="692" spans="1:9">
      <c r="A692" t="str">
        <f>IF('LISTA DE PRECIOS'!$H706&gt;0,'LISTA DE PRECIOS'!A706,"")</f>
        <v/>
      </c>
      <c r="B692" t="str">
        <f>IF('LISTA DE PRECIOS'!$H706&gt;0,'LISTA DE PRECIOS'!B706,"")</f>
        <v/>
      </c>
      <c r="C692" t="str">
        <f>IF('LISTA DE PRECIOS'!$H706&gt;0,'LISTA DE PRECIOS'!C706,"")</f>
        <v/>
      </c>
      <c r="D692" s="67" t="str">
        <f>IF('LISTA DE PRECIOS'!$H706&gt;0,'LISTA DE PRECIOS'!D706,"")</f>
        <v/>
      </c>
      <c r="E692" t="str">
        <f>IF('LISTA DE PRECIOS'!$H706&gt;0,'LISTA DE PRECIOS'!E706,"")</f>
        <v/>
      </c>
      <c r="F692" t="str">
        <f>IF('LISTA DE PRECIOS'!$H706&gt;0,'LISTA DE PRECIOS'!F706,"")</f>
        <v/>
      </c>
      <c r="G692" s="31" t="str">
        <f>IF('LISTA DE PRECIOS'!$H706&gt;0,'LISTA DE PRECIOS'!G706,"")</f>
        <v/>
      </c>
      <c r="H692" s="67" t="str">
        <f>IF('LISTA DE PRECIOS'!$H706&gt;0,'LISTA DE PRECIOS'!H706,"")</f>
        <v/>
      </c>
      <c r="I692" s="31" t="str">
        <f t="shared" si="9"/>
        <v/>
      </c>
    </row>
    <row r="693" spans="1:9">
      <c r="A693" t="str">
        <f>IF('LISTA DE PRECIOS'!$H707&gt;0,'LISTA DE PRECIOS'!A707,"")</f>
        <v/>
      </c>
      <c r="B693" t="str">
        <f>IF('LISTA DE PRECIOS'!$H707&gt;0,'LISTA DE PRECIOS'!B707,"")</f>
        <v/>
      </c>
      <c r="C693" t="str">
        <f>IF('LISTA DE PRECIOS'!$H707&gt;0,'LISTA DE PRECIOS'!C707,"")</f>
        <v/>
      </c>
      <c r="D693" s="67" t="str">
        <f>IF('LISTA DE PRECIOS'!$H707&gt;0,'LISTA DE PRECIOS'!D707,"")</f>
        <v/>
      </c>
      <c r="E693" t="str">
        <f>IF('LISTA DE PRECIOS'!$H707&gt;0,'LISTA DE PRECIOS'!E707,"")</f>
        <v/>
      </c>
      <c r="F693" t="str">
        <f>IF('LISTA DE PRECIOS'!$H707&gt;0,'LISTA DE PRECIOS'!F707,"")</f>
        <v/>
      </c>
      <c r="G693" s="31" t="str">
        <f>IF('LISTA DE PRECIOS'!$H707&gt;0,'LISTA DE PRECIOS'!G707,"")</f>
        <v/>
      </c>
      <c r="H693" s="67" t="str">
        <f>IF('LISTA DE PRECIOS'!$H707&gt;0,'LISTA DE PRECIOS'!H707,"")</f>
        <v/>
      </c>
      <c r="I693" s="31" t="str">
        <f t="shared" si="9"/>
        <v/>
      </c>
    </row>
    <row r="694" spans="1:9">
      <c r="A694" t="str">
        <f>IF('LISTA DE PRECIOS'!$H708&gt;0,'LISTA DE PRECIOS'!A708,"")</f>
        <v/>
      </c>
      <c r="B694" t="str">
        <f>IF('LISTA DE PRECIOS'!$H708&gt;0,'LISTA DE PRECIOS'!B708,"")</f>
        <v/>
      </c>
      <c r="C694" t="str">
        <f>IF('LISTA DE PRECIOS'!$H708&gt;0,'LISTA DE PRECIOS'!C708,"")</f>
        <v/>
      </c>
      <c r="D694" s="67" t="str">
        <f>IF('LISTA DE PRECIOS'!$H708&gt;0,'LISTA DE PRECIOS'!D708,"")</f>
        <v/>
      </c>
      <c r="E694" t="str">
        <f>IF('LISTA DE PRECIOS'!$H708&gt;0,'LISTA DE PRECIOS'!E708,"")</f>
        <v/>
      </c>
      <c r="F694" t="str">
        <f>IF('LISTA DE PRECIOS'!$H708&gt;0,'LISTA DE PRECIOS'!F708,"")</f>
        <v/>
      </c>
      <c r="G694" s="31" t="str">
        <f>IF('LISTA DE PRECIOS'!$H708&gt;0,'LISTA DE PRECIOS'!G708,"")</f>
        <v/>
      </c>
      <c r="H694" s="67" t="str">
        <f>IF('LISTA DE PRECIOS'!$H708&gt;0,'LISTA DE PRECIOS'!H708,"")</f>
        <v/>
      </c>
      <c r="I694" s="31" t="str">
        <f t="shared" si="9"/>
        <v/>
      </c>
    </row>
    <row r="695" spans="1:9">
      <c r="A695" t="str">
        <f>IF('LISTA DE PRECIOS'!$H709&gt;0,'LISTA DE PRECIOS'!A709,"")</f>
        <v/>
      </c>
      <c r="B695" t="str">
        <f>IF('LISTA DE PRECIOS'!$H709&gt;0,'LISTA DE PRECIOS'!B709,"")</f>
        <v/>
      </c>
      <c r="C695" t="str">
        <f>IF('LISTA DE PRECIOS'!$H709&gt;0,'LISTA DE PRECIOS'!C709,"")</f>
        <v/>
      </c>
      <c r="D695" s="67" t="str">
        <f>IF('LISTA DE PRECIOS'!$H709&gt;0,'LISTA DE PRECIOS'!D709,"")</f>
        <v/>
      </c>
      <c r="E695" t="str">
        <f>IF('LISTA DE PRECIOS'!$H709&gt;0,'LISTA DE PRECIOS'!E709,"")</f>
        <v/>
      </c>
      <c r="F695" t="str">
        <f>IF('LISTA DE PRECIOS'!$H709&gt;0,'LISTA DE PRECIOS'!F709,"")</f>
        <v/>
      </c>
      <c r="G695" s="31" t="str">
        <f>IF('LISTA DE PRECIOS'!$H709&gt;0,'LISTA DE PRECIOS'!G709,"")</f>
        <v/>
      </c>
      <c r="H695" s="67" t="str">
        <f>IF('LISTA DE PRECIOS'!$H709&gt;0,'LISTA DE PRECIOS'!H709,"")</f>
        <v/>
      </c>
      <c r="I695" s="31" t="str">
        <f t="shared" si="9"/>
        <v/>
      </c>
    </row>
    <row r="696" spans="1:9">
      <c r="A696" t="str">
        <f>IF('LISTA DE PRECIOS'!$H710&gt;0,'LISTA DE PRECIOS'!A710,"")</f>
        <v/>
      </c>
      <c r="B696" t="str">
        <f>IF('LISTA DE PRECIOS'!$H710&gt;0,'LISTA DE PRECIOS'!B710,"")</f>
        <v/>
      </c>
      <c r="C696" t="str">
        <f>IF('LISTA DE PRECIOS'!$H710&gt;0,'LISTA DE PRECIOS'!C710,"")</f>
        <v/>
      </c>
      <c r="D696" s="67" t="str">
        <f>IF('LISTA DE PRECIOS'!$H710&gt;0,'LISTA DE PRECIOS'!D710,"")</f>
        <v/>
      </c>
      <c r="E696" t="str">
        <f>IF('LISTA DE PRECIOS'!$H710&gt;0,'LISTA DE PRECIOS'!E710,"")</f>
        <v/>
      </c>
      <c r="F696" t="str">
        <f>IF('LISTA DE PRECIOS'!$H710&gt;0,'LISTA DE PRECIOS'!F710,"")</f>
        <v/>
      </c>
      <c r="G696" s="31" t="str">
        <f>IF('LISTA DE PRECIOS'!$H710&gt;0,'LISTA DE PRECIOS'!G710,"")</f>
        <v/>
      </c>
      <c r="H696" s="67" t="str">
        <f>IF('LISTA DE PRECIOS'!$H710&gt;0,'LISTA DE PRECIOS'!H710,"")</f>
        <v/>
      </c>
      <c r="I696" s="31" t="str">
        <f t="shared" si="9"/>
        <v/>
      </c>
    </row>
    <row r="697" spans="1:9">
      <c r="A697" t="str">
        <f>IF('LISTA DE PRECIOS'!$H711&gt;0,'LISTA DE PRECIOS'!A711,"")</f>
        <v/>
      </c>
      <c r="B697" t="str">
        <f>IF('LISTA DE PRECIOS'!$H711&gt;0,'LISTA DE PRECIOS'!B711,"")</f>
        <v/>
      </c>
      <c r="C697" t="str">
        <f>IF('LISTA DE PRECIOS'!$H711&gt;0,'LISTA DE PRECIOS'!C711,"")</f>
        <v/>
      </c>
      <c r="D697" s="67" t="str">
        <f>IF('LISTA DE PRECIOS'!$H711&gt;0,'LISTA DE PRECIOS'!D711,"")</f>
        <v/>
      </c>
      <c r="E697" t="str">
        <f>IF('LISTA DE PRECIOS'!$H711&gt;0,'LISTA DE PRECIOS'!E711,"")</f>
        <v/>
      </c>
      <c r="F697" t="str">
        <f>IF('LISTA DE PRECIOS'!$H711&gt;0,'LISTA DE PRECIOS'!F711,"")</f>
        <v/>
      </c>
      <c r="G697" s="31" t="str">
        <f>IF('LISTA DE PRECIOS'!$H711&gt;0,'LISTA DE PRECIOS'!G711,"")</f>
        <v/>
      </c>
      <c r="H697" s="67" t="str">
        <f>IF('LISTA DE PRECIOS'!$H711&gt;0,'LISTA DE PRECIOS'!H711,"")</f>
        <v/>
      </c>
      <c r="I697" s="31" t="str">
        <f t="shared" si="9"/>
        <v/>
      </c>
    </row>
    <row r="698" spans="1:9">
      <c r="A698" t="str">
        <f>IF('LISTA DE PRECIOS'!$H712&gt;0,'LISTA DE PRECIOS'!A712,"")</f>
        <v/>
      </c>
      <c r="B698" t="str">
        <f>IF('LISTA DE PRECIOS'!$H712&gt;0,'LISTA DE PRECIOS'!B712,"")</f>
        <v/>
      </c>
      <c r="C698" t="str">
        <f>IF('LISTA DE PRECIOS'!$H712&gt;0,'LISTA DE PRECIOS'!C712,"")</f>
        <v/>
      </c>
      <c r="D698" s="67" t="str">
        <f>IF('LISTA DE PRECIOS'!$H712&gt;0,'LISTA DE PRECIOS'!D712,"")</f>
        <v/>
      </c>
      <c r="E698" t="str">
        <f>IF('LISTA DE PRECIOS'!$H712&gt;0,'LISTA DE PRECIOS'!E712,"")</f>
        <v/>
      </c>
      <c r="F698" t="str">
        <f>IF('LISTA DE PRECIOS'!$H712&gt;0,'LISTA DE PRECIOS'!F712,"")</f>
        <v/>
      </c>
      <c r="G698" s="31" t="str">
        <f>IF('LISTA DE PRECIOS'!$H712&gt;0,'LISTA DE PRECIOS'!G712,"")</f>
        <v/>
      </c>
      <c r="H698" s="67" t="str">
        <f>IF('LISTA DE PRECIOS'!$H712&gt;0,'LISTA DE PRECIOS'!H712,"")</f>
        <v/>
      </c>
      <c r="I698" s="31" t="str">
        <f t="shared" si="9"/>
        <v/>
      </c>
    </row>
    <row r="699" spans="1:9">
      <c r="A699" t="str">
        <f>IF('LISTA DE PRECIOS'!$H713&gt;0,'LISTA DE PRECIOS'!A713,"")</f>
        <v/>
      </c>
      <c r="B699" t="str">
        <f>IF('LISTA DE PRECIOS'!$H713&gt;0,'LISTA DE PRECIOS'!B713,"")</f>
        <v/>
      </c>
      <c r="C699" t="str">
        <f>IF('LISTA DE PRECIOS'!$H713&gt;0,'LISTA DE PRECIOS'!C713,"")</f>
        <v/>
      </c>
      <c r="D699" s="67" t="str">
        <f>IF('LISTA DE PRECIOS'!$H713&gt;0,'LISTA DE PRECIOS'!D713,"")</f>
        <v/>
      </c>
      <c r="E699" t="str">
        <f>IF('LISTA DE PRECIOS'!$H713&gt;0,'LISTA DE PRECIOS'!E713,"")</f>
        <v/>
      </c>
      <c r="F699" t="str">
        <f>IF('LISTA DE PRECIOS'!$H713&gt;0,'LISTA DE PRECIOS'!F713,"")</f>
        <v/>
      </c>
      <c r="G699" s="31" t="str">
        <f>IF('LISTA DE PRECIOS'!$H713&gt;0,'LISTA DE PRECIOS'!G713,"")</f>
        <v/>
      </c>
      <c r="H699" s="67" t="str">
        <f>IF('LISTA DE PRECIOS'!$H713&gt;0,'LISTA DE PRECIOS'!H713,"")</f>
        <v/>
      </c>
      <c r="I699" s="31" t="str">
        <f t="shared" si="9"/>
        <v/>
      </c>
    </row>
    <row r="700" spans="1:9">
      <c r="A700" t="str">
        <f>IF('LISTA DE PRECIOS'!$H714&gt;0,'LISTA DE PRECIOS'!A714,"")</f>
        <v/>
      </c>
      <c r="B700" t="str">
        <f>IF('LISTA DE PRECIOS'!$H714&gt;0,'LISTA DE PRECIOS'!B714,"")</f>
        <v/>
      </c>
      <c r="C700" t="str">
        <f>IF('LISTA DE PRECIOS'!$H714&gt;0,'LISTA DE PRECIOS'!C714,"")</f>
        <v/>
      </c>
      <c r="D700" s="67" t="str">
        <f>IF('LISTA DE PRECIOS'!$H714&gt;0,'LISTA DE PRECIOS'!D714,"")</f>
        <v/>
      </c>
      <c r="E700" t="str">
        <f>IF('LISTA DE PRECIOS'!$H714&gt;0,'LISTA DE PRECIOS'!E714,"")</f>
        <v/>
      </c>
      <c r="F700" t="str">
        <f>IF('LISTA DE PRECIOS'!$H714&gt;0,'LISTA DE PRECIOS'!F714,"")</f>
        <v/>
      </c>
      <c r="G700" s="31" t="str">
        <f>IF('LISTA DE PRECIOS'!$H714&gt;0,'LISTA DE PRECIOS'!G714,"")</f>
        <v/>
      </c>
      <c r="H700" s="67" t="str">
        <f>IF('LISTA DE PRECIOS'!$H714&gt;0,'LISTA DE PRECIOS'!H714,"")</f>
        <v/>
      </c>
      <c r="I700" s="31" t="str">
        <f t="shared" si="9"/>
        <v/>
      </c>
    </row>
    <row r="701" spans="1:9">
      <c r="A701" t="str">
        <f>IF('LISTA DE PRECIOS'!$H715&gt;0,'LISTA DE PRECIOS'!A715,"")</f>
        <v/>
      </c>
      <c r="B701" t="str">
        <f>IF('LISTA DE PRECIOS'!$H715&gt;0,'LISTA DE PRECIOS'!B715,"")</f>
        <v/>
      </c>
      <c r="C701" t="str">
        <f>IF('LISTA DE PRECIOS'!$H715&gt;0,'LISTA DE PRECIOS'!C715,"")</f>
        <v/>
      </c>
      <c r="D701" s="67" t="str">
        <f>IF('LISTA DE PRECIOS'!$H715&gt;0,'LISTA DE PRECIOS'!D715,"")</f>
        <v/>
      </c>
      <c r="E701" t="str">
        <f>IF('LISTA DE PRECIOS'!$H715&gt;0,'LISTA DE PRECIOS'!E715,"")</f>
        <v/>
      </c>
      <c r="F701" t="str">
        <f>IF('LISTA DE PRECIOS'!$H715&gt;0,'LISTA DE PRECIOS'!F715,"")</f>
        <v/>
      </c>
      <c r="G701" s="31" t="str">
        <f>IF('LISTA DE PRECIOS'!$H715&gt;0,'LISTA DE PRECIOS'!G715,"")</f>
        <v/>
      </c>
      <c r="H701" s="67" t="str">
        <f>IF('LISTA DE PRECIOS'!$H715&gt;0,'LISTA DE PRECIOS'!H715,"")</f>
        <v/>
      </c>
      <c r="I701" s="31" t="str">
        <f t="shared" si="9"/>
        <v/>
      </c>
    </row>
    <row r="702" spans="1:9">
      <c r="A702" t="str">
        <f>IF('LISTA DE PRECIOS'!$H716&gt;0,'LISTA DE PRECIOS'!A716,"")</f>
        <v/>
      </c>
      <c r="B702" t="str">
        <f>IF('LISTA DE PRECIOS'!$H716&gt;0,'LISTA DE PRECIOS'!B716,"")</f>
        <v/>
      </c>
      <c r="C702" t="str">
        <f>IF('LISTA DE PRECIOS'!$H716&gt;0,'LISTA DE PRECIOS'!C716,"")</f>
        <v/>
      </c>
      <c r="D702" s="67" t="str">
        <f>IF('LISTA DE PRECIOS'!$H716&gt;0,'LISTA DE PRECIOS'!D716,"")</f>
        <v/>
      </c>
      <c r="E702" t="str">
        <f>IF('LISTA DE PRECIOS'!$H716&gt;0,'LISTA DE PRECIOS'!E716,"")</f>
        <v/>
      </c>
      <c r="F702" t="str">
        <f>IF('LISTA DE PRECIOS'!$H716&gt;0,'LISTA DE PRECIOS'!F716,"")</f>
        <v/>
      </c>
      <c r="G702" s="31" t="str">
        <f>IF('LISTA DE PRECIOS'!$H716&gt;0,'LISTA DE PRECIOS'!G716,"")</f>
        <v/>
      </c>
      <c r="H702" s="67" t="str">
        <f>IF('LISTA DE PRECIOS'!$H716&gt;0,'LISTA DE PRECIOS'!H716,"")</f>
        <v/>
      </c>
      <c r="I702" s="31" t="str">
        <f t="shared" si="9"/>
        <v/>
      </c>
    </row>
    <row r="703" spans="1:9">
      <c r="A703" t="str">
        <f>IF('LISTA DE PRECIOS'!$H717&gt;0,'LISTA DE PRECIOS'!A717,"")</f>
        <v/>
      </c>
      <c r="B703" t="str">
        <f>IF('LISTA DE PRECIOS'!$H717&gt;0,'LISTA DE PRECIOS'!B717,"")</f>
        <v/>
      </c>
      <c r="C703" t="str">
        <f>IF('LISTA DE PRECIOS'!$H717&gt;0,'LISTA DE PRECIOS'!C717,"")</f>
        <v/>
      </c>
      <c r="D703" s="67" t="str">
        <f>IF('LISTA DE PRECIOS'!$H717&gt;0,'LISTA DE PRECIOS'!D717,"")</f>
        <v/>
      </c>
      <c r="E703" t="str">
        <f>IF('LISTA DE PRECIOS'!$H717&gt;0,'LISTA DE PRECIOS'!E717,"")</f>
        <v/>
      </c>
      <c r="F703" t="str">
        <f>IF('LISTA DE PRECIOS'!$H717&gt;0,'LISTA DE PRECIOS'!F717,"")</f>
        <v/>
      </c>
      <c r="G703" s="31" t="str">
        <f>IF('LISTA DE PRECIOS'!$H717&gt;0,'LISTA DE PRECIOS'!G717,"")</f>
        <v/>
      </c>
      <c r="H703" s="67" t="str">
        <f>IF('LISTA DE PRECIOS'!$H717&gt;0,'LISTA DE PRECIOS'!H717,"")</f>
        <v/>
      </c>
      <c r="I703" s="31" t="str">
        <f t="shared" si="9"/>
        <v/>
      </c>
    </row>
    <row r="704" spans="1:9">
      <c r="A704" t="str">
        <f>IF('LISTA DE PRECIOS'!$H718&gt;0,'LISTA DE PRECIOS'!A718,"")</f>
        <v/>
      </c>
      <c r="B704" t="str">
        <f>IF('LISTA DE PRECIOS'!$H718&gt;0,'LISTA DE PRECIOS'!B718,"")</f>
        <v/>
      </c>
      <c r="C704" t="str">
        <f>IF('LISTA DE PRECIOS'!$H718&gt;0,'LISTA DE PRECIOS'!C718,"")</f>
        <v/>
      </c>
      <c r="D704" s="67" t="str">
        <f>IF('LISTA DE PRECIOS'!$H718&gt;0,'LISTA DE PRECIOS'!D718,"")</f>
        <v/>
      </c>
      <c r="E704" t="str">
        <f>IF('LISTA DE PRECIOS'!$H718&gt;0,'LISTA DE PRECIOS'!E718,"")</f>
        <v/>
      </c>
      <c r="F704" t="str">
        <f>IF('LISTA DE PRECIOS'!$H718&gt;0,'LISTA DE PRECIOS'!F718,"")</f>
        <v/>
      </c>
      <c r="G704" s="31" t="str">
        <f>IF('LISTA DE PRECIOS'!$H718&gt;0,'LISTA DE PRECIOS'!G718,"")</f>
        <v/>
      </c>
      <c r="H704" s="67" t="str">
        <f>IF('LISTA DE PRECIOS'!$H718&gt;0,'LISTA DE PRECIOS'!H718,"")</f>
        <v/>
      </c>
      <c r="I704" s="31" t="str">
        <f t="shared" si="9"/>
        <v/>
      </c>
    </row>
    <row r="705" spans="1:9">
      <c r="A705" t="str">
        <f>IF('LISTA DE PRECIOS'!$H719&gt;0,'LISTA DE PRECIOS'!A719,"")</f>
        <v/>
      </c>
      <c r="B705" t="str">
        <f>IF('LISTA DE PRECIOS'!$H719&gt;0,'LISTA DE PRECIOS'!B719,"")</f>
        <v/>
      </c>
      <c r="C705" t="str">
        <f>IF('LISTA DE PRECIOS'!$H719&gt;0,'LISTA DE PRECIOS'!C719,"")</f>
        <v/>
      </c>
      <c r="D705" s="67" t="str">
        <f>IF('LISTA DE PRECIOS'!$H719&gt;0,'LISTA DE PRECIOS'!D719,"")</f>
        <v/>
      </c>
      <c r="E705" t="str">
        <f>IF('LISTA DE PRECIOS'!$H719&gt;0,'LISTA DE PRECIOS'!E719,"")</f>
        <v/>
      </c>
      <c r="F705" t="str">
        <f>IF('LISTA DE PRECIOS'!$H719&gt;0,'LISTA DE PRECIOS'!F719,"")</f>
        <v/>
      </c>
      <c r="G705" s="31" t="str">
        <f>IF('LISTA DE PRECIOS'!$H719&gt;0,'LISTA DE PRECIOS'!G719,"")</f>
        <v/>
      </c>
      <c r="H705" s="67" t="str">
        <f>IF('LISTA DE PRECIOS'!$H719&gt;0,'LISTA DE PRECIOS'!H719,"")</f>
        <v/>
      </c>
      <c r="I705" s="31" t="str">
        <f t="shared" si="9"/>
        <v/>
      </c>
    </row>
    <row r="706" spans="1:9">
      <c r="A706" t="str">
        <f>IF('LISTA DE PRECIOS'!$H720&gt;0,'LISTA DE PRECIOS'!A720,"")</f>
        <v/>
      </c>
      <c r="B706" t="str">
        <f>IF('LISTA DE PRECIOS'!$H720&gt;0,'LISTA DE PRECIOS'!B720,"")</f>
        <v/>
      </c>
      <c r="C706" t="str">
        <f>IF('LISTA DE PRECIOS'!$H720&gt;0,'LISTA DE PRECIOS'!C720,"")</f>
        <v/>
      </c>
      <c r="D706" s="67" t="str">
        <f>IF('LISTA DE PRECIOS'!$H720&gt;0,'LISTA DE PRECIOS'!D720,"")</f>
        <v/>
      </c>
      <c r="E706" t="str">
        <f>IF('LISTA DE PRECIOS'!$H720&gt;0,'LISTA DE PRECIOS'!E720,"")</f>
        <v/>
      </c>
      <c r="F706" t="str">
        <f>IF('LISTA DE PRECIOS'!$H720&gt;0,'LISTA DE PRECIOS'!F720,"")</f>
        <v/>
      </c>
      <c r="G706" s="31" t="str">
        <f>IF('LISTA DE PRECIOS'!$H720&gt;0,'LISTA DE PRECIOS'!G720,"")</f>
        <v/>
      </c>
      <c r="H706" s="67" t="str">
        <f>IF('LISTA DE PRECIOS'!$H720&gt;0,'LISTA DE PRECIOS'!H720,"")</f>
        <v/>
      </c>
      <c r="I706" s="31" t="str">
        <f t="shared" si="9"/>
        <v/>
      </c>
    </row>
    <row r="707" spans="1:9">
      <c r="A707" t="str">
        <f>IF('LISTA DE PRECIOS'!$H721&gt;0,'LISTA DE PRECIOS'!A721,"")</f>
        <v/>
      </c>
      <c r="B707" t="str">
        <f>IF('LISTA DE PRECIOS'!$H721&gt;0,'LISTA DE PRECIOS'!B721,"")</f>
        <v/>
      </c>
      <c r="C707" t="str">
        <f>IF('LISTA DE PRECIOS'!$H721&gt;0,'LISTA DE PRECIOS'!C721,"")</f>
        <v/>
      </c>
      <c r="D707" s="67" t="str">
        <f>IF('LISTA DE PRECIOS'!$H721&gt;0,'LISTA DE PRECIOS'!D721,"")</f>
        <v/>
      </c>
      <c r="E707" t="str">
        <f>IF('LISTA DE PRECIOS'!$H721&gt;0,'LISTA DE PRECIOS'!E721,"")</f>
        <v/>
      </c>
      <c r="F707" t="str">
        <f>IF('LISTA DE PRECIOS'!$H721&gt;0,'LISTA DE PRECIOS'!F721,"")</f>
        <v/>
      </c>
      <c r="G707" s="31" t="str">
        <f>IF('LISTA DE PRECIOS'!$H721&gt;0,'LISTA DE PRECIOS'!G721,"")</f>
        <v/>
      </c>
      <c r="H707" s="67" t="str">
        <f>IF('LISTA DE PRECIOS'!$H721&gt;0,'LISTA DE PRECIOS'!H721,"")</f>
        <v/>
      </c>
      <c r="I707" s="31" t="str">
        <f t="shared" si="9"/>
        <v/>
      </c>
    </row>
    <row r="708" spans="1:9">
      <c r="A708" t="str">
        <f>IF('LISTA DE PRECIOS'!$H722&gt;0,'LISTA DE PRECIOS'!A722,"")</f>
        <v/>
      </c>
      <c r="B708" t="str">
        <f>IF('LISTA DE PRECIOS'!$H722&gt;0,'LISTA DE PRECIOS'!B722,"")</f>
        <v/>
      </c>
      <c r="C708" t="str">
        <f>IF('LISTA DE PRECIOS'!$H722&gt;0,'LISTA DE PRECIOS'!C722,"")</f>
        <v/>
      </c>
      <c r="D708" s="67" t="str">
        <f>IF('LISTA DE PRECIOS'!$H722&gt;0,'LISTA DE PRECIOS'!D722,"")</f>
        <v/>
      </c>
      <c r="E708" t="str">
        <f>IF('LISTA DE PRECIOS'!$H722&gt;0,'LISTA DE PRECIOS'!E722,"")</f>
        <v/>
      </c>
      <c r="F708" t="str">
        <f>IF('LISTA DE PRECIOS'!$H722&gt;0,'LISTA DE PRECIOS'!F722,"")</f>
        <v/>
      </c>
      <c r="G708" s="31" t="str">
        <f>IF('LISTA DE PRECIOS'!$H722&gt;0,'LISTA DE PRECIOS'!G722,"")</f>
        <v/>
      </c>
      <c r="H708" s="67" t="str">
        <f>IF('LISTA DE PRECIOS'!$H722&gt;0,'LISTA DE PRECIOS'!H722,"")</f>
        <v/>
      </c>
      <c r="I708" s="31" t="str">
        <f t="shared" si="9"/>
        <v/>
      </c>
    </row>
    <row r="709" spans="1:9">
      <c r="A709" t="str">
        <f>IF('LISTA DE PRECIOS'!$H723&gt;0,'LISTA DE PRECIOS'!A723,"")</f>
        <v/>
      </c>
      <c r="B709" t="str">
        <f>IF('LISTA DE PRECIOS'!$H723&gt;0,'LISTA DE PRECIOS'!B723,"")</f>
        <v/>
      </c>
      <c r="C709" t="str">
        <f>IF('LISTA DE PRECIOS'!$H723&gt;0,'LISTA DE PRECIOS'!C723,"")</f>
        <v/>
      </c>
      <c r="D709" s="67" t="str">
        <f>IF('LISTA DE PRECIOS'!$H723&gt;0,'LISTA DE PRECIOS'!D723,"")</f>
        <v/>
      </c>
      <c r="E709" t="str">
        <f>IF('LISTA DE PRECIOS'!$H723&gt;0,'LISTA DE PRECIOS'!E723,"")</f>
        <v/>
      </c>
      <c r="F709" t="str">
        <f>IF('LISTA DE PRECIOS'!$H723&gt;0,'LISTA DE PRECIOS'!F723,"")</f>
        <v/>
      </c>
      <c r="G709" s="31" t="str">
        <f>IF('LISTA DE PRECIOS'!$H723&gt;0,'LISTA DE PRECIOS'!G723,"")</f>
        <v/>
      </c>
      <c r="H709" s="67" t="str">
        <f>IF('LISTA DE PRECIOS'!$H723&gt;0,'LISTA DE PRECIOS'!H723,"")</f>
        <v/>
      </c>
      <c r="I709" s="31" t="str">
        <f t="shared" si="9"/>
        <v/>
      </c>
    </row>
    <row r="710" spans="1:9">
      <c r="A710" t="str">
        <f>IF('LISTA DE PRECIOS'!$H724&gt;0,'LISTA DE PRECIOS'!A724,"")</f>
        <v/>
      </c>
      <c r="B710" t="str">
        <f>IF('LISTA DE PRECIOS'!$H724&gt;0,'LISTA DE PRECIOS'!B724,"")</f>
        <v/>
      </c>
      <c r="C710" t="str">
        <f>IF('LISTA DE PRECIOS'!$H724&gt;0,'LISTA DE PRECIOS'!C724,"")</f>
        <v/>
      </c>
      <c r="D710" s="67" t="str">
        <f>IF('LISTA DE PRECIOS'!$H724&gt;0,'LISTA DE PRECIOS'!D724,"")</f>
        <v/>
      </c>
      <c r="E710" t="str">
        <f>IF('LISTA DE PRECIOS'!$H724&gt;0,'LISTA DE PRECIOS'!E724,"")</f>
        <v/>
      </c>
      <c r="F710" t="str">
        <f>IF('LISTA DE PRECIOS'!$H724&gt;0,'LISTA DE PRECIOS'!F724,"")</f>
        <v/>
      </c>
      <c r="G710" s="31" t="str">
        <f>IF('LISTA DE PRECIOS'!$H724&gt;0,'LISTA DE PRECIOS'!G724,"")</f>
        <v/>
      </c>
      <c r="H710" s="67" t="str">
        <f>IF('LISTA DE PRECIOS'!$H724&gt;0,'LISTA DE PRECIOS'!H724,"")</f>
        <v/>
      </c>
      <c r="I710" s="31" t="str">
        <f t="shared" si="9"/>
        <v/>
      </c>
    </row>
    <row r="711" spans="1:9">
      <c r="A711" t="str">
        <f>IF('LISTA DE PRECIOS'!$H725&gt;0,'LISTA DE PRECIOS'!A725,"")</f>
        <v/>
      </c>
      <c r="B711" t="str">
        <f>IF('LISTA DE PRECIOS'!$H725&gt;0,'LISTA DE PRECIOS'!B725,"")</f>
        <v/>
      </c>
      <c r="C711" t="str">
        <f>IF('LISTA DE PRECIOS'!$H725&gt;0,'LISTA DE PRECIOS'!C725,"")</f>
        <v/>
      </c>
      <c r="D711" s="67" t="str">
        <f>IF('LISTA DE PRECIOS'!$H725&gt;0,'LISTA DE PRECIOS'!D725,"")</f>
        <v/>
      </c>
      <c r="E711" t="str">
        <f>IF('LISTA DE PRECIOS'!$H725&gt;0,'LISTA DE PRECIOS'!E725,"")</f>
        <v/>
      </c>
      <c r="F711" t="str">
        <f>IF('LISTA DE PRECIOS'!$H725&gt;0,'LISTA DE PRECIOS'!F725,"")</f>
        <v/>
      </c>
      <c r="G711" s="31" t="str">
        <f>IF('LISTA DE PRECIOS'!$H725&gt;0,'LISTA DE PRECIOS'!G725,"")</f>
        <v/>
      </c>
      <c r="H711" s="67" t="str">
        <f>IF('LISTA DE PRECIOS'!$H725&gt;0,'LISTA DE PRECIOS'!H725,"")</f>
        <v/>
      </c>
      <c r="I711" s="31" t="str">
        <f t="shared" si="9"/>
        <v/>
      </c>
    </row>
    <row r="712" spans="1:9">
      <c r="A712" t="str">
        <f>IF('LISTA DE PRECIOS'!$H726&gt;0,'LISTA DE PRECIOS'!A726,"")</f>
        <v/>
      </c>
      <c r="B712" t="str">
        <f>IF('LISTA DE PRECIOS'!$H726&gt;0,'LISTA DE PRECIOS'!B726,"")</f>
        <v/>
      </c>
      <c r="C712" t="str">
        <f>IF('LISTA DE PRECIOS'!$H726&gt;0,'LISTA DE PRECIOS'!C726,"")</f>
        <v/>
      </c>
      <c r="D712" s="67" t="str">
        <f>IF('LISTA DE PRECIOS'!$H726&gt;0,'LISTA DE PRECIOS'!D726,"")</f>
        <v/>
      </c>
      <c r="E712" t="str">
        <f>IF('LISTA DE PRECIOS'!$H726&gt;0,'LISTA DE PRECIOS'!E726,"")</f>
        <v/>
      </c>
      <c r="F712" t="str">
        <f>IF('LISTA DE PRECIOS'!$H726&gt;0,'LISTA DE PRECIOS'!F726,"")</f>
        <v/>
      </c>
      <c r="G712" s="31" t="str">
        <f>IF('LISTA DE PRECIOS'!$H726&gt;0,'LISTA DE PRECIOS'!G726,"")</f>
        <v/>
      </c>
      <c r="H712" s="67" t="str">
        <f>IF('LISTA DE PRECIOS'!$H726&gt;0,'LISTA DE PRECIOS'!H726,"")</f>
        <v/>
      </c>
      <c r="I712" s="31" t="str">
        <f t="shared" si="9"/>
        <v/>
      </c>
    </row>
    <row r="713" spans="1:9">
      <c r="A713" t="str">
        <f>IF('LISTA DE PRECIOS'!$H727&gt;0,'LISTA DE PRECIOS'!A727,"")</f>
        <v/>
      </c>
      <c r="B713" t="str">
        <f>IF('LISTA DE PRECIOS'!$H727&gt;0,'LISTA DE PRECIOS'!B727,"")</f>
        <v/>
      </c>
      <c r="C713" t="str">
        <f>IF('LISTA DE PRECIOS'!$H727&gt;0,'LISTA DE PRECIOS'!C727,"")</f>
        <v/>
      </c>
      <c r="D713" s="67" t="str">
        <f>IF('LISTA DE PRECIOS'!$H727&gt;0,'LISTA DE PRECIOS'!D727,"")</f>
        <v/>
      </c>
      <c r="E713" t="str">
        <f>IF('LISTA DE PRECIOS'!$H727&gt;0,'LISTA DE PRECIOS'!E727,"")</f>
        <v/>
      </c>
      <c r="F713" t="str">
        <f>IF('LISTA DE PRECIOS'!$H727&gt;0,'LISTA DE PRECIOS'!F727,"")</f>
        <v/>
      </c>
      <c r="G713" s="31" t="str">
        <f>IF('LISTA DE PRECIOS'!$H727&gt;0,'LISTA DE PRECIOS'!G727,"")</f>
        <v/>
      </c>
      <c r="H713" s="67" t="str">
        <f>IF('LISTA DE PRECIOS'!$H727&gt;0,'LISTA DE PRECIOS'!H727,"")</f>
        <v/>
      </c>
      <c r="I713" s="31" t="str">
        <f t="shared" si="9"/>
        <v/>
      </c>
    </row>
    <row r="714" spans="1:9">
      <c r="A714" t="str">
        <f>IF('LISTA DE PRECIOS'!$H728&gt;0,'LISTA DE PRECIOS'!A728,"")</f>
        <v/>
      </c>
      <c r="B714" t="str">
        <f>IF('LISTA DE PRECIOS'!$H728&gt;0,'LISTA DE PRECIOS'!B728,"")</f>
        <v/>
      </c>
      <c r="C714" t="str">
        <f>IF('LISTA DE PRECIOS'!$H728&gt;0,'LISTA DE PRECIOS'!C728,"")</f>
        <v/>
      </c>
      <c r="D714" s="67" t="str">
        <f>IF('LISTA DE PRECIOS'!$H728&gt;0,'LISTA DE PRECIOS'!D728,"")</f>
        <v/>
      </c>
      <c r="E714" t="str">
        <f>IF('LISTA DE PRECIOS'!$H728&gt;0,'LISTA DE PRECIOS'!E728,"")</f>
        <v/>
      </c>
      <c r="F714" t="str">
        <f>IF('LISTA DE PRECIOS'!$H728&gt;0,'LISTA DE PRECIOS'!F728,"")</f>
        <v/>
      </c>
      <c r="G714" s="31" t="str">
        <f>IF('LISTA DE PRECIOS'!$H728&gt;0,'LISTA DE PRECIOS'!G728,"")</f>
        <v/>
      </c>
      <c r="H714" s="67" t="str">
        <f>IF('LISTA DE PRECIOS'!$H728&gt;0,'LISTA DE PRECIOS'!H728,"")</f>
        <v/>
      </c>
      <c r="I714" s="31" t="str">
        <f t="shared" si="9"/>
        <v/>
      </c>
    </row>
    <row r="715" spans="1:9">
      <c r="A715" t="str">
        <f>IF('LISTA DE PRECIOS'!$H729&gt;0,'LISTA DE PRECIOS'!A729,"")</f>
        <v/>
      </c>
      <c r="B715" t="str">
        <f>IF('LISTA DE PRECIOS'!$H729&gt;0,'LISTA DE PRECIOS'!B729,"")</f>
        <v/>
      </c>
      <c r="C715" t="str">
        <f>IF('LISTA DE PRECIOS'!$H729&gt;0,'LISTA DE PRECIOS'!C729,"")</f>
        <v/>
      </c>
      <c r="D715" s="67" t="str">
        <f>IF('LISTA DE PRECIOS'!$H729&gt;0,'LISTA DE PRECIOS'!D729,"")</f>
        <v/>
      </c>
      <c r="E715" t="str">
        <f>IF('LISTA DE PRECIOS'!$H729&gt;0,'LISTA DE PRECIOS'!E729,"")</f>
        <v/>
      </c>
      <c r="F715" t="str">
        <f>IF('LISTA DE PRECIOS'!$H729&gt;0,'LISTA DE PRECIOS'!F729,"")</f>
        <v/>
      </c>
      <c r="G715" s="31" t="str">
        <f>IF('LISTA DE PRECIOS'!$H729&gt;0,'LISTA DE PRECIOS'!G729,"")</f>
        <v/>
      </c>
      <c r="H715" s="67" t="str">
        <f>IF('LISTA DE PRECIOS'!$H729&gt;0,'LISTA DE PRECIOS'!H729,"")</f>
        <v/>
      </c>
      <c r="I715" s="31" t="str">
        <f t="shared" si="9"/>
        <v/>
      </c>
    </row>
    <row r="716" spans="1:9">
      <c r="A716" t="str">
        <f>IF('LISTA DE PRECIOS'!$H730&gt;0,'LISTA DE PRECIOS'!A730,"")</f>
        <v/>
      </c>
      <c r="B716" t="str">
        <f>IF('LISTA DE PRECIOS'!$H730&gt;0,'LISTA DE PRECIOS'!B730,"")</f>
        <v/>
      </c>
      <c r="C716" t="str">
        <f>IF('LISTA DE PRECIOS'!$H730&gt;0,'LISTA DE PRECIOS'!C730,"")</f>
        <v/>
      </c>
      <c r="D716" s="67" t="str">
        <f>IF('LISTA DE PRECIOS'!$H730&gt;0,'LISTA DE PRECIOS'!D730,"")</f>
        <v/>
      </c>
      <c r="E716" t="str">
        <f>IF('LISTA DE PRECIOS'!$H730&gt;0,'LISTA DE PRECIOS'!E730,"")</f>
        <v/>
      </c>
      <c r="F716" t="str">
        <f>IF('LISTA DE PRECIOS'!$H730&gt;0,'LISTA DE PRECIOS'!F730,"")</f>
        <v/>
      </c>
      <c r="G716" s="31" t="str">
        <f>IF('LISTA DE PRECIOS'!$H730&gt;0,'LISTA DE PRECIOS'!G730,"")</f>
        <v/>
      </c>
      <c r="H716" s="67" t="str">
        <f>IF('LISTA DE PRECIOS'!$H730&gt;0,'LISTA DE PRECIOS'!H730,"")</f>
        <v/>
      </c>
      <c r="I716" s="31" t="str">
        <f t="shared" si="9"/>
        <v/>
      </c>
    </row>
    <row r="717" spans="1:9">
      <c r="A717" t="str">
        <f>IF('LISTA DE PRECIOS'!$H731&gt;0,'LISTA DE PRECIOS'!A731,"")</f>
        <v/>
      </c>
      <c r="B717" t="str">
        <f>IF('LISTA DE PRECIOS'!$H731&gt;0,'LISTA DE PRECIOS'!B731,"")</f>
        <v/>
      </c>
      <c r="C717" t="str">
        <f>IF('LISTA DE PRECIOS'!$H731&gt;0,'LISTA DE PRECIOS'!C731,"")</f>
        <v/>
      </c>
      <c r="D717" s="67" t="str">
        <f>IF('LISTA DE PRECIOS'!$H731&gt;0,'LISTA DE PRECIOS'!D731,"")</f>
        <v/>
      </c>
      <c r="E717" t="str">
        <f>IF('LISTA DE PRECIOS'!$H731&gt;0,'LISTA DE PRECIOS'!E731,"")</f>
        <v/>
      </c>
      <c r="F717" t="str">
        <f>IF('LISTA DE PRECIOS'!$H731&gt;0,'LISTA DE PRECIOS'!F731,"")</f>
        <v/>
      </c>
      <c r="G717" s="31" t="str">
        <f>IF('LISTA DE PRECIOS'!$H731&gt;0,'LISTA DE PRECIOS'!G731,"")</f>
        <v/>
      </c>
      <c r="H717" s="67" t="str">
        <f>IF('LISTA DE PRECIOS'!$H731&gt;0,'LISTA DE PRECIOS'!H731,"")</f>
        <v/>
      </c>
      <c r="I717" s="31" t="str">
        <f t="shared" si="9"/>
        <v/>
      </c>
    </row>
    <row r="718" spans="1:9">
      <c r="A718" t="str">
        <f>IF('LISTA DE PRECIOS'!$H732&gt;0,'LISTA DE PRECIOS'!A732,"")</f>
        <v/>
      </c>
      <c r="B718" t="str">
        <f>IF('LISTA DE PRECIOS'!$H732&gt;0,'LISTA DE PRECIOS'!B732,"")</f>
        <v/>
      </c>
      <c r="C718" t="str">
        <f>IF('LISTA DE PRECIOS'!$H732&gt;0,'LISTA DE PRECIOS'!C732,"")</f>
        <v/>
      </c>
      <c r="D718" s="67" t="str">
        <f>IF('LISTA DE PRECIOS'!$H732&gt;0,'LISTA DE PRECIOS'!D732,"")</f>
        <v/>
      </c>
      <c r="E718" t="str">
        <f>IF('LISTA DE PRECIOS'!$H732&gt;0,'LISTA DE PRECIOS'!E732,"")</f>
        <v/>
      </c>
      <c r="F718" t="str">
        <f>IF('LISTA DE PRECIOS'!$H732&gt;0,'LISTA DE PRECIOS'!F732,"")</f>
        <v/>
      </c>
      <c r="G718" s="31" t="str">
        <f>IF('LISTA DE PRECIOS'!$H732&gt;0,'LISTA DE PRECIOS'!G732,"")</f>
        <v/>
      </c>
      <c r="H718" s="67" t="str">
        <f>IF('LISTA DE PRECIOS'!$H732&gt;0,'LISTA DE PRECIOS'!H732,"")</f>
        <v/>
      </c>
      <c r="I718" s="31" t="str">
        <f t="shared" si="9"/>
        <v/>
      </c>
    </row>
    <row r="719" spans="1:9">
      <c r="A719" t="str">
        <f>IF('LISTA DE PRECIOS'!$H733&gt;0,'LISTA DE PRECIOS'!A733,"")</f>
        <v/>
      </c>
      <c r="B719" t="str">
        <f>IF('LISTA DE PRECIOS'!$H733&gt;0,'LISTA DE PRECIOS'!B733,"")</f>
        <v/>
      </c>
      <c r="C719" t="str">
        <f>IF('LISTA DE PRECIOS'!$H733&gt;0,'LISTA DE PRECIOS'!C733,"")</f>
        <v/>
      </c>
      <c r="D719" s="67" t="str">
        <f>IF('LISTA DE PRECIOS'!$H733&gt;0,'LISTA DE PRECIOS'!D733,"")</f>
        <v/>
      </c>
      <c r="E719" t="str">
        <f>IF('LISTA DE PRECIOS'!$H733&gt;0,'LISTA DE PRECIOS'!E733,"")</f>
        <v/>
      </c>
      <c r="F719" t="str">
        <f>IF('LISTA DE PRECIOS'!$H733&gt;0,'LISTA DE PRECIOS'!F733,"")</f>
        <v/>
      </c>
      <c r="G719" s="31" t="str">
        <f>IF('LISTA DE PRECIOS'!$H733&gt;0,'LISTA DE PRECIOS'!G733,"")</f>
        <v/>
      </c>
      <c r="H719" s="67" t="str">
        <f>IF('LISTA DE PRECIOS'!$H733&gt;0,'LISTA DE PRECIOS'!H733,"")</f>
        <v/>
      </c>
      <c r="I719" s="31" t="str">
        <f t="shared" si="9"/>
        <v/>
      </c>
    </row>
    <row r="720" spans="1:9">
      <c r="A720" t="str">
        <f>IF('LISTA DE PRECIOS'!$H734&gt;0,'LISTA DE PRECIOS'!A734,"")</f>
        <v/>
      </c>
      <c r="B720" t="str">
        <f>IF('LISTA DE PRECIOS'!$H734&gt;0,'LISTA DE PRECIOS'!B734,"")</f>
        <v/>
      </c>
      <c r="C720" t="str">
        <f>IF('LISTA DE PRECIOS'!$H734&gt;0,'LISTA DE PRECIOS'!C734,"")</f>
        <v/>
      </c>
      <c r="D720" s="67" t="str">
        <f>IF('LISTA DE PRECIOS'!$H734&gt;0,'LISTA DE PRECIOS'!D734,"")</f>
        <v/>
      </c>
      <c r="E720" t="str">
        <f>IF('LISTA DE PRECIOS'!$H734&gt;0,'LISTA DE PRECIOS'!E734,"")</f>
        <v/>
      </c>
      <c r="F720" t="str">
        <f>IF('LISTA DE PRECIOS'!$H734&gt;0,'LISTA DE PRECIOS'!F734,"")</f>
        <v/>
      </c>
      <c r="G720" s="31" t="str">
        <f>IF('LISTA DE PRECIOS'!$H734&gt;0,'LISTA DE PRECIOS'!G734,"")</f>
        <v/>
      </c>
      <c r="H720" s="67" t="str">
        <f>IF('LISTA DE PRECIOS'!$H734&gt;0,'LISTA DE PRECIOS'!H734,"")</f>
        <v/>
      </c>
      <c r="I720" s="31" t="str">
        <f t="shared" si="9"/>
        <v/>
      </c>
    </row>
    <row r="721" spans="1:9">
      <c r="A721" t="str">
        <f>IF('LISTA DE PRECIOS'!$H735&gt;0,'LISTA DE PRECIOS'!A735,"")</f>
        <v/>
      </c>
      <c r="B721" t="str">
        <f>IF('LISTA DE PRECIOS'!$H735&gt;0,'LISTA DE PRECIOS'!B735,"")</f>
        <v/>
      </c>
      <c r="C721" t="str">
        <f>IF('LISTA DE PRECIOS'!$H735&gt;0,'LISTA DE PRECIOS'!C735,"")</f>
        <v/>
      </c>
      <c r="D721" s="67" t="str">
        <f>IF('LISTA DE PRECIOS'!$H735&gt;0,'LISTA DE PRECIOS'!D735,"")</f>
        <v/>
      </c>
      <c r="E721" t="str">
        <f>IF('LISTA DE PRECIOS'!$H735&gt;0,'LISTA DE PRECIOS'!E735,"")</f>
        <v/>
      </c>
      <c r="F721" t="str">
        <f>IF('LISTA DE PRECIOS'!$H735&gt;0,'LISTA DE PRECIOS'!F735,"")</f>
        <v/>
      </c>
      <c r="G721" s="31" t="str">
        <f>IF('LISTA DE PRECIOS'!$H735&gt;0,'LISTA DE PRECIOS'!G735,"")</f>
        <v/>
      </c>
      <c r="H721" s="67" t="str">
        <f>IF('LISTA DE PRECIOS'!$H735&gt;0,'LISTA DE PRECIOS'!H735,"")</f>
        <v/>
      </c>
      <c r="I721" s="31" t="str">
        <f t="shared" ref="I721:I784" si="10">IF(OR(G721="",H721=""),"",G721*H721)</f>
        <v/>
      </c>
    </row>
    <row r="722" spans="1:9">
      <c r="A722" t="str">
        <f>IF('LISTA DE PRECIOS'!$H736&gt;0,'LISTA DE PRECIOS'!A736,"")</f>
        <v/>
      </c>
      <c r="B722" t="str">
        <f>IF('LISTA DE PRECIOS'!$H736&gt;0,'LISTA DE PRECIOS'!B736,"")</f>
        <v/>
      </c>
      <c r="C722" t="str">
        <f>IF('LISTA DE PRECIOS'!$H736&gt;0,'LISTA DE PRECIOS'!C736,"")</f>
        <v/>
      </c>
      <c r="D722" s="67" t="str">
        <f>IF('LISTA DE PRECIOS'!$H736&gt;0,'LISTA DE PRECIOS'!D736,"")</f>
        <v/>
      </c>
      <c r="E722" t="str">
        <f>IF('LISTA DE PRECIOS'!$H736&gt;0,'LISTA DE PRECIOS'!E736,"")</f>
        <v/>
      </c>
      <c r="F722" t="str">
        <f>IF('LISTA DE PRECIOS'!$H736&gt;0,'LISTA DE PRECIOS'!F736,"")</f>
        <v/>
      </c>
      <c r="G722" s="31" t="str">
        <f>IF('LISTA DE PRECIOS'!$H736&gt;0,'LISTA DE PRECIOS'!G736,"")</f>
        <v/>
      </c>
      <c r="H722" s="67" t="str">
        <f>IF('LISTA DE PRECIOS'!$H736&gt;0,'LISTA DE PRECIOS'!H736,"")</f>
        <v/>
      </c>
      <c r="I722" s="31" t="str">
        <f t="shared" si="10"/>
        <v/>
      </c>
    </row>
    <row r="723" spans="1:9">
      <c r="A723" t="str">
        <f>IF('LISTA DE PRECIOS'!$H737&gt;0,'LISTA DE PRECIOS'!A737,"")</f>
        <v/>
      </c>
      <c r="B723" t="str">
        <f>IF('LISTA DE PRECIOS'!$H737&gt;0,'LISTA DE PRECIOS'!B737,"")</f>
        <v/>
      </c>
      <c r="C723" t="str">
        <f>IF('LISTA DE PRECIOS'!$H737&gt;0,'LISTA DE PRECIOS'!C737,"")</f>
        <v/>
      </c>
      <c r="D723" s="67" t="str">
        <f>IF('LISTA DE PRECIOS'!$H737&gt;0,'LISTA DE PRECIOS'!D737,"")</f>
        <v/>
      </c>
      <c r="E723" t="str">
        <f>IF('LISTA DE PRECIOS'!$H737&gt;0,'LISTA DE PRECIOS'!E737,"")</f>
        <v/>
      </c>
      <c r="F723" t="str">
        <f>IF('LISTA DE PRECIOS'!$H737&gt;0,'LISTA DE PRECIOS'!F737,"")</f>
        <v/>
      </c>
      <c r="G723" s="31" t="str">
        <f>IF('LISTA DE PRECIOS'!$H737&gt;0,'LISTA DE PRECIOS'!G737,"")</f>
        <v/>
      </c>
      <c r="H723" s="67" t="str">
        <f>IF('LISTA DE PRECIOS'!$H737&gt;0,'LISTA DE PRECIOS'!H737,"")</f>
        <v/>
      </c>
      <c r="I723" s="31" t="str">
        <f t="shared" si="10"/>
        <v/>
      </c>
    </row>
    <row r="724" spans="1:9">
      <c r="A724" t="str">
        <f>IF('LISTA DE PRECIOS'!$H738&gt;0,'LISTA DE PRECIOS'!A738,"")</f>
        <v/>
      </c>
      <c r="B724" t="str">
        <f>IF('LISTA DE PRECIOS'!$H738&gt;0,'LISTA DE PRECIOS'!B738,"")</f>
        <v/>
      </c>
      <c r="C724" t="str">
        <f>IF('LISTA DE PRECIOS'!$H738&gt;0,'LISTA DE PRECIOS'!C738,"")</f>
        <v/>
      </c>
      <c r="D724" s="67" t="str">
        <f>IF('LISTA DE PRECIOS'!$H738&gt;0,'LISTA DE PRECIOS'!D738,"")</f>
        <v/>
      </c>
      <c r="E724" t="str">
        <f>IF('LISTA DE PRECIOS'!$H738&gt;0,'LISTA DE PRECIOS'!E738,"")</f>
        <v/>
      </c>
      <c r="F724" t="str">
        <f>IF('LISTA DE PRECIOS'!$H738&gt;0,'LISTA DE PRECIOS'!F738,"")</f>
        <v/>
      </c>
      <c r="G724" s="31" t="str">
        <f>IF('LISTA DE PRECIOS'!$H738&gt;0,'LISTA DE PRECIOS'!G738,"")</f>
        <v/>
      </c>
      <c r="H724" s="67" t="str">
        <f>IF('LISTA DE PRECIOS'!$H738&gt;0,'LISTA DE PRECIOS'!H738,"")</f>
        <v/>
      </c>
      <c r="I724" s="31" t="str">
        <f t="shared" si="10"/>
        <v/>
      </c>
    </row>
    <row r="725" spans="1:9">
      <c r="A725" t="str">
        <f>IF('LISTA DE PRECIOS'!$H739&gt;0,'LISTA DE PRECIOS'!A739,"")</f>
        <v/>
      </c>
      <c r="B725" t="str">
        <f>IF('LISTA DE PRECIOS'!$H739&gt;0,'LISTA DE PRECIOS'!B739,"")</f>
        <v/>
      </c>
      <c r="C725" t="str">
        <f>IF('LISTA DE PRECIOS'!$H739&gt;0,'LISTA DE PRECIOS'!C739,"")</f>
        <v/>
      </c>
      <c r="D725" s="67" t="str">
        <f>IF('LISTA DE PRECIOS'!$H739&gt;0,'LISTA DE PRECIOS'!D739,"")</f>
        <v/>
      </c>
      <c r="E725" t="str">
        <f>IF('LISTA DE PRECIOS'!$H739&gt;0,'LISTA DE PRECIOS'!E739,"")</f>
        <v/>
      </c>
      <c r="F725" t="str">
        <f>IF('LISTA DE PRECIOS'!$H739&gt;0,'LISTA DE PRECIOS'!F739,"")</f>
        <v/>
      </c>
      <c r="G725" s="31" t="str">
        <f>IF('LISTA DE PRECIOS'!$H739&gt;0,'LISTA DE PRECIOS'!G739,"")</f>
        <v/>
      </c>
      <c r="H725" s="67" t="str">
        <f>IF('LISTA DE PRECIOS'!$H739&gt;0,'LISTA DE PRECIOS'!H739,"")</f>
        <v/>
      </c>
      <c r="I725" s="31" t="str">
        <f t="shared" si="10"/>
        <v/>
      </c>
    </row>
    <row r="726" spans="1:9">
      <c r="A726" t="str">
        <f>IF('LISTA DE PRECIOS'!$H740&gt;0,'LISTA DE PRECIOS'!A740,"")</f>
        <v/>
      </c>
      <c r="B726" t="str">
        <f>IF('LISTA DE PRECIOS'!$H740&gt;0,'LISTA DE PRECIOS'!B740,"")</f>
        <v/>
      </c>
      <c r="C726" t="str">
        <f>IF('LISTA DE PRECIOS'!$H740&gt;0,'LISTA DE PRECIOS'!C740,"")</f>
        <v/>
      </c>
      <c r="D726" s="67" t="str">
        <f>IF('LISTA DE PRECIOS'!$H740&gt;0,'LISTA DE PRECIOS'!D740,"")</f>
        <v/>
      </c>
      <c r="E726" t="str">
        <f>IF('LISTA DE PRECIOS'!$H740&gt;0,'LISTA DE PRECIOS'!E740,"")</f>
        <v/>
      </c>
      <c r="F726" t="str">
        <f>IF('LISTA DE PRECIOS'!$H740&gt;0,'LISTA DE PRECIOS'!F740,"")</f>
        <v/>
      </c>
      <c r="G726" s="31" t="str">
        <f>IF('LISTA DE PRECIOS'!$H740&gt;0,'LISTA DE PRECIOS'!G740,"")</f>
        <v/>
      </c>
      <c r="H726" s="67" t="str">
        <f>IF('LISTA DE PRECIOS'!$H740&gt;0,'LISTA DE PRECIOS'!H740,"")</f>
        <v/>
      </c>
      <c r="I726" s="31" t="str">
        <f t="shared" si="10"/>
        <v/>
      </c>
    </row>
    <row r="727" spans="1:9">
      <c r="A727" t="str">
        <f>IF('LISTA DE PRECIOS'!$H741&gt;0,'LISTA DE PRECIOS'!A741,"")</f>
        <v/>
      </c>
      <c r="B727" t="str">
        <f>IF('LISTA DE PRECIOS'!$H741&gt;0,'LISTA DE PRECIOS'!B741,"")</f>
        <v/>
      </c>
      <c r="C727" t="str">
        <f>IF('LISTA DE PRECIOS'!$H741&gt;0,'LISTA DE PRECIOS'!C741,"")</f>
        <v/>
      </c>
      <c r="D727" s="67" t="str">
        <f>IF('LISTA DE PRECIOS'!$H741&gt;0,'LISTA DE PRECIOS'!D741,"")</f>
        <v/>
      </c>
      <c r="E727" t="str">
        <f>IF('LISTA DE PRECIOS'!$H741&gt;0,'LISTA DE PRECIOS'!E741,"")</f>
        <v/>
      </c>
      <c r="F727" t="str">
        <f>IF('LISTA DE PRECIOS'!$H741&gt;0,'LISTA DE PRECIOS'!F741,"")</f>
        <v/>
      </c>
      <c r="G727" s="31" t="str">
        <f>IF('LISTA DE PRECIOS'!$H741&gt;0,'LISTA DE PRECIOS'!G741,"")</f>
        <v/>
      </c>
      <c r="H727" s="67" t="str">
        <f>IF('LISTA DE PRECIOS'!$H741&gt;0,'LISTA DE PRECIOS'!H741,"")</f>
        <v/>
      </c>
      <c r="I727" s="31" t="str">
        <f t="shared" si="10"/>
        <v/>
      </c>
    </row>
    <row r="728" spans="1:9">
      <c r="A728" t="str">
        <f>IF('LISTA DE PRECIOS'!$H742&gt;0,'LISTA DE PRECIOS'!A742,"")</f>
        <v/>
      </c>
      <c r="B728" t="str">
        <f>IF('LISTA DE PRECIOS'!$H742&gt;0,'LISTA DE PRECIOS'!B742,"")</f>
        <v/>
      </c>
      <c r="C728" t="str">
        <f>IF('LISTA DE PRECIOS'!$H742&gt;0,'LISTA DE PRECIOS'!C742,"")</f>
        <v/>
      </c>
      <c r="D728" s="67" t="str">
        <f>IF('LISTA DE PRECIOS'!$H742&gt;0,'LISTA DE PRECIOS'!D742,"")</f>
        <v/>
      </c>
      <c r="E728" t="str">
        <f>IF('LISTA DE PRECIOS'!$H742&gt;0,'LISTA DE PRECIOS'!E742,"")</f>
        <v/>
      </c>
      <c r="F728" t="str">
        <f>IF('LISTA DE PRECIOS'!$H742&gt;0,'LISTA DE PRECIOS'!F742,"")</f>
        <v/>
      </c>
      <c r="G728" s="31" t="str">
        <f>IF('LISTA DE PRECIOS'!$H742&gt;0,'LISTA DE PRECIOS'!G742,"")</f>
        <v/>
      </c>
      <c r="H728" s="67" t="str">
        <f>IF('LISTA DE PRECIOS'!$H742&gt;0,'LISTA DE PRECIOS'!H742,"")</f>
        <v/>
      </c>
      <c r="I728" s="31" t="str">
        <f t="shared" si="10"/>
        <v/>
      </c>
    </row>
    <row r="729" spans="1:9">
      <c r="A729" t="str">
        <f>IF('LISTA DE PRECIOS'!$H743&gt;0,'LISTA DE PRECIOS'!A743,"")</f>
        <v/>
      </c>
      <c r="B729" t="str">
        <f>IF('LISTA DE PRECIOS'!$H743&gt;0,'LISTA DE PRECIOS'!B743,"")</f>
        <v/>
      </c>
      <c r="C729" t="str">
        <f>IF('LISTA DE PRECIOS'!$H743&gt;0,'LISTA DE PRECIOS'!C743,"")</f>
        <v/>
      </c>
      <c r="D729" s="67" t="str">
        <f>IF('LISTA DE PRECIOS'!$H743&gt;0,'LISTA DE PRECIOS'!D743,"")</f>
        <v/>
      </c>
      <c r="E729" t="str">
        <f>IF('LISTA DE PRECIOS'!$H743&gt;0,'LISTA DE PRECIOS'!E743,"")</f>
        <v/>
      </c>
      <c r="F729" t="str">
        <f>IF('LISTA DE PRECIOS'!$H743&gt;0,'LISTA DE PRECIOS'!F743,"")</f>
        <v/>
      </c>
      <c r="G729" s="31" t="str">
        <f>IF('LISTA DE PRECIOS'!$H743&gt;0,'LISTA DE PRECIOS'!G743,"")</f>
        <v/>
      </c>
      <c r="H729" s="67" t="str">
        <f>IF('LISTA DE PRECIOS'!$H743&gt;0,'LISTA DE PRECIOS'!H743,"")</f>
        <v/>
      </c>
      <c r="I729" s="31" t="str">
        <f t="shared" si="10"/>
        <v/>
      </c>
    </row>
    <row r="730" spans="1:9">
      <c r="A730" t="str">
        <f>IF('LISTA DE PRECIOS'!$H744&gt;0,'LISTA DE PRECIOS'!A744,"")</f>
        <v/>
      </c>
      <c r="B730" t="str">
        <f>IF('LISTA DE PRECIOS'!$H744&gt;0,'LISTA DE PRECIOS'!B744,"")</f>
        <v/>
      </c>
      <c r="C730" t="str">
        <f>IF('LISTA DE PRECIOS'!$H744&gt;0,'LISTA DE PRECIOS'!C744,"")</f>
        <v/>
      </c>
      <c r="D730" s="67" t="str">
        <f>IF('LISTA DE PRECIOS'!$H744&gt;0,'LISTA DE PRECIOS'!D744,"")</f>
        <v/>
      </c>
      <c r="E730" t="str">
        <f>IF('LISTA DE PRECIOS'!$H744&gt;0,'LISTA DE PRECIOS'!E744,"")</f>
        <v/>
      </c>
      <c r="F730" t="str">
        <f>IF('LISTA DE PRECIOS'!$H744&gt;0,'LISTA DE PRECIOS'!F744,"")</f>
        <v/>
      </c>
      <c r="G730" s="31" t="str">
        <f>IF('LISTA DE PRECIOS'!$H744&gt;0,'LISTA DE PRECIOS'!G744,"")</f>
        <v/>
      </c>
      <c r="H730" s="67" t="str">
        <f>IF('LISTA DE PRECIOS'!$H744&gt;0,'LISTA DE PRECIOS'!H744,"")</f>
        <v/>
      </c>
      <c r="I730" s="31" t="str">
        <f t="shared" si="10"/>
        <v/>
      </c>
    </row>
    <row r="731" spans="1:9">
      <c r="A731" t="str">
        <f>IF('LISTA DE PRECIOS'!$H745&gt;0,'LISTA DE PRECIOS'!A745,"")</f>
        <v/>
      </c>
      <c r="B731" t="str">
        <f>IF('LISTA DE PRECIOS'!$H745&gt;0,'LISTA DE PRECIOS'!B745,"")</f>
        <v/>
      </c>
      <c r="C731" t="str">
        <f>IF('LISTA DE PRECIOS'!$H745&gt;0,'LISTA DE PRECIOS'!C745,"")</f>
        <v/>
      </c>
      <c r="D731" s="67" t="str">
        <f>IF('LISTA DE PRECIOS'!$H745&gt;0,'LISTA DE PRECIOS'!D745,"")</f>
        <v/>
      </c>
      <c r="E731" t="str">
        <f>IF('LISTA DE PRECIOS'!$H745&gt;0,'LISTA DE PRECIOS'!E745,"")</f>
        <v/>
      </c>
      <c r="F731" t="str">
        <f>IF('LISTA DE PRECIOS'!$H745&gt;0,'LISTA DE PRECIOS'!F745,"")</f>
        <v/>
      </c>
      <c r="G731" s="31" t="str">
        <f>IF('LISTA DE PRECIOS'!$H745&gt;0,'LISTA DE PRECIOS'!G745,"")</f>
        <v/>
      </c>
      <c r="H731" s="67" t="str">
        <f>IF('LISTA DE PRECIOS'!$H745&gt;0,'LISTA DE PRECIOS'!H745,"")</f>
        <v/>
      </c>
      <c r="I731" s="31" t="str">
        <f t="shared" si="10"/>
        <v/>
      </c>
    </row>
    <row r="732" spans="1:9">
      <c r="A732" t="str">
        <f>IF('LISTA DE PRECIOS'!$H746&gt;0,'LISTA DE PRECIOS'!A746,"")</f>
        <v/>
      </c>
      <c r="B732" t="str">
        <f>IF('LISTA DE PRECIOS'!$H746&gt;0,'LISTA DE PRECIOS'!B746,"")</f>
        <v/>
      </c>
      <c r="C732" t="str">
        <f>IF('LISTA DE PRECIOS'!$H746&gt;0,'LISTA DE PRECIOS'!C746,"")</f>
        <v/>
      </c>
      <c r="D732" s="67" t="str">
        <f>IF('LISTA DE PRECIOS'!$H746&gt;0,'LISTA DE PRECIOS'!D746,"")</f>
        <v/>
      </c>
      <c r="E732" t="str">
        <f>IF('LISTA DE PRECIOS'!$H746&gt;0,'LISTA DE PRECIOS'!E746,"")</f>
        <v/>
      </c>
      <c r="F732" t="str">
        <f>IF('LISTA DE PRECIOS'!$H746&gt;0,'LISTA DE PRECIOS'!F746,"")</f>
        <v/>
      </c>
      <c r="G732" s="31" t="str">
        <f>IF('LISTA DE PRECIOS'!$H746&gt;0,'LISTA DE PRECIOS'!G746,"")</f>
        <v/>
      </c>
      <c r="H732" s="67" t="str">
        <f>IF('LISTA DE PRECIOS'!$H746&gt;0,'LISTA DE PRECIOS'!H746,"")</f>
        <v/>
      </c>
      <c r="I732" s="31" t="str">
        <f t="shared" si="10"/>
        <v/>
      </c>
    </row>
    <row r="733" spans="1:9">
      <c r="A733" t="str">
        <f>IF('LISTA DE PRECIOS'!$H747&gt;0,'LISTA DE PRECIOS'!A747,"")</f>
        <v/>
      </c>
      <c r="B733" t="str">
        <f>IF('LISTA DE PRECIOS'!$H747&gt;0,'LISTA DE PRECIOS'!B747,"")</f>
        <v/>
      </c>
      <c r="C733" t="str">
        <f>IF('LISTA DE PRECIOS'!$H747&gt;0,'LISTA DE PRECIOS'!C747,"")</f>
        <v/>
      </c>
      <c r="D733" s="67" t="str">
        <f>IF('LISTA DE PRECIOS'!$H747&gt;0,'LISTA DE PRECIOS'!D747,"")</f>
        <v/>
      </c>
      <c r="E733" t="str">
        <f>IF('LISTA DE PRECIOS'!$H747&gt;0,'LISTA DE PRECIOS'!E747,"")</f>
        <v/>
      </c>
      <c r="F733" t="str">
        <f>IF('LISTA DE PRECIOS'!$H747&gt;0,'LISTA DE PRECIOS'!F747,"")</f>
        <v/>
      </c>
      <c r="G733" s="31" t="str">
        <f>IF('LISTA DE PRECIOS'!$H747&gt;0,'LISTA DE PRECIOS'!G747,"")</f>
        <v/>
      </c>
      <c r="H733" s="67" t="str">
        <f>IF('LISTA DE PRECIOS'!$H747&gt;0,'LISTA DE PRECIOS'!H747,"")</f>
        <v/>
      </c>
      <c r="I733" s="31" t="str">
        <f t="shared" si="10"/>
        <v/>
      </c>
    </row>
    <row r="734" spans="1:9">
      <c r="A734" t="str">
        <f>IF('LISTA DE PRECIOS'!$H748&gt;0,'LISTA DE PRECIOS'!A748,"")</f>
        <v/>
      </c>
      <c r="B734" t="str">
        <f>IF('LISTA DE PRECIOS'!$H748&gt;0,'LISTA DE PRECIOS'!B748,"")</f>
        <v/>
      </c>
      <c r="C734" t="str">
        <f>IF('LISTA DE PRECIOS'!$H748&gt;0,'LISTA DE PRECIOS'!C748,"")</f>
        <v/>
      </c>
      <c r="D734" s="67" t="str">
        <f>IF('LISTA DE PRECIOS'!$H748&gt;0,'LISTA DE PRECIOS'!D748,"")</f>
        <v/>
      </c>
      <c r="E734" t="str">
        <f>IF('LISTA DE PRECIOS'!$H748&gt;0,'LISTA DE PRECIOS'!E748,"")</f>
        <v/>
      </c>
      <c r="F734" t="str">
        <f>IF('LISTA DE PRECIOS'!$H748&gt;0,'LISTA DE PRECIOS'!F748,"")</f>
        <v/>
      </c>
      <c r="G734" s="31" t="str">
        <f>IF('LISTA DE PRECIOS'!$H748&gt;0,'LISTA DE PRECIOS'!G748,"")</f>
        <v/>
      </c>
      <c r="H734" s="67" t="str">
        <f>IF('LISTA DE PRECIOS'!$H748&gt;0,'LISTA DE PRECIOS'!H748,"")</f>
        <v/>
      </c>
      <c r="I734" s="31" t="str">
        <f t="shared" si="10"/>
        <v/>
      </c>
    </row>
    <row r="735" spans="1:9">
      <c r="A735" t="str">
        <f>IF('LISTA DE PRECIOS'!$H749&gt;0,'LISTA DE PRECIOS'!A749,"")</f>
        <v/>
      </c>
      <c r="B735" t="str">
        <f>IF('LISTA DE PRECIOS'!$H749&gt;0,'LISTA DE PRECIOS'!B749,"")</f>
        <v/>
      </c>
      <c r="C735" t="str">
        <f>IF('LISTA DE PRECIOS'!$H749&gt;0,'LISTA DE PRECIOS'!C749,"")</f>
        <v/>
      </c>
      <c r="D735" s="67" t="str">
        <f>IF('LISTA DE PRECIOS'!$H749&gt;0,'LISTA DE PRECIOS'!D749,"")</f>
        <v/>
      </c>
      <c r="E735" t="str">
        <f>IF('LISTA DE PRECIOS'!$H749&gt;0,'LISTA DE PRECIOS'!E749,"")</f>
        <v/>
      </c>
      <c r="F735" t="str">
        <f>IF('LISTA DE PRECIOS'!$H749&gt;0,'LISTA DE PRECIOS'!F749,"")</f>
        <v/>
      </c>
      <c r="G735" s="31" t="str">
        <f>IF('LISTA DE PRECIOS'!$H749&gt;0,'LISTA DE PRECIOS'!G749,"")</f>
        <v/>
      </c>
      <c r="H735" s="67" t="str">
        <f>IF('LISTA DE PRECIOS'!$H749&gt;0,'LISTA DE PRECIOS'!H749,"")</f>
        <v/>
      </c>
      <c r="I735" s="31" t="str">
        <f t="shared" si="10"/>
        <v/>
      </c>
    </row>
    <row r="736" spans="1:9">
      <c r="A736" t="str">
        <f>IF('LISTA DE PRECIOS'!$H750&gt;0,'LISTA DE PRECIOS'!A750,"")</f>
        <v/>
      </c>
      <c r="B736" t="str">
        <f>IF('LISTA DE PRECIOS'!$H750&gt;0,'LISTA DE PRECIOS'!B750,"")</f>
        <v/>
      </c>
      <c r="C736" t="str">
        <f>IF('LISTA DE PRECIOS'!$H750&gt;0,'LISTA DE PRECIOS'!C750,"")</f>
        <v/>
      </c>
      <c r="D736" s="67" t="str">
        <f>IF('LISTA DE PRECIOS'!$H750&gt;0,'LISTA DE PRECIOS'!D750,"")</f>
        <v/>
      </c>
      <c r="E736" t="str">
        <f>IF('LISTA DE PRECIOS'!$H750&gt;0,'LISTA DE PRECIOS'!E750,"")</f>
        <v/>
      </c>
      <c r="F736" t="str">
        <f>IF('LISTA DE PRECIOS'!$H750&gt;0,'LISTA DE PRECIOS'!F750,"")</f>
        <v/>
      </c>
      <c r="G736" s="31" t="str">
        <f>IF('LISTA DE PRECIOS'!$H750&gt;0,'LISTA DE PRECIOS'!G750,"")</f>
        <v/>
      </c>
      <c r="H736" s="67" t="str">
        <f>IF('LISTA DE PRECIOS'!$H750&gt;0,'LISTA DE PRECIOS'!H750,"")</f>
        <v/>
      </c>
      <c r="I736" s="31" t="str">
        <f t="shared" si="10"/>
        <v/>
      </c>
    </row>
    <row r="737" spans="1:9">
      <c r="A737" t="str">
        <f>IF('LISTA DE PRECIOS'!$H751&gt;0,'LISTA DE PRECIOS'!A751,"")</f>
        <v/>
      </c>
      <c r="B737" t="str">
        <f>IF('LISTA DE PRECIOS'!$H751&gt;0,'LISTA DE PRECIOS'!B751,"")</f>
        <v/>
      </c>
      <c r="C737" t="str">
        <f>IF('LISTA DE PRECIOS'!$H751&gt;0,'LISTA DE PRECIOS'!C751,"")</f>
        <v/>
      </c>
      <c r="D737" s="67" t="str">
        <f>IF('LISTA DE PRECIOS'!$H751&gt;0,'LISTA DE PRECIOS'!D751,"")</f>
        <v/>
      </c>
      <c r="E737" t="str">
        <f>IF('LISTA DE PRECIOS'!$H751&gt;0,'LISTA DE PRECIOS'!E751,"")</f>
        <v/>
      </c>
      <c r="F737" t="str">
        <f>IF('LISTA DE PRECIOS'!$H751&gt;0,'LISTA DE PRECIOS'!F751,"")</f>
        <v/>
      </c>
      <c r="G737" s="31" t="str">
        <f>IF('LISTA DE PRECIOS'!$H751&gt;0,'LISTA DE PRECIOS'!G751,"")</f>
        <v/>
      </c>
      <c r="H737" s="67" t="str">
        <f>IF('LISTA DE PRECIOS'!$H751&gt;0,'LISTA DE PRECIOS'!H751,"")</f>
        <v/>
      </c>
      <c r="I737" s="31" t="str">
        <f t="shared" si="10"/>
        <v/>
      </c>
    </row>
    <row r="738" spans="1:9">
      <c r="A738" t="str">
        <f>IF('LISTA DE PRECIOS'!$H752&gt;0,'LISTA DE PRECIOS'!A752,"")</f>
        <v/>
      </c>
      <c r="B738" t="str">
        <f>IF('LISTA DE PRECIOS'!$H752&gt;0,'LISTA DE PRECIOS'!B752,"")</f>
        <v/>
      </c>
      <c r="C738" t="str">
        <f>IF('LISTA DE PRECIOS'!$H752&gt;0,'LISTA DE PRECIOS'!C752,"")</f>
        <v/>
      </c>
      <c r="D738" s="67" t="str">
        <f>IF('LISTA DE PRECIOS'!$H752&gt;0,'LISTA DE PRECIOS'!D752,"")</f>
        <v/>
      </c>
      <c r="E738" t="str">
        <f>IF('LISTA DE PRECIOS'!$H752&gt;0,'LISTA DE PRECIOS'!E752,"")</f>
        <v/>
      </c>
      <c r="F738" t="str">
        <f>IF('LISTA DE PRECIOS'!$H752&gt;0,'LISTA DE PRECIOS'!F752,"")</f>
        <v/>
      </c>
      <c r="G738" s="31" t="str">
        <f>IF('LISTA DE PRECIOS'!$H752&gt;0,'LISTA DE PRECIOS'!G752,"")</f>
        <v/>
      </c>
      <c r="H738" s="67" t="str">
        <f>IF('LISTA DE PRECIOS'!$H752&gt;0,'LISTA DE PRECIOS'!H752,"")</f>
        <v/>
      </c>
      <c r="I738" s="31" t="str">
        <f t="shared" si="10"/>
        <v/>
      </c>
    </row>
    <row r="739" spans="1:9">
      <c r="A739" t="str">
        <f>IF('LISTA DE PRECIOS'!$H753&gt;0,'LISTA DE PRECIOS'!A753,"")</f>
        <v/>
      </c>
      <c r="B739" t="str">
        <f>IF('LISTA DE PRECIOS'!$H753&gt;0,'LISTA DE PRECIOS'!B753,"")</f>
        <v/>
      </c>
      <c r="C739" t="str">
        <f>IF('LISTA DE PRECIOS'!$H753&gt;0,'LISTA DE PRECIOS'!C753,"")</f>
        <v/>
      </c>
      <c r="D739" s="67" t="str">
        <f>IF('LISTA DE PRECIOS'!$H753&gt;0,'LISTA DE PRECIOS'!D753,"")</f>
        <v/>
      </c>
      <c r="E739" t="str">
        <f>IF('LISTA DE PRECIOS'!$H753&gt;0,'LISTA DE PRECIOS'!E753,"")</f>
        <v/>
      </c>
      <c r="F739" t="str">
        <f>IF('LISTA DE PRECIOS'!$H753&gt;0,'LISTA DE PRECIOS'!F753,"")</f>
        <v/>
      </c>
      <c r="G739" s="31" t="str">
        <f>IF('LISTA DE PRECIOS'!$H753&gt;0,'LISTA DE PRECIOS'!G753,"")</f>
        <v/>
      </c>
      <c r="H739" s="67" t="str">
        <f>IF('LISTA DE PRECIOS'!$H753&gt;0,'LISTA DE PRECIOS'!H753,"")</f>
        <v/>
      </c>
      <c r="I739" s="31" t="str">
        <f t="shared" si="10"/>
        <v/>
      </c>
    </row>
    <row r="740" spans="1:9">
      <c r="A740" t="str">
        <f>IF('LISTA DE PRECIOS'!$H754&gt;0,'LISTA DE PRECIOS'!A754,"")</f>
        <v/>
      </c>
      <c r="B740" t="str">
        <f>IF('LISTA DE PRECIOS'!$H754&gt;0,'LISTA DE PRECIOS'!B754,"")</f>
        <v/>
      </c>
      <c r="C740" t="str">
        <f>IF('LISTA DE PRECIOS'!$H754&gt;0,'LISTA DE PRECIOS'!C754,"")</f>
        <v/>
      </c>
      <c r="D740" s="67" t="str">
        <f>IF('LISTA DE PRECIOS'!$H754&gt;0,'LISTA DE PRECIOS'!D754,"")</f>
        <v/>
      </c>
      <c r="E740" t="str">
        <f>IF('LISTA DE PRECIOS'!$H754&gt;0,'LISTA DE PRECIOS'!E754,"")</f>
        <v/>
      </c>
      <c r="F740" t="str">
        <f>IF('LISTA DE PRECIOS'!$H754&gt;0,'LISTA DE PRECIOS'!F754,"")</f>
        <v/>
      </c>
      <c r="G740" s="31" t="str">
        <f>IF('LISTA DE PRECIOS'!$H754&gt;0,'LISTA DE PRECIOS'!G754,"")</f>
        <v/>
      </c>
      <c r="H740" s="67" t="str">
        <f>IF('LISTA DE PRECIOS'!$H754&gt;0,'LISTA DE PRECIOS'!H754,"")</f>
        <v/>
      </c>
      <c r="I740" s="31" t="str">
        <f t="shared" si="10"/>
        <v/>
      </c>
    </row>
    <row r="741" spans="1:9">
      <c r="A741" t="str">
        <f>IF('LISTA DE PRECIOS'!$H755&gt;0,'LISTA DE PRECIOS'!A755,"")</f>
        <v/>
      </c>
      <c r="B741" t="str">
        <f>IF('LISTA DE PRECIOS'!$H755&gt;0,'LISTA DE PRECIOS'!B755,"")</f>
        <v/>
      </c>
      <c r="C741" t="str">
        <f>IF('LISTA DE PRECIOS'!$H755&gt;0,'LISTA DE PRECIOS'!C755,"")</f>
        <v/>
      </c>
      <c r="D741" s="67" t="str">
        <f>IF('LISTA DE PRECIOS'!$H755&gt;0,'LISTA DE PRECIOS'!D755,"")</f>
        <v/>
      </c>
      <c r="E741" t="str">
        <f>IF('LISTA DE PRECIOS'!$H755&gt;0,'LISTA DE PRECIOS'!E755,"")</f>
        <v/>
      </c>
      <c r="F741" t="str">
        <f>IF('LISTA DE PRECIOS'!$H755&gt;0,'LISTA DE PRECIOS'!F755,"")</f>
        <v/>
      </c>
      <c r="G741" s="31" t="str">
        <f>IF('LISTA DE PRECIOS'!$H755&gt;0,'LISTA DE PRECIOS'!G755,"")</f>
        <v/>
      </c>
      <c r="H741" s="67" t="str">
        <f>IF('LISTA DE PRECIOS'!$H755&gt;0,'LISTA DE PRECIOS'!H755,"")</f>
        <v/>
      </c>
      <c r="I741" s="31" t="str">
        <f t="shared" si="10"/>
        <v/>
      </c>
    </row>
    <row r="742" spans="1:9">
      <c r="A742" t="str">
        <f>IF('LISTA DE PRECIOS'!$H756&gt;0,'LISTA DE PRECIOS'!A756,"")</f>
        <v/>
      </c>
      <c r="B742" t="str">
        <f>IF('LISTA DE PRECIOS'!$H756&gt;0,'LISTA DE PRECIOS'!B756,"")</f>
        <v/>
      </c>
      <c r="C742" t="str">
        <f>IF('LISTA DE PRECIOS'!$H756&gt;0,'LISTA DE PRECIOS'!C756,"")</f>
        <v/>
      </c>
      <c r="D742" s="67" t="str">
        <f>IF('LISTA DE PRECIOS'!$H756&gt;0,'LISTA DE PRECIOS'!D756,"")</f>
        <v/>
      </c>
      <c r="E742" t="str">
        <f>IF('LISTA DE PRECIOS'!$H756&gt;0,'LISTA DE PRECIOS'!E756,"")</f>
        <v/>
      </c>
      <c r="F742" t="str">
        <f>IF('LISTA DE PRECIOS'!$H756&gt;0,'LISTA DE PRECIOS'!F756,"")</f>
        <v/>
      </c>
      <c r="G742" s="31" t="str">
        <f>IF('LISTA DE PRECIOS'!$H756&gt;0,'LISTA DE PRECIOS'!G756,"")</f>
        <v/>
      </c>
      <c r="H742" s="67" t="str">
        <f>IF('LISTA DE PRECIOS'!$H756&gt;0,'LISTA DE PRECIOS'!H756,"")</f>
        <v/>
      </c>
      <c r="I742" s="31" t="str">
        <f t="shared" si="10"/>
        <v/>
      </c>
    </row>
    <row r="743" spans="1:9">
      <c r="A743" t="str">
        <f>IF('LISTA DE PRECIOS'!$H757&gt;0,'LISTA DE PRECIOS'!A757,"")</f>
        <v/>
      </c>
      <c r="B743" t="str">
        <f>IF('LISTA DE PRECIOS'!$H757&gt;0,'LISTA DE PRECIOS'!B757,"")</f>
        <v/>
      </c>
      <c r="C743" t="str">
        <f>IF('LISTA DE PRECIOS'!$H757&gt;0,'LISTA DE PRECIOS'!C757,"")</f>
        <v/>
      </c>
      <c r="D743" s="67" t="str">
        <f>IF('LISTA DE PRECIOS'!$H757&gt;0,'LISTA DE PRECIOS'!D757,"")</f>
        <v/>
      </c>
      <c r="E743" t="str">
        <f>IF('LISTA DE PRECIOS'!$H757&gt;0,'LISTA DE PRECIOS'!E757,"")</f>
        <v/>
      </c>
      <c r="F743" t="str">
        <f>IF('LISTA DE PRECIOS'!$H757&gt;0,'LISTA DE PRECIOS'!F757,"")</f>
        <v/>
      </c>
      <c r="G743" s="31" t="str">
        <f>IF('LISTA DE PRECIOS'!$H757&gt;0,'LISTA DE PRECIOS'!G757,"")</f>
        <v/>
      </c>
      <c r="H743" s="67" t="str">
        <f>IF('LISTA DE PRECIOS'!$H757&gt;0,'LISTA DE PRECIOS'!H757,"")</f>
        <v/>
      </c>
      <c r="I743" s="31" t="str">
        <f t="shared" si="10"/>
        <v/>
      </c>
    </row>
    <row r="744" spans="1:9">
      <c r="A744" t="str">
        <f>IF('LISTA DE PRECIOS'!$H758&gt;0,'LISTA DE PRECIOS'!A758,"")</f>
        <v/>
      </c>
      <c r="B744" t="str">
        <f>IF('LISTA DE PRECIOS'!$H758&gt;0,'LISTA DE PRECIOS'!B758,"")</f>
        <v/>
      </c>
      <c r="C744" t="str">
        <f>IF('LISTA DE PRECIOS'!$H758&gt;0,'LISTA DE PRECIOS'!C758,"")</f>
        <v/>
      </c>
      <c r="D744" s="67" t="str">
        <f>IF('LISTA DE PRECIOS'!$H758&gt;0,'LISTA DE PRECIOS'!D758,"")</f>
        <v/>
      </c>
      <c r="E744" t="str">
        <f>IF('LISTA DE PRECIOS'!$H758&gt;0,'LISTA DE PRECIOS'!E758,"")</f>
        <v/>
      </c>
      <c r="F744" t="str">
        <f>IF('LISTA DE PRECIOS'!$H758&gt;0,'LISTA DE PRECIOS'!F758,"")</f>
        <v/>
      </c>
      <c r="G744" s="31" t="str">
        <f>IF('LISTA DE PRECIOS'!$H758&gt;0,'LISTA DE PRECIOS'!G758,"")</f>
        <v/>
      </c>
      <c r="H744" s="67" t="str">
        <f>IF('LISTA DE PRECIOS'!$H758&gt;0,'LISTA DE PRECIOS'!H758,"")</f>
        <v/>
      </c>
      <c r="I744" s="31" t="str">
        <f t="shared" si="10"/>
        <v/>
      </c>
    </row>
    <row r="745" spans="1:9">
      <c r="A745" t="str">
        <f>IF('LISTA DE PRECIOS'!$H759&gt;0,'LISTA DE PRECIOS'!A759,"")</f>
        <v/>
      </c>
      <c r="B745" t="str">
        <f>IF('LISTA DE PRECIOS'!$H759&gt;0,'LISTA DE PRECIOS'!B759,"")</f>
        <v/>
      </c>
      <c r="C745" t="str">
        <f>IF('LISTA DE PRECIOS'!$H759&gt;0,'LISTA DE PRECIOS'!C759,"")</f>
        <v/>
      </c>
      <c r="D745" s="67" t="str">
        <f>IF('LISTA DE PRECIOS'!$H759&gt;0,'LISTA DE PRECIOS'!D759,"")</f>
        <v/>
      </c>
      <c r="E745" t="str">
        <f>IF('LISTA DE PRECIOS'!$H759&gt;0,'LISTA DE PRECIOS'!E759,"")</f>
        <v/>
      </c>
      <c r="F745" t="str">
        <f>IF('LISTA DE PRECIOS'!$H759&gt;0,'LISTA DE PRECIOS'!F759,"")</f>
        <v/>
      </c>
      <c r="G745" s="31" t="str">
        <f>IF('LISTA DE PRECIOS'!$H759&gt;0,'LISTA DE PRECIOS'!G759,"")</f>
        <v/>
      </c>
      <c r="H745" s="67" t="str">
        <f>IF('LISTA DE PRECIOS'!$H759&gt;0,'LISTA DE PRECIOS'!H759,"")</f>
        <v/>
      </c>
      <c r="I745" s="31" t="str">
        <f t="shared" si="10"/>
        <v/>
      </c>
    </row>
    <row r="746" spans="1:9">
      <c r="A746" t="str">
        <f>IF('LISTA DE PRECIOS'!$H760&gt;0,'LISTA DE PRECIOS'!A760,"")</f>
        <v/>
      </c>
      <c r="B746" t="str">
        <f>IF('LISTA DE PRECIOS'!$H760&gt;0,'LISTA DE PRECIOS'!B760,"")</f>
        <v/>
      </c>
      <c r="C746" t="str">
        <f>IF('LISTA DE PRECIOS'!$H760&gt;0,'LISTA DE PRECIOS'!C760,"")</f>
        <v/>
      </c>
      <c r="D746" s="67" t="str">
        <f>IF('LISTA DE PRECIOS'!$H760&gt;0,'LISTA DE PRECIOS'!D760,"")</f>
        <v/>
      </c>
      <c r="E746" t="str">
        <f>IF('LISTA DE PRECIOS'!$H760&gt;0,'LISTA DE PRECIOS'!E760,"")</f>
        <v/>
      </c>
      <c r="F746" t="str">
        <f>IF('LISTA DE PRECIOS'!$H760&gt;0,'LISTA DE PRECIOS'!F760,"")</f>
        <v/>
      </c>
      <c r="G746" s="31" t="str">
        <f>IF('LISTA DE PRECIOS'!$H760&gt;0,'LISTA DE PRECIOS'!G760,"")</f>
        <v/>
      </c>
      <c r="H746" s="67" t="str">
        <f>IF('LISTA DE PRECIOS'!$H760&gt;0,'LISTA DE PRECIOS'!H760,"")</f>
        <v/>
      </c>
      <c r="I746" s="31" t="str">
        <f t="shared" si="10"/>
        <v/>
      </c>
    </row>
    <row r="747" spans="1:9">
      <c r="A747" t="str">
        <f>IF('LISTA DE PRECIOS'!$H761&gt;0,'LISTA DE PRECIOS'!A761,"")</f>
        <v/>
      </c>
      <c r="B747" t="str">
        <f>IF('LISTA DE PRECIOS'!$H761&gt;0,'LISTA DE PRECIOS'!B761,"")</f>
        <v/>
      </c>
      <c r="C747" t="str">
        <f>IF('LISTA DE PRECIOS'!$H761&gt;0,'LISTA DE PRECIOS'!C761,"")</f>
        <v/>
      </c>
      <c r="D747" s="67" t="str">
        <f>IF('LISTA DE PRECIOS'!$H761&gt;0,'LISTA DE PRECIOS'!D761,"")</f>
        <v/>
      </c>
      <c r="E747" t="str">
        <f>IF('LISTA DE PRECIOS'!$H761&gt;0,'LISTA DE PRECIOS'!E761,"")</f>
        <v/>
      </c>
      <c r="F747" t="str">
        <f>IF('LISTA DE PRECIOS'!$H761&gt;0,'LISTA DE PRECIOS'!F761,"")</f>
        <v/>
      </c>
      <c r="G747" s="31" t="str">
        <f>IF('LISTA DE PRECIOS'!$H761&gt;0,'LISTA DE PRECIOS'!G761,"")</f>
        <v/>
      </c>
      <c r="H747" s="67" t="str">
        <f>IF('LISTA DE PRECIOS'!$H761&gt;0,'LISTA DE PRECIOS'!H761,"")</f>
        <v/>
      </c>
      <c r="I747" s="31" t="str">
        <f t="shared" si="10"/>
        <v/>
      </c>
    </row>
    <row r="748" spans="1:9">
      <c r="A748" t="str">
        <f>IF('LISTA DE PRECIOS'!$H762&gt;0,'LISTA DE PRECIOS'!A762,"")</f>
        <v/>
      </c>
      <c r="B748" t="str">
        <f>IF('LISTA DE PRECIOS'!$H762&gt;0,'LISTA DE PRECIOS'!B762,"")</f>
        <v/>
      </c>
      <c r="C748" t="str">
        <f>IF('LISTA DE PRECIOS'!$H762&gt;0,'LISTA DE PRECIOS'!C762,"")</f>
        <v/>
      </c>
      <c r="D748" s="67" t="str">
        <f>IF('LISTA DE PRECIOS'!$H762&gt;0,'LISTA DE PRECIOS'!D762,"")</f>
        <v/>
      </c>
      <c r="E748" t="str">
        <f>IF('LISTA DE PRECIOS'!$H762&gt;0,'LISTA DE PRECIOS'!E762,"")</f>
        <v/>
      </c>
      <c r="F748" t="str">
        <f>IF('LISTA DE PRECIOS'!$H762&gt;0,'LISTA DE PRECIOS'!F762,"")</f>
        <v/>
      </c>
      <c r="G748" s="31" t="str">
        <f>IF('LISTA DE PRECIOS'!$H762&gt;0,'LISTA DE PRECIOS'!G762,"")</f>
        <v/>
      </c>
      <c r="H748" s="67" t="str">
        <f>IF('LISTA DE PRECIOS'!$H762&gt;0,'LISTA DE PRECIOS'!H762,"")</f>
        <v/>
      </c>
      <c r="I748" s="31" t="str">
        <f t="shared" si="10"/>
        <v/>
      </c>
    </row>
    <row r="749" spans="1:9">
      <c r="A749" t="str">
        <f>IF('LISTA DE PRECIOS'!$H763&gt;0,'LISTA DE PRECIOS'!A763,"")</f>
        <v/>
      </c>
      <c r="B749" t="str">
        <f>IF('LISTA DE PRECIOS'!$H763&gt;0,'LISTA DE PRECIOS'!B763,"")</f>
        <v/>
      </c>
      <c r="C749" t="str">
        <f>IF('LISTA DE PRECIOS'!$H763&gt;0,'LISTA DE PRECIOS'!C763,"")</f>
        <v/>
      </c>
      <c r="D749" s="67" t="str">
        <f>IF('LISTA DE PRECIOS'!$H763&gt;0,'LISTA DE PRECIOS'!D763,"")</f>
        <v/>
      </c>
      <c r="E749" t="str">
        <f>IF('LISTA DE PRECIOS'!$H763&gt;0,'LISTA DE PRECIOS'!E763,"")</f>
        <v/>
      </c>
      <c r="F749" t="str">
        <f>IF('LISTA DE PRECIOS'!$H763&gt;0,'LISTA DE PRECIOS'!F763,"")</f>
        <v/>
      </c>
      <c r="G749" s="31" t="str">
        <f>IF('LISTA DE PRECIOS'!$H763&gt;0,'LISTA DE PRECIOS'!G763,"")</f>
        <v/>
      </c>
      <c r="H749" s="67" t="str">
        <f>IF('LISTA DE PRECIOS'!$H763&gt;0,'LISTA DE PRECIOS'!H763,"")</f>
        <v/>
      </c>
      <c r="I749" s="31" t="str">
        <f t="shared" si="10"/>
        <v/>
      </c>
    </row>
    <row r="750" spans="1:9">
      <c r="A750" t="str">
        <f>IF('LISTA DE PRECIOS'!$H764&gt;0,'LISTA DE PRECIOS'!A764,"")</f>
        <v/>
      </c>
      <c r="B750" t="str">
        <f>IF('LISTA DE PRECIOS'!$H764&gt;0,'LISTA DE PRECIOS'!B764,"")</f>
        <v/>
      </c>
      <c r="C750" t="str">
        <f>IF('LISTA DE PRECIOS'!$H764&gt;0,'LISTA DE PRECIOS'!C764,"")</f>
        <v/>
      </c>
      <c r="D750" s="67" t="str">
        <f>IF('LISTA DE PRECIOS'!$H764&gt;0,'LISTA DE PRECIOS'!D764,"")</f>
        <v/>
      </c>
      <c r="E750" t="str">
        <f>IF('LISTA DE PRECIOS'!$H764&gt;0,'LISTA DE PRECIOS'!E764,"")</f>
        <v/>
      </c>
      <c r="F750" t="str">
        <f>IF('LISTA DE PRECIOS'!$H764&gt;0,'LISTA DE PRECIOS'!F764,"")</f>
        <v/>
      </c>
      <c r="G750" s="31" t="str">
        <f>IF('LISTA DE PRECIOS'!$H764&gt;0,'LISTA DE PRECIOS'!G764,"")</f>
        <v/>
      </c>
      <c r="H750" s="67" t="str">
        <f>IF('LISTA DE PRECIOS'!$H764&gt;0,'LISTA DE PRECIOS'!H764,"")</f>
        <v/>
      </c>
      <c r="I750" s="31" t="str">
        <f t="shared" si="10"/>
        <v/>
      </c>
    </row>
    <row r="751" spans="1:9">
      <c r="A751" t="str">
        <f>IF('LISTA DE PRECIOS'!$H765&gt;0,'LISTA DE PRECIOS'!A765,"")</f>
        <v/>
      </c>
      <c r="B751" t="str">
        <f>IF('LISTA DE PRECIOS'!$H765&gt;0,'LISTA DE PRECIOS'!B765,"")</f>
        <v/>
      </c>
      <c r="C751" t="str">
        <f>IF('LISTA DE PRECIOS'!$H765&gt;0,'LISTA DE PRECIOS'!C765,"")</f>
        <v/>
      </c>
      <c r="D751" s="67" t="str">
        <f>IF('LISTA DE PRECIOS'!$H765&gt;0,'LISTA DE PRECIOS'!D765,"")</f>
        <v/>
      </c>
      <c r="E751" t="str">
        <f>IF('LISTA DE PRECIOS'!$H765&gt;0,'LISTA DE PRECIOS'!E765,"")</f>
        <v/>
      </c>
      <c r="F751" t="str">
        <f>IF('LISTA DE PRECIOS'!$H765&gt;0,'LISTA DE PRECIOS'!F765,"")</f>
        <v/>
      </c>
      <c r="G751" s="31" t="str">
        <f>IF('LISTA DE PRECIOS'!$H765&gt;0,'LISTA DE PRECIOS'!G765,"")</f>
        <v/>
      </c>
      <c r="H751" s="67" t="str">
        <f>IF('LISTA DE PRECIOS'!$H765&gt;0,'LISTA DE PRECIOS'!H765,"")</f>
        <v/>
      </c>
      <c r="I751" s="31" t="str">
        <f t="shared" si="10"/>
        <v/>
      </c>
    </row>
    <row r="752" spans="1:9">
      <c r="A752" t="str">
        <f>IF('LISTA DE PRECIOS'!$H766&gt;0,'LISTA DE PRECIOS'!A766,"")</f>
        <v/>
      </c>
      <c r="B752" t="str">
        <f>IF('LISTA DE PRECIOS'!$H766&gt;0,'LISTA DE PRECIOS'!B766,"")</f>
        <v/>
      </c>
      <c r="C752" t="str">
        <f>IF('LISTA DE PRECIOS'!$H766&gt;0,'LISTA DE PRECIOS'!C766,"")</f>
        <v/>
      </c>
      <c r="D752" s="67" t="str">
        <f>IF('LISTA DE PRECIOS'!$H766&gt;0,'LISTA DE PRECIOS'!D766,"")</f>
        <v/>
      </c>
      <c r="E752" t="str">
        <f>IF('LISTA DE PRECIOS'!$H766&gt;0,'LISTA DE PRECIOS'!E766,"")</f>
        <v/>
      </c>
      <c r="F752" t="str">
        <f>IF('LISTA DE PRECIOS'!$H766&gt;0,'LISTA DE PRECIOS'!F766,"")</f>
        <v/>
      </c>
      <c r="G752" s="31" t="str">
        <f>IF('LISTA DE PRECIOS'!$H766&gt;0,'LISTA DE PRECIOS'!G766,"")</f>
        <v/>
      </c>
      <c r="H752" s="67" t="str">
        <f>IF('LISTA DE PRECIOS'!$H766&gt;0,'LISTA DE PRECIOS'!H766,"")</f>
        <v/>
      </c>
      <c r="I752" s="31" t="str">
        <f t="shared" si="10"/>
        <v/>
      </c>
    </row>
    <row r="753" spans="1:9">
      <c r="A753" t="str">
        <f>IF('LISTA DE PRECIOS'!$H767&gt;0,'LISTA DE PRECIOS'!A767,"")</f>
        <v/>
      </c>
      <c r="B753" t="str">
        <f>IF('LISTA DE PRECIOS'!$H767&gt;0,'LISTA DE PRECIOS'!B767,"")</f>
        <v/>
      </c>
      <c r="C753" t="str">
        <f>IF('LISTA DE PRECIOS'!$H767&gt;0,'LISTA DE PRECIOS'!C767,"")</f>
        <v/>
      </c>
      <c r="D753" s="67" t="str">
        <f>IF('LISTA DE PRECIOS'!$H767&gt;0,'LISTA DE PRECIOS'!D767,"")</f>
        <v/>
      </c>
      <c r="E753" t="str">
        <f>IF('LISTA DE PRECIOS'!$H767&gt;0,'LISTA DE PRECIOS'!E767,"")</f>
        <v/>
      </c>
      <c r="F753" t="str">
        <f>IF('LISTA DE PRECIOS'!$H767&gt;0,'LISTA DE PRECIOS'!F767,"")</f>
        <v/>
      </c>
      <c r="G753" s="31" t="str">
        <f>IF('LISTA DE PRECIOS'!$H767&gt;0,'LISTA DE PRECIOS'!G767,"")</f>
        <v/>
      </c>
      <c r="H753" s="67" t="str">
        <f>IF('LISTA DE PRECIOS'!$H767&gt;0,'LISTA DE PRECIOS'!H767,"")</f>
        <v/>
      </c>
      <c r="I753" s="31" t="str">
        <f t="shared" si="10"/>
        <v/>
      </c>
    </row>
    <row r="754" spans="1:9">
      <c r="A754" t="str">
        <f>IF('LISTA DE PRECIOS'!$H768&gt;0,'LISTA DE PRECIOS'!A768,"")</f>
        <v/>
      </c>
      <c r="B754" t="str">
        <f>IF('LISTA DE PRECIOS'!$H768&gt;0,'LISTA DE PRECIOS'!B768,"")</f>
        <v/>
      </c>
      <c r="C754" t="str">
        <f>IF('LISTA DE PRECIOS'!$H768&gt;0,'LISTA DE PRECIOS'!C768,"")</f>
        <v/>
      </c>
      <c r="D754" s="67" t="str">
        <f>IF('LISTA DE PRECIOS'!$H768&gt;0,'LISTA DE PRECIOS'!D768,"")</f>
        <v/>
      </c>
      <c r="E754" t="str">
        <f>IF('LISTA DE PRECIOS'!$H768&gt;0,'LISTA DE PRECIOS'!E768,"")</f>
        <v/>
      </c>
      <c r="F754" t="str">
        <f>IF('LISTA DE PRECIOS'!$H768&gt;0,'LISTA DE PRECIOS'!F768,"")</f>
        <v/>
      </c>
      <c r="G754" s="31" t="str">
        <f>IF('LISTA DE PRECIOS'!$H768&gt;0,'LISTA DE PRECIOS'!G768,"")</f>
        <v/>
      </c>
      <c r="H754" s="67" t="str">
        <f>IF('LISTA DE PRECIOS'!$H768&gt;0,'LISTA DE PRECIOS'!H768,"")</f>
        <v/>
      </c>
      <c r="I754" s="31" t="str">
        <f t="shared" si="10"/>
        <v/>
      </c>
    </row>
    <row r="755" spans="1:9">
      <c r="A755" t="str">
        <f>IF('LISTA DE PRECIOS'!$H769&gt;0,'LISTA DE PRECIOS'!A769,"")</f>
        <v/>
      </c>
      <c r="B755" t="str">
        <f>IF('LISTA DE PRECIOS'!$H769&gt;0,'LISTA DE PRECIOS'!B769,"")</f>
        <v/>
      </c>
      <c r="C755" t="str">
        <f>IF('LISTA DE PRECIOS'!$H769&gt;0,'LISTA DE PRECIOS'!C769,"")</f>
        <v/>
      </c>
      <c r="D755" s="67" t="str">
        <f>IF('LISTA DE PRECIOS'!$H769&gt;0,'LISTA DE PRECIOS'!D769,"")</f>
        <v/>
      </c>
      <c r="E755" t="str">
        <f>IF('LISTA DE PRECIOS'!$H769&gt;0,'LISTA DE PRECIOS'!E769,"")</f>
        <v/>
      </c>
      <c r="F755" t="str">
        <f>IF('LISTA DE PRECIOS'!$H769&gt;0,'LISTA DE PRECIOS'!F769,"")</f>
        <v/>
      </c>
      <c r="G755" s="31" t="str">
        <f>IF('LISTA DE PRECIOS'!$H769&gt;0,'LISTA DE PRECIOS'!G769,"")</f>
        <v/>
      </c>
      <c r="H755" s="67" t="str">
        <f>IF('LISTA DE PRECIOS'!$H769&gt;0,'LISTA DE PRECIOS'!H769,"")</f>
        <v/>
      </c>
      <c r="I755" s="31" t="str">
        <f t="shared" si="10"/>
        <v/>
      </c>
    </row>
    <row r="756" spans="1:9">
      <c r="A756" t="str">
        <f>IF('LISTA DE PRECIOS'!$H770&gt;0,'LISTA DE PRECIOS'!A770,"")</f>
        <v/>
      </c>
      <c r="B756" t="str">
        <f>IF('LISTA DE PRECIOS'!$H770&gt;0,'LISTA DE PRECIOS'!B770,"")</f>
        <v/>
      </c>
      <c r="C756" t="str">
        <f>IF('LISTA DE PRECIOS'!$H770&gt;0,'LISTA DE PRECIOS'!C770,"")</f>
        <v/>
      </c>
      <c r="D756" s="67" t="str">
        <f>IF('LISTA DE PRECIOS'!$H770&gt;0,'LISTA DE PRECIOS'!D770,"")</f>
        <v/>
      </c>
      <c r="E756" t="str">
        <f>IF('LISTA DE PRECIOS'!$H770&gt;0,'LISTA DE PRECIOS'!E770,"")</f>
        <v/>
      </c>
      <c r="F756" t="str">
        <f>IF('LISTA DE PRECIOS'!$H770&gt;0,'LISTA DE PRECIOS'!F770,"")</f>
        <v/>
      </c>
      <c r="G756" s="31" t="str">
        <f>IF('LISTA DE PRECIOS'!$H770&gt;0,'LISTA DE PRECIOS'!G770,"")</f>
        <v/>
      </c>
      <c r="H756" s="67" t="str">
        <f>IF('LISTA DE PRECIOS'!$H770&gt;0,'LISTA DE PRECIOS'!H770,"")</f>
        <v/>
      </c>
      <c r="I756" s="31" t="str">
        <f t="shared" si="10"/>
        <v/>
      </c>
    </row>
    <row r="757" spans="1:9">
      <c r="A757" t="str">
        <f>IF('LISTA DE PRECIOS'!$H771&gt;0,'LISTA DE PRECIOS'!A771,"")</f>
        <v/>
      </c>
      <c r="B757" t="str">
        <f>IF('LISTA DE PRECIOS'!$H771&gt;0,'LISTA DE PRECIOS'!B771,"")</f>
        <v/>
      </c>
      <c r="C757" t="str">
        <f>IF('LISTA DE PRECIOS'!$H771&gt;0,'LISTA DE PRECIOS'!C771,"")</f>
        <v/>
      </c>
      <c r="D757" s="67" t="str">
        <f>IF('LISTA DE PRECIOS'!$H771&gt;0,'LISTA DE PRECIOS'!D771,"")</f>
        <v/>
      </c>
      <c r="E757" t="str">
        <f>IF('LISTA DE PRECIOS'!$H771&gt;0,'LISTA DE PRECIOS'!E771,"")</f>
        <v/>
      </c>
      <c r="F757" t="str">
        <f>IF('LISTA DE PRECIOS'!$H771&gt;0,'LISTA DE PRECIOS'!F771,"")</f>
        <v/>
      </c>
      <c r="G757" s="31" t="str">
        <f>IF('LISTA DE PRECIOS'!$H771&gt;0,'LISTA DE PRECIOS'!G771,"")</f>
        <v/>
      </c>
      <c r="H757" s="67" t="str">
        <f>IF('LISTA DE PRECIOS'!$H771&gt;0,'LISTA DE PRECIOS'!H771,"")</f>
        <v/>
      </c>
      <c r="I757" s="31" t="str">
        <f t="shared" si="10"/>
        <v/>
      </c>
    </row>
    <row r="758" spans="1:9">
      <c r="A758" t="str">
        <f>IF('LISTA DE PRECIOS'!$H772&gt;0,'LISTA DE PRECIOS'!A772,"")</f>
        <v/>
      </c>
      <c r="B758" t="str">
        <f>IF('LISTA DE PRECIOS'!$H772&gt;0,'LISTA DE PRECIOS'!B772,"")</f>
        <v/>
      </c>
      <c r="C758" t="str">
        <f>IF('LISTA DE PRECIOS'!$H772&gt;0,'LISTA DE PRECIOS'!C772,"")</f>
        <v/>
      </c>
      <c r="D758" s="67" t="str">
        <f>IF('LISTA DE PRECIOS'!$H772&gt;0,'LISTA DE PRECIOS'!D772,"")</f>
        <v/>
      </c>
      <c r="E758" t="str">
        <f>IF('LISTA DE PRECIOS'!$H772&gt;0,'LISTA DE PRECIOS'!E772,"")</f>
        <v/>
      </c>
      <c r="F758" t="str">
        <f>IF('LISTA DE PRECIOS'!$H772&gt;0,'LISTA DE PRECIOS'!F772,"")</f>
        <v/>
      </c>
      <c r="G758" s="31" t="str">
        <f>IF('LISTA DE PRECIOS'!$H772&gt;0,'LISTA DE PRECIOS'!G772,"")</f>
        <v/>
      </c>
      <c r="H758" s="67" t="str">
        <f>IF('LISTA DE PRECIOS'!$H772&gt;0,'LISTA DE PRECIOS'!H772,"")</f>
        <v/>
      </c>
      <c r="I758" s="31" t="str">
        <f t="shared" si="10"/>
        <v/>
      </c>
    </row>
    <row r="759" spans="1:9">
      <c r="A759" t="str">
        <f>IF('LISTA DE PRECIOS'!$H773&gt;0,'LISTA DE PRECIOS'!A773,"")</f>
        <v/>
      </c>
      <c r="B759" t="str">
        <f>IF('LISTA DE PRECIOS'!$H773&gt;0,'LISTA DE PRECIOS'!B773,"")</f>
        <v/>
      </c>
      <c r="C759" t="str">
        <f>IF('LISTA DE PRECIOS'!$H773&gt;0,'LISTA DE PRECIOS'!C773,"")</f>
        <v/>
      </c>
      <c r="D759" s="67" t="str">
        <f>IF('LISTA DE PRECIOS'!$H773&gt;0,'LISTA DE PRECIOS'!D773,"")</f>
        <v/>
      </c>
      <c r="E759" t="str">
        <f>IF('LISTA DE PRECIOS'!$H773&gt;0,'LISTA DE PRECIOS'!E773,"")</f>
        <v/>
      </c>
      <c r="F759" t="str">
        <f>IF('LISTA DE PRECIOS'!$H773&gt;0,'LISTA DE PRECIOS'!F773,"")</f>
        <v/>
      </c>
      <c r="G759" s="31" t="str">
        <f>IF('LISTA DE PRECIOS'!$H773&gt;0,'LISTA DE PRECIOS'!G773,"")</f>
        <v/>
      </c>
      <c r="H759" s="67" t="str">
        <f>IF('LISTA DE PRECIOS'!$H773&gt;0,'LISTA DE PRECIOS'!H773,"")</f>
        <v/>
      </c>
      <c r="I759" s="31" t="str">
        <f t="shared" si="10"/>
        <v/>
      </c>
    </row>
    <row r="760" spans="1:9">
      <c r="A760" t="str">
        <f>IF('LISTA DE PRECIOS'!$H774&gt;0,'LISTA DE PRECIOS'!A774,"")</f>
        <v/>
      </c>
      <c r="B760" t="str">
        <f>IF('LISTA DE PRECIOS'!$H774&gt;0,'LISTA DE PRECIOS'!B774,"")</f>
        <v/>
      </c>
      <c r="C760" t="str">
        <f>IF('LISTA DE PRECIOS'!$H774&gt;0,'LISTA DE PRECIOS'!C774,"")</f>
        <v/>
      </c>
      <c r="D760" s="67" t="str">
        <f>IF('LISTA DE PRECIOS'!$H774&gt;0,'LISTA DE PRECIOS'!D774,"")</f>
        <v/>
      </c>
      <c r="E760" t="str">
        <f>IF('LISTA DE PRECIOS'!$H774&gt;0,'LISTA DE PRECIOS'!E774,"")</f>
        <v/>
      </c>
      <c r="F760" t="str">
        <f>IF('LISTA DE PRECIOS'!$H774&gt;0,'LISTA DE PRECIOS'!F774,"")</f>
        <v/>
      </c>
      <c r="G760" s="31" t="str">
        <f>IF('LISTA DE PRECIOS'!$H774&gt;0,'LISTA DE PRECIOS'!G774,"")</f>
        <v/>
      </c>
      <c r="H760" s="67" t="str">
        <f>IF('LISTA DE PRECIOS'!$H774&gt;0,'LISTA DE PRECIOS'!H774,"")</f>
        <v/>
      </c>
      <c r="I760" s="31" t="str">
        <f t="shared" si="10"/>
        <v/>
      </c>
    </row>
    <row r="761" spans="1:9">
      <c r="A761" t="str">
        <f>IF('LISTA DE PRECIOS'!$H775&gt;0,'LISTA DE PRECIOS'!A775,"")</f>
        <v/>
      </c>
      <c r="B761" t="str">
        <f>IF('LISTA DE PRECIOS'!$H775&gt;0,'LISTA DE PRECIOS'!B775,"")</f>
        <v/>
      </c>
      <c r="C761" t="str">
        <f>IF('LISTA DE PRECIOS'!$H775&gt;0,'LISTA DE PRECIOS'!C775,"")</f>
        <v/>
      </c>
      <c r="D761" s="67" t="str">
        <f>IF('LISTA DE PRECIOS'!$H775&gt;0,'LISTA DE PRECIOS'!D775,"")</f>
        <v/>
      </c>
      <c r="E761" t="str">
        <f>IF('LISTA DE PRECIOS'!$H775&gt;0,'LISTA DE PRECIOS'!E775,"")</f>
        <v/>
      </c>
      <c r="F761" t="str">
        <f>IF('LISTA DE PRECIOS'!$H775&gt;0,'LISTA DE PRECIOS'!F775,"")</f>
        <v/>
      </c>
      <c r="G761" s="31" t="str">
        <f>IF('LISTA DE PRECIOS'!$H775&gt;0,'LISTA DE PRECIOS'!G775,"")</f>
        <v/>
      </c>
      <c r="H761" s="67" t="str">
        <f>IF('LISTA DE PRECIOS'!$H775&gt;0,'LISTA DE PRECIOS'!H775,"")</f>
        <v/>
      </c>
      <c r="I761" s="31" t="str">
        <f t="shared" si="10"/>
        <v/>
      </c>
    </row>
    <row r="762" spans="1:9">
      <c r="A762" t="str">
        <f>IF('LISTA DE PRECIOS'!$H776&gt;0,'LISTA DE PRECIOS'!A776,"")</f>
        <v/>
      </c>
      <c r="B762" t="str">
        <f>IF('LISTA DE PRECIOS'!$H776&gt;0,'LISTA DE PRECIOS'!B776,"")</f>
        <v/>
      </c>
      <c r="C762" t="str">
        <f>IF('LISTA DE PRECIOS'!$H776&gt;0,'LISTA DE PRECIOS'!C776,"")</f>
        <v/>
      </c>
      <c r="D762" s="67" t="str">
        <f>IF('LISTA DE PRECIOS'!$H776&gt;0,'LISTA DE PRECIOS'!D776,"")</f>
        <v/>
      </c>
      <c r="E762" t="str">
        <f>IF('LISTA DE PRECIOS'!$H776&gt;0,'LISTA DE PRECIOS'!E776,"")</f>
        <v/>
      </c>
      <c r="F762" t="str">
        <f>IF('LISTA DE PRECIOS'!$H776&gt;0,'LISTA DE PRECIOS'!F776,"")</f>
        <v/>
      </c>
      <c r="G762" s="31" t="str">
        <f>IF('LISTA DE PRECIOS'!$H776&gt;0,'LISTA DE PRECIOS'!G776,"")</f>
        <v/>
      </c>
      <c r="H762" s="67" t="str">
        <f>IF('LISTA DE PRECIOS'!$H776&gt;0,'LISTA DE PRECIOS'!H776,"")</f>
        <v/>
      </c>
      <c r="I762" s="31" t="str">
        <f t="shared" si="10"/>
        <v/>
      </c>
    </row>
    <row r="763" spans="1:9">
      <c r="A763" t="str">
        <f>IF('LISTA DE PRECIOS'!$H777&gt;0,'LISTA DE PRECIOS'!A777,"")</f>
        <v/>
      </c>
      <c r="B763" t="str">
        <f>IF('LISTA DE PRECIOS'!$H777&gt;0,'LISTA DE PRECIOS'!B777,"")</f>
        <v/>
      </c>
      <c r="C763" t="str">
        <f>IF('LISTA DE PRECIOS'!$H777&gt;0,'LISTA DE PRECIOS'!C777,"")</f>
        <v/>
      </c>
      <c r="D763" s="67" t="str">
        <f>IF('LISTA DE PRECIOS'!$H777&gt;0,'LISTA DE PRECIOS'!D777,"")</f>
        <v/>
      </c>
      <c r="E763" t="str">
        <f>IF('LISTA DE PRECIOS'!$H777&gt;0,'LISTA DE PRECIOS'!E777,"")</f>
        <v/>
      </c>
      <c r="F763" t="str">
        <f>IF('LISTA DE PRECIOS'!$H777&gt;0,'LISTA DE PRECIOS'!F777,"")</f>
        <v/>
      </c>
      <c r="G763" s="31" t="str">
        <f>IF('LISTA DE PRECIOS'!$H777&gt;0,'LISTA DE PRECIOS'!G777,"")</f>
        <v/>
      </c>
      <c r="H763" s="67" t="str">
        <f>IF('LISTA DE PRECIOS'!$H777&gt;0,'LISTA DE PRECIOS'!H777,"")</f>
        <v/>
      </c>
      <c r="I763" s="31" t="str">
        <f t="shared" si="10"/>
        <v/>
      </c>
    </row>
    <row r="764" spans="1:9">
      <c r="A764" t="str">
        <f>IF('LISTA DE PRECIOS'!$H778&gt;0,'LISTA DE PRECIOS'!A778,"")</f>
        <v/>
      </c>
      <c r="B764" t="str">
        <f>IF('LISTA DE PRECIOS'!$H778&gt;0,'LISTA DE PRECIOS'!B778,"")</f>
        <v/>
      </c>
      <c r="C764" t="str">
        <f>IF('LISTA DE PRECIOS'!$H778&gt;0,'LISTA DE PRECIOS'!C778,"")</f>
        <v/>
      </c>
      <c r="D764" s="67" t="str">
        <f>IF('LISTA DE PRECIOS'!$H778&gt;0,'LISTA DE PRECIOS'!D778,"")</f>
        <v/>
      </c>
      <c r="E764" t="str">
        <f>IF('LISTA DE PRECIOS'!$H778&gt;0,'LISTA DE PRECIOS'!E778,"")</f>
        <v/>
      </c>
      <c r="F764" t="str">
        <f>IF('LISTA DE PRECIOS'!$H778&gt;0,'LISTA DE PRECIOS'!F778,"")</f>
        <v/>
      </c>
      <c r="G764" s="31" t="str">
        <f>IF('LISTA DE PRECIOS'!$H778&gt;0,'LISTA DE PRECIOS'!G778,"")</f>
        <v/>
      </c>
      <c r="H764" s="67" t="str">
        <f>IF('LISTA DE PRECIOS'!$H778&gt;0,'LISTA DE PRECIOS'!H778,"")</f>
        <v/>
      </c>
      <c r="I764" s="31" t="str">
        <f t="shared" si="10"/>
        <v/>
      </c>
    </row>
    <row r="765" spans="1:9">
      <c r="A765" t="str">
        <f>IF('LISTA DE PRECIOS'!$H779&gt;0,'LISTA DE PRECIOS'!A779,"")</f>
        <v/>
      </c>
      <c r="B765" t="str">
        <f>IF('LISTA DE PRECIOS'!$H779&gt;0,'LISTA DE PRECIOS'!B779,"")</f>
        <v/>
      </c>
      <c r="C765" t="str">
        <f>IF('LISTA DE PRECIOS'!$H779&gt;0,'LISTA DE PRECIOS'!C779,"")</f>
        <v/>
      </c>
      <c r="D765" s="67" t="str">
        <f>IF('LISTA DE PRECIOS'!$H779&gt;0,'LISTA DE PRECIOS'!D779,"")</f>
        <v/>
      </c>
      <c r="E765" t="str">
        <f>IF('LISTA DE PRECIOS'!$H779&gt;0,'LISTA DE PRECIOS'!E779,"")</f>
        <v/>
      </c>
      <c r="F765" t="str">
        <f>IF('LISTA DE PRECIOS'!$H779&gt;0,'LISTA DE PRECIOS'!F779,"")</f>
        <v/>
      </c>
      <c r="G765" s="31" t="str">
        <f>IF('LISTA DE PRECIOS'!$H779&gt;0,'LISTA DE PRECIOS'!G779,"")</f>
        <v/>
      </c>
      <c r="H765" s="67" t="str">
        <f>IF('LISTA DE PRECIOS'!$H779&gt;0,'LISTA DE PRECIOS'!H779,"")</f>
        <v/>
      </c>
      <c r="I765" s="31" t="str">
        <f t="shared" si="10"/>
        <v/>
      </c>
    </row>
    <row r="766" spans="1:9">
      <c r="A766" t="str">
        <f>IF('LISTA DE PRECIOS'!$H780&gt;0,'LISTA DE PRECIOS'!A780,"")</f>
        <v/>
      </c>
      <c r="B766" t="str">
        <f>IF('LISTA DE PRECIOS'!$H780&gt;0,'LISTA DE PRECIOS'!B780,"")</f>
        <v/>
      </c>
      <c r="C766" t="str">
        <f>IF('LISTA DE PRECIOS'!$H780&gt;0,'LISTA DE PRECIOS'!C780,"")</f>
        <v/>
      </c>
      <c r="D766" s="67" t="str">
        <f>IF('LISTA DE PRECIOS'!$H780&gt;0,'LISTA DE PRECIOS'!D780,"")</f>
        <v/>
      </c>
      <c r="E766" t="str">
        <f>IF('LISTA DE PRECIOS'!$H780&gt;0,'LISTA DE PRECIOS'!E780,"")</f>
        <v/>
      </c>
      <c r="F766" t="str">
        <f>IF('LISTA DE PRECIOS'!$H780&gt;0,'LISTA DE PRECIOS'!F780,"")</f>
        <v/>
      </c>
      <c r="G766" s="31" t="str">
        <f>IF('LISTA DE PRECIOS'!$H780&gt;0,'LISTA DE PRECIOS'!G780,"")</f>
        <v/>
      </c>
      <c r="H766" s="67" t="str">
        <f>IF('LISTA DE PRECIOS'!$H780&gt;0,'LISTA DE PRECIOS'!H780,"")</f>
        <v/>
      </c>
      <c r="I766" s="31" t="str">
        <f t="shared" si="10"/>
        <v/>
      </c>
    </row>
    <row r="767" spans="1:9">
      <c r="A767" t="str">
        <f>IF('LISTA DE PRECIOS'!$H781&gt;0,'LISTA DE PRECIOS'!A781,"")</f>
        <v/>
      </c>
      <c r="B767" t="str">
        <f>IF('LISTA DE PRECIOS'!$H781&gt;0,'LISTA DE PRECIOS'!B781,"")</f>
        <v/>
      </c>
      <c r="C767" t="str">
        <f>IF('LISTA DE PRECIOS'!$H781&gt;0,'LISTA DE PRECIOS'!C781,"")</f>
        <v/>
      </c>
      <c r="D767" s="67" t="str">
        <f>IF('LISTA DE PRECIOS'!$H781&gt;0,'LISTA DE PRECIOS'!D781,"")</f>
        <v/>
      </c>
      <c r="E767" t="str">
        <f>IF('LISTA DE PRECIOS'!$H781&gt;0,'LISTA DE PRECIOS'!E781,"")</f>
        <v/>
      </c>
      <c r="F767" t="str">
        <f>IF('LISTA DE PRECIOS'!$H781&gt;0,'LISTA DE PRECIOS'!F781,"")</f>
        <v/>
      </c>
      <c r="G767" s="31" t="str">
        <f>IF('LISTA DE PRECIOS'!$H781&gt;0,'LISTA DE PRECIOS'!G781,"")</f>
        <v/>
      </c>
      <c r="H767" s="67" t="str">
        <f>IF('LISTA DE PRECIOS'!$H781&gt;0,'LISTA DE PRECIOS'!H781,"")</f>
        <v/>
      </c>
      <c r="I767" s="31" t="str">
        <f t="shared" si="10"/>
        <v/>
      </c>
    </row>
    <row r="768" spans="1:9">
      <c r="A768" t="str">
        <f>IF('LISTA DE PRECIOS'!$H782&gt;0,'LISTA DE PRECIOS'!A782,"")</f>
        <v/>
      </c>
      <c r="B768" t="str">
        <f>IF('LISTA DE PRECIOS'!$H782&gt;0,'LISTA DE PRECIOS'!B782,"")</f>
        <v/>
      </c>
      <c r="C768" t="str">
        <f>IF('LISTA DE PRECIOS'!$H782&gt;0,'LISTA DE PRECIOS'!C782,"")</f>
        <v/>
      </c>
      <c r="D768" s="67" t="str">
        <f>IF('LISTA DE PRECIOS'!$H782&gt;0,'LISTA DE PRECIOS'!D782,"")</f>
        <v/>
      </c>
      <c r="E768" t="str">
        <f>IF('LISTA DE PRECIOS'!$H782&gt;0,'LISTA DE PRECIOS'!E782,"")</f>
        <v/>
      </c>
      <c r="F768" t="str">
        <f>IF('LISTA DE PRECIOS'!$H782&gt;0,'LISTA DE PRECIOS'!F782,"")</f>
        <v/>
      </c>
      <c r="G768" s="31" t="str">
        <f>IF('LISTA DE PRECIOS'!$H782&gt;0,'LISTA DE PRECIOS'!G782,"")</f>
        <v/>
      </c>
      <c r="H768" s="67" t="str">
        <f>IF('LISTA DE PRECIOS'!$H782&gt;0,'LISTA DE PRECIOS'!H782,"")</f>
        <v/>
      </c>
      <c r="I768" s="31" t="str">
        <f t="shared" si="10"/>
        <v/>
      </c>
    </row>
    <row r="769" spans="1:9">
      <c r="A769" t="str">
        <f>IF('LISTA DE PRECIOS'!$H783&gt;0,'LISTA DE PRECIOS'!A783,"")</f>
        <v/>
      </c>
      <c r="B769" t="str">
        <f>IF('LISTA DE PRECIOS'!$H783&gt;0,'LISTA DE PRECIOS'!B783,"")</f>
        <v/>
      </c>
      <c r="C769" t="str">
        <f>IF('LISTA DE PRECIOS'!$H783&gt;0,'LISTA DE PRECIOS'!C783,"")</f>
        <v/>
      </c>
      <c r="D769" s="67" t="str">
        <f>IF('LISTA DE PRECIOS'!$H783&gt;0,'LISTA DE PRECIOS'!D783,"")</f>
        <v/>
      </c>
      <c r="E769" t="str">
        <f>IF('LISTA DE PRECIOS'!$H783&gt;0,'LISTA DE PRECIOS'!E783,"")</f>
        <v/>
      </c>
      <c r="F769" t="str">
        <f>IF('LISTA DE PRECIOS'!$H783&gt;0,'LISTA DE PRECIOS'!F783,"")</f>
        <v/>
      </c>
      <c r="G769" s="31" t="str">
        <f>IF('LISTA DE PRECIOS'!$H783&gt;0,'LISTA DE PRECIOS'!G783,"")</f>
        <v/>
      </c>
      <c r="H769" s="67" t="str">
        <f>IF('LISTA DE PRECIOS'!$H783&gt;0,'LISTA DE PRECIOS'!H783,"")</f>
        <v/>
      </c>
      <c r="I769" s="31" t="str">
        <f t="shared" si="10"/>
        <v/>
      </c>
    </row>
    <row r="770" spans="1:9">
      <c r="A770" t="str">
        <f>IF('LISTA DE PRECIOS'!$H784&gt;0,'LISTA DE PRECIOS'!A784,"")</f>
        <v/>
      </c>
      <c r="B770" t="str">
        <f>IF('LISTA DE PRECIOS'!$H784&gt;0,'LISTA DE PRECIOS'!B784,"")</f>
        <v/>
      </c>
      <c r="C770" t="str">
        <f>IF('LISTA DE PRECIOS'!$H784&gt;0,'LISTA DE PRECIOS'!C784,"")</f>
        <v/>
      </c>
      <c r="D770" s="67" t="str">
        <f>IF('LISTA DE PRECIOS'!$H784&gt;0,'LISTA DE PRECIOS'!D784,"")</f>
        <v/>
      </c>
      <c r="E770" t="str">
        <f>IF('LISTA DE PRECIOS'!$H784&gt;0,'LISTA DE PRECIOS'!E784,"")</f>
        <v/>
      </c>
      <c r="F770" t="str">
        <f>IF('LISTA DE PRECIOS'!$H784&gt;0,'LISTA DE PRECIOS'!F784,"")</f>
        <v/>
      </c>
      <c r="G770" s="31" t="str">
        <f>IF('LISTA DE PRECIOS'!$H784&gt;0,'LISTA DE PRECIOS'!G784,"")</f>
        <v/>
      </c>
      <c r="H770" s="67" t="str">
        <f>IF('LISTA DE PRECIOS'!$H784&gt;0,'LISTA DE PRECIOS'!H784,"")</f>
        <v/>
      </c>
      <c r="I770" s="31" t="str">
        <f t="shared" si="10"/>
        <v/>
      </c>
    </row>
    <row r="771" spans="1:9">
      <c r="A771" t="str">
        <f>IF('LISTA DE PRECIOS'!$H785&gt;0,'LISTA DE PRECIOS'!A785,"")</f>
        <v/>
      </c>
      <c r="B771" t="str">
        <f>IF('LISTA DE PRECIOS'!$H785&gt;0,'LISTA DE PRECIOS'!B785,"")</f>
        <v/>
      </c>
      <c r="C771" t="str">
        <f>IF('LISTA DE PRECIOS'!$H785&gt;0,'LISTA DE PRECIOS'!C785,"")</f>
        <v/>
      </c>
      <c r="D771" s="67" t="str">
        <f>IF('LISTA DE PRECIOS'!$H785&gt;0,'LISTA DE PRECIOS'!D785,"")</f>
        <v/>
      </c>
      <c r="E771" t="str">
        <f>IF('LISTA DE PRECIOS'!$H785&gt;0,'LISTA DE PRECIOS'!E785,"")</f>
        <v/>
      </c>
      <c r="F771" t="str">
        <f>IF('LISTA DE PRECIOS'!$H785&gt;0,'LISTA DE PRECIOS'!F785,"")</f>
        <v/>
      </c>
      <c r="G771" s="31" t="str">
        <f>IF('LISTA DE PRECIOS'!$H785&gt;0,'LISTA DE PRECIOS'!G785,"")</f>
        <v/>
      </c>
      <c r="H771" s="67" t="str">
        <f>IF('LISTA DE PRECIOS'!$H785&gt;0,'LISTA DE PRECIOS'!H785,"")</f>
        <v/>
      </c>
      <c r="I771" s="31" t="str">
        <f t="shared" si="10"/>
        <v/>
      </c>
    </row>
    <row r="772" spans="1:9">
      <c r="A772" t="str">
        <f>IF('LISTA DE PRECIOS'!$H786&gt;0,'LISTA DE PRECIOS'!A786,"")</f>
        <v/>
      </c>
      <c r="B772" t="str">
        <f>IF('LISTA DE PRECIOS'!$H786&gt;0,'LISTA DE PRECIOS'!B786,"")</f>
        <v/>
      </c>
      <c r="C772" t="str">
        <f>IF('LISTA DE PRECIOS'!$H786&gt;0,'LISTA DE PRECIOS'!C786,"")</f>
        <v/>
      </c>
      <c r="D772" s="67" t="str">
        <f>IF('LISTA DE PRECIOS'!$H786&gt;0,'LISTA DE PRECIOS'!D786,"")</f>
        <v/>
      </c>
      <c r="E772" t="str">
        <f>IF('LISTA DE PRECIOS'!$H786&gt;0,'LISTA DE PRECIOS'!E786,"")</f>
        <v/>
      </c>
      <c r="F772" t="str">
        <f>IF('LISTA DE PRECIOS'!$H786&gt;0,'LISTA DE PRECIOS'!F786,"")</f>
        <v/>
      </c>
      <c r="G772" s="31" t="str">
        <f>IF('LISTA DE PRECIOS'!$H786&gt;0,'LISTA DE PRECIOS'!G786,"")</f>
        <v/>
      </c>
      <c r="H772" s="67" t="str">
        <f>IF('LISTA DE PRECIOS'!$H786&gt;0,'LISTA DE PRECIOS'!H786,"")</f>
        <v/>
      </c>
      <c r="I772" s="31" t="str">
        <f t="shared" si="10"/>
        <v/>
      </c>
    </row>
    <row r="773" spans="1:9">
      <c r="A773" t="str">
        <f>IF('LISTA DE PRECIOS'!$H787&gt;0,'LISTA DE PRECIOS'!A787,"")</f>
        <v/>
      </c>
      <c r="B773" t="str">
        <f>IF('LISTA DE PRECIOS'!$H787&gt;0,'LISTA DE PRECIOS'!B787,"")</f>
        <v/>
      </c>
      <c r="C773" t="str">
        <f>IF('LISTA DE PRECIOS'!$H787&gt;0,'LISTA DE PRECIOS'!C787,"")</f>
        <v/>
      </c>
      <c r="D773" s="67" t="str">
        <f>IF('LISTA DE PRECIOS'!$H787&gt;0,'LISTA DE PRECIOS'!D787,"")</f>
        <v/>
      </c>
      <c r="E773" t="str">
        <f>IF('LISTA DE PRECIOS'!$H787&gt;0,'LISTA DE PRECIOS'!E787,"")</f>
        <v/>
      </c>
      <c r="F773" t="str">
        <f>IF('LISTA DE PRECIOS'!$H787&gt;0,'LISTA DE PRECIOS'!F787,"")</f>
        <v/>
      </c>
      <c r="G773" s="31" t="str">
        <f>IF('LISTA DE PRECIOS'!$H787&gt;0,'LISTA DE PRECIOS'!G787,"")</f>
        <v/>
      </c>
      <c r="H773" s="67" t="str">
        <f>IF('LISTA DE PRECIOS'!$H787&gt;0,'LISTA DE PRECIOS'!H787,"")</f>
        <v/>
      </c>
      <c r="I773" s="31" t="str">
        <f t="shared" si="10"/>
        <v/>
      </c>
    </row>
    <row r="774" spans="1:9">
      <c r="A774" t="str">
        <f>IF('LISTA DE PRECIOS'!$H788&gt;0,'LISTA DE PRECIOS'!A788,"")</f>
        <v/>
      </c>
      <c r="B774" t="str">
        <f>IF('LISTA DE PRECIOS'!$H788&gt;0,'LISTA DE PRECIOS'!B788,"")</f>
        <v/>
      </c>
      <c r="C774" t="str">
        <f>IF('LISTA DE PRECIOS'!$H788&gt;0,'LISTA DE PRECIOS'!C788,"")</f>
        <v/>
      </c>
      <c r="D774" s="67" t="str">
        <f>IF('LISTA DE PRECIOS'!$H788&gt;0,'LISTA DE PRECIOS'!D788,"")</f>
        <v/>
      </c>
      <c r="E774" t="str">
        <f>IF('LISTA DE PRECIOS'!$H788&gt;0,'LISTA DE PRECIOS'!E788,"")</f>
        <v/>
      </c>
      <c r="F774" t="str">
        <f>IF('LISTA DE PRECIOS'!$H788&gt;0,'LISTA DE PRECIOS'!F788,"")</f>
        <v/>
      </c>
      <c r="G774" s="31" t="str">
        <f>IF('LISTA DE PRECIOS'!$H788&gt;0,'LISTA DE PRECIOS'!G788,"")</f>
        <v/>
      </c>
      <c r="H774" s="67" t="str">
        <f>IF('LISTA DE PRECIOS'!$H788&gt;0,'LISTA DE PRECIOS'!H788,"")</f>
        <v/>
      </c>
      <c r="I774" s="31" t="str">
        <f t="shared" si="10"/>
        <v/>
      </c>
    </row>
    <row r="775" spans="1:9">
      <c r="A775" t="str">
        <f>IF('LISTA DE PRECIOS'!$H789&gt;0,'LISTA DE PRECIOS'!A789,"")</f>
        <v/>
      </c>
      <c r="B775" t="str">
        <f>IF('LISTA DE PRECIOS'!$H789&gt;0,'LISTA DE PRECIOS'!B789,"")</f>
        <v/>
      </c>
      <c r="C775" t="str">
        <f>IF('LISTA DE PRECIOS'!$H789&gt;0,'LISTA DE PRECIOS'!C789,"")</f>
        <v/>
      </c>
      <c r="D775" s="67" t="str">
        <f>IF('LISTA DE PRECIOS'!$H789&gt;0,'LISTA DE PRECIOS'!D789,"")</f>
        <v/>
      </c>
      <c r="E775" t="str">
        <f>IF('LISTA DE PRECIOS'!$H789&gt;0,'LISTA DE PRECIOS'!E789,"")</f>
        <v/>
      </c>
      <c r="F775" t="str">
        <f>IF('LISTA DE PRECIOS'!$H789&gt;0,'LISTA DE PRECIOS'!F789,"")</f>
        <v/>
      </c>
      <c r="G775" s="31" t="str">
        <f>IF('LISTA DE PRECIOS'!$H789&gt;0,'LISTA DE PRECIOS'!G789,"")</f>
        <v/>
      </c>
      <c r="H775" s="67" t="str">
        <f>IF('LISTA DE PRECIOS'!$H789&gt;0,'LISTA DE PRECIOS'!H789,"")</f>
        <v/>
      </c>
      <c r="I775" s="31" t="str">
        <f t="shared" si="10"/>
        <v/>
      </c>
    </row>
    <row r="776" spans="1:9">
      <c r="A776" t="str">
        <f>IF('LISTA DE PRECIOS'!$H790&gt;0,'LISTA DE PRECIOS'!A790,"")</f>
        <v/>
      </c>
      <c r="B776" t="str">
        <f>IF('LISTA DE PRECIOS'!$H790&gt;0,'LISTA DE PRECIOS'!B790,"")</f>
        <v/>
      </c>
      <c r="C776" t="str">
        <f>IF('LISTA DE PRECIOS'!$H790&gt;0,'LISTA DE PRECIOS'!C790,"")</f>
        <v/>
      </c>
      <c r="D776" s="67" t="str">
        <f>IF('LISTA DE PRECIOS'!$H790&gt;0,'LISTA DE PRECIOS'!D790,"")</f>
        <v/>
      </c>
      <c r="E776" t="str">
        <f>IF('LISTA DE PRECIOS'!$H790&gt;0,'LISTA DE PRECIOS'!E790,"")</f>
        <v/>
      </c>
      <c r="F776" t="str">
        <f>IF('LISTA DE PRECIOS'!$H790&gt;0,'LISTA DE PRECIOS'!F790,"")</f>
        <v/>
      </c>
      <c r="G776" s="31" t="str">
        <f>IF('LISTA DE PRECIOS'!$H790&gt;0,'LISTA DE PRECIOS'!G790,"")</f>
        <v/>
      </c>
      <c r="H776" s="67" t="str">
        <f>IF('LISTA DE PRECIOS'!$H790&gt;0,'LISTA DE PRECIOS'!H790,"")</f>
        <v/>
      </c>
      <c r="I776" s="31" t="str">
        <f t="shared" si="10"/>
        <v/>
      </c>
    </row>
    <row r="777" spans="1:9">
      <c r="A777" t="str">
        <f>IF('LISTA DE PRECIOS'!$H791&gt;0,'LISTA DE PRECIOS'!A791,"")</f>
        <v/>
      </c>
      <c r="B777" t="str">
        <f>IF('LISTA DE PRECIOS'!$H791&gt;0,'LISTA DE PRECIOS'!B791,"")</f>
        <v/>
      </c>
      <c r="C777" t="str">
        <f>IF('LISTA DE PRECIOS'!$H791&gt;0,'LISTA DE PRECIOS'!C791,"")</f>
        <v/>
      </c>
      <c r="D777" s="67" t="str">
        <f>IF('LISTA DE PRECIOS'!$H791&gt;0,'LISTA DE PRECIOS'!D791,"")</f>
        <v/>
      </c>
      <c r="E777" t="str">
        <f>IF('LISTA DE PRECIOS'!$H791&gt;0,'LISTA DE PRECIOS'!E791,"")</f>
        <v/>
      </c>
      <c r="F777" t="str">
        <f>IF('LISTA DE PRECIOS'!$H791&gt;0,'LISTA DE PRECIOS'!F791,"")</f>
        <v/>
      </c>
      <c r="G777" s="31" t="str">
        <f>IF('LISTA DE PRECIOS'!$H791&gt;0,'LISTA DE PRECIOS'!G791,"")</f>
        <v/>
      </c>
      <c r="H777" s="67" t="str">
        <f>IF('LISTA DE PRECIOS'!$H791&gt;0,'LISTA DE PRECIOS'!H791,"")</f>
        <v/>
      </c>
      <c r="I777" s="31" t="str">
        <f t="shared" si="10"/>
        <v/>
      </c>
    </row>
    <row r="778" spans="1:9">
      <c r="A778" t="str">
        <f>IF('LISTA DE PRECIOS'!$H792&gt;0,'LISTA DE PRECIOS'!A792,"")</f>
        <v/>
      </c>
      <c r="B778" t="str">
        <f>IF('LISTA DE PRECIOS'!$H792&gt;0,'LISTA DE PRECIOS'!B792,"")</f>
        <v/>
      </c>
      <c r="C778" t="str">
        <f>IF('LISTA DE PRECIOS'!$H792&gt;0,'LISTA DE PRECIOS'!C792,"")</f>
        <v/>
      </c>
      <c r="D778" s="67" t="str">
        <f>IF('LISTA DE PRECIOS'!$H792&gt;0,'LISTA DE PRECIOS'!D792,"")</f>
        <v/>
      </c>
      <c r="E778" t="str">
        <f>IF('LISTA DE PRECIOS'!$H792&gt;0,'LISTA DE PRECIOS'!E792,"")</f>
        <v/>
      </c>
      <c r="F778" t="str">
        <f>IF('LISTA DE PRECIOS'!$H792&gt;0,'LISTA DE PRECIOS'!F792,"")</f>
        <v/>
      </c>
      <c r="G778" s="31" t="str">
        <f>IF('LISTA DE PRECIOS'!$H792&gt;0,'LISTA DE PRECIOS'!G792,"")</f>
        <v/>
      </c>
      <c r="H778" s="67" t="str">
        <f>IF('LISTA DE PRECIOS'!$H792&gt;0,'LISTA DE PRECIOS'!H792,"")</f>
        <v/>
      </c>
      <c r="I778" s="31" t="str">
        <f t="shared" si="10"/>
        <v/>
      </c>
    </row>
    <row r="779" spans="1:9">
      <c r="A779" t="str">
        <f>IF('LISTA DE PRECIOS'!$H793&gt;0,'LISTA DE PRECIOS'!A793,"")</f>
        <v/>
      </c>
      <c r="B779" t="str">
        <f>IF('LISTA DE PRECIOS'!$H793&gt;0,'LISTA DE PRECIOS'!B793,"")</f>
        <v/>
      </c>
      <c r="C779" t="str">
        <f>IF('LISTA DE PRECIOS'!$H793&gt;0,'LISTA DE PRECIOS'!C793,"")</f>
        <v/>
      </c>
      <c r="D779" s="67" t="str">
        <f>IF('LISTA DE PRECIOS'!$H793&gt;0,'LISTA DE PRECIOS'!D793,"")</f>
        <v/>
      </c>
      <c r="E779" t="str">
        <f>IF('LISTA DE PRECIOS'!$H793&gt;0,'LISTA DE PRECIOS'!E793,"")</f>
        <v/>
      </c>
      <c r="F779" t="str">
        <f>IF('LISTA DE PRECIOS'!$H793&gt;0,'LISTA DE PRECIOS'!F793,"")</f>
        <v/>
      </c>
      <c r="G779" s="31" t="str">
        <f>IF('LISTA DE PRECIOS'!$H793&gt;0,'LISTA DE PRECIOS'!G793,"")</f>
        <v/>
      </c>
      <c r="H779" s="67" t="str">
        <f>IF('LISTA DE PRECIOS'!$H793&gt;0,'LISTA DE PRECIOS'!H793,"")</f>
        <v/>
      </c>
      <c r="I779" s="31" t="str">
        <f t="shared" si="10"/>
        <v/>
      </c>
    </row>
    <row r="780" spans="1:9">
      <c r="A780" t="str">
        <f>IF('LISTA DE PRECIOS'!$H794&gt;0,'LISTA DE PRECIOS'!A794,"")</f>
        <v/>
      </c>
      <c r="B780" t="str">
        <f>IF('LISTA DE PRECIOS'!$H794&gt;0,'LISTA DE PRECIOS'!B794,"")</f>
        <v/>
      </c>
      <c r="C780" t="str">
        <f>IF('LISTA DE PRECIOS'!$H794&gt;0,'LISTA DE PRECIOS'!C794,"")</f>
        <v/>
      </c>
      <c r="D780" s="67" t="str">
        <f>IF('LISTA DE PRECIOS'!$H794&gt;0,'LISTA DE PRECIOS'!D794,"")</f>
        <v/>
      </c>
      <c r="E780" t="str">
        <f>IF('LISTA DE PRECIOS'!$H794&gt;0,'LISTA DE PRECIOS'!E794,"")</f>
        <v/>
      </c>
      <c r="F780" t="str">
        <f>IF('LISTA DE PRECIOS'!$H794&gt;0,'LISTA DE PRECIOS'!F794,"")</f>
        <v/>
      </c>
      <c r="G780" s="31" t="str">
        <f>IF('LISTA DE PRECIOS'!$H794&gt;0,'LISTA DE PRECIOS'!G794,"")</f>
        <v/>
      </c>
      <c r="H780" s="67" t="str">
        <f>IF('LISTA DE PRECIOS'!$H794&gt;0,'LISTA DE PRECIOS'!H794,"")</f>
        <v/>
      </c>
      <c r="I780" s="31" t="str">
        <f t="shared" si="10"/>
        <v/>
      </c>
    </row>
    <row r="781" spans="1:9">
      <c r="A781" t="str">
        <f>IF('LISTA DE PRECIOS'!$H795&gt;0,'LISTA DE PRECIOS'!A795,"")</f>
        <v/>
      </c>
      <c r="B781" t="str">
        <f>IF('LISTA DE PRECIOS'!$H795&gt;0,'LISTA DE PRECIOS'!B795,"")</f>
        <v/>
      </c>
      <c r="C781" t="str">
        <f>IF('LISTA DE PRECIOS'!$H795&gt;0,'LISTA DE PRECIOS'!C795,"")</f>
        <v/>
      </c>
      <c r="D781" s="67" t="str">
        <f>IF('LISTA DE PRECIOS'!$H795&gt;0,'LISTA DE PRECIOS'!D795,"")</f>
        <v/>
      </c>
      <c r="E781" t="str">
        <f>IF('LISTA DE PRECIOS'!$H795&gt;0,'LISTA DE PRECIOS'!E795,"")</f>
        <v/>
      </c>
      <c r="F781" t="str">
        <f>IF('LISTA DE PRECIOS'!$H795&gt;0,'LISTA DE PRECIOS'!F795,"")</f>
        <v/>
      </c>
      <c r="G781" s="31" t="str">
        <f>IF('LISTA DE PRECIOS'!$H795&gt;0,'LISTA DE PRECIOS'!G795,"")</f>
        <v/>
      </c>
      <c r="H781" s="67" t="str">
        <f>IF('LISTA DE PRECIOS'!$H795&gt;0,'LISTA DE PRECIOS'!H795,"")</f>
        <v/>
      </c>
      <c r="I781" s="31" t="str">
        <f t="shared" si="10"/>
        <v/>
      </c>
    </row>
    <row r="782" spans="1:9">
      <c r="A782" t="str">
        <f>IF('LISTA DE PRECIOS'!$H796&gt;0,'LISTA DE PRECIOS'!A796,"")</f>
        <v/>
      </c>
      <c r="B782" t="str">
        <f>IF('LISTA DE PRECIOS'!$H796&gt;0,'LISTA DE PRECIOS'!B796,"")</f>
        <v/>
      </c>
      <c r="C782" t="str">
        <f>IF('LISTA DE PRECIOS'!$H796&gt;0,'LISTA DE PRECIOS'!C796,"")</f>
        <v/>
      </c>
      <c r="D782" s="67" t="str">
        <f>IF('LISTA DE PRECIOS'!$H796&gt;0,'LISTA DE PRECIOS'!D796,"")</f>
        <v/>
      </c>
      <c r="E782" t="str">
        <f>IF('LISTA DE PRECIOS'!$H796&gt;0,'LISTA DE PRECIOS'!E796,"")</f>
        <v/>
      </c>
      <c r="F782" t="str">
        <f>IF('LISTA DE PRECIOS'!$H796&gt;0,'LISTA DE PRECIOS'!F796,"")</f>
        <v/>
      </c>
      <c r="G782" s="31" t="str">
        <f>IF('LISTA DE PRECIOS'!$H796&gt;0,'LISTA DE PRECIOS'!G796,"")</f>
        <v/>
      </c>
      <c r="H782" s="67" t="str">
        <f>IF('LISTA DE PRECIOS'!$H796&gt;0,'LISTA DE PRECIOS'!H796,"")</f>
        <v/>
      </c>
      <c r="I782" s="31" t="str">
        <f t="shared" si="10"/>
        <v/>
      </c>
    </row>
    <row r="783" spans="1:9">
      <c r="A783" t="str">
        <f>IF('LISTA DE PRECIOS'!$H797&gt;0,'LISTA DE PRECIOS'!A797,"")</f>
        <v/>
      </c>
      <c r="B783" t="str">
        <f>IF('LISTA DE PRECIOS'!$H797&gt;0,'LISTA DE PRECIOS'!B797,"")</f>
        <v/>
      </c>
      <c r="C783" t="str">
        <f>IF('LISTA DE PRECIOS'!$H797&gt;0,'LISTA DE PRECIOS'!C797,"")</f>
        <v/>
      </c>
      <c r="D783" s="67" t="str">
        <f>IF('LISTA DE PRECIOS'!$H797&gt;0,'LISTA DE PRECIOS'!D797,"")</f>
        <v/>
      </c>
      <c r="E783" t="str">
        <f>IF('LISTA DE PRECIOS'!$H797&gt;0,'LISTA DE PRECIOS'!E797,"")</f>
        <v/>
      </c>
      <c r="F783" t="str">
        <f>IF('LISTA DE PRECIOS'!$H797&gt;0,'LISTA DE PRECIOS'!F797,"")</f>
        <v/>
      </c>
      <c r="G783" s="31" t="str">
        <f>IF('LISTA DE PRECIOS'!$H797&gt;0,'LISTA DE PRECIOS'!G797,"")</f>
        <v/>
      </c>
      <c r="H783" s="67" t="str">
        <f>IF('LISTA DE PRECIOS'!$H797&gt;0,'LISTA DE PRECIOS'!H797,"")</f>
        <v/>
      </c>
      <c r="I783" s="31" t="str">
        <f t="shared" si="10"/>
        <v/>
      </c>
    </row>
    <row r="784" spans="1:9">
      <c r="A784" t="str">
        <f>IF('LISTA DE PRECIOS'!$H798&gt;0,'LISTA DE PRECIOS'!A798,"")</f>
        <v/>
      </c>
      <c r="B784" t="str">
        <f>IF('LISTA DE PRECIOS'!$H798&gt;0,'LISTA DE PRECIOS'!B798,"")</f>
        <v/>
      </c>
      <c r="C784" t="str">
        <f>IF('LISTA DE PRECIOS'!$H798&gt;0,'LISTA DE PRECIOS'!C798,"")</f>
        <v/>
      </c>
      <c r="D784" s="67" t="str">
        <f>IF('LISTA DE PRECIOS'!$H798&gt;0,'LISTA DE PRECIOS'!D798,"")</f>
        <v/>
      </c>
      <c r="E784" t="str">
        <f>IF('LISTA DE PRECIOS'!$H798&gt;0,'LISTA DE PRECIOS'!E798,"")</f>
        <v/>
      </c>
      <c r="F784" t="str">
        <f>IF('LISTA DE PRECIOS'!$H798&gt;0,'LISTA DE PRECIOS'!F798,"")</f>
        <v/>
      </c>
      <c r="G784" s="31" t="str">
        <f>IF('LISTA DE PRECIOS'!$H798&gt;0,'LISTA DE PRECIOS'!G798,"")</f>
        <v/>
      </c>
      <c r="H784" s="67" t="str">
        <f>IF('LISTA DE PRECIOS'!$H798&gt;0,'LISTA DE PRECIOS'!H798,"")</f>
        <v/>
      </c>
      <c r="I784" s="31" t="str">
        <f t="shared" si="10"/>
        <v/>
      </c>
    </row>
    <row r="785" spans="1:9">
      <c r="A785" t="str">
        <f>IF('LISTA DE PRECIOS'!$H799&gt;0,'LISTA DE PRECIOS'!A799,"")</f>
        <v/>
      </c>
      <c r="B785" t="str">
        <f>IF('LISTA DE PRECIOS'!$H799&gt;0,'LISTA DE PRECIOS'!B799,"")</f>
        <v/>
      </c>
      <c r="C785" t="str">
        <f>IF('LISTA DE PRECIOS'!$H799&gt;0,'LISTA DE PRECIOS'!C799,"")</f>
        <v/>
      </c>
      <c r="D785" s="67" t="str">
        <f>IF('LISTA DE PRECIOS'!$H799&gt;0,'LISTA DE PRECIOS'!D799,"")</f>
        <v/>
      </c>
      <c r="E785" t="str">
        <f>IF('LISTA DE PRECIOS'!$H799&gt;0,'LISTA DE PRECIOS'!E799,"")</f>
        <v/>
      </c>
      <c r="F785" t="str">
        <f>IF('LISTA DE PRECIOS'!$H799&gt;0,'LISTA DE PRECIOS'!F799,"")</f>
        <v/>
      </c>
      <c r="G785" s="31" t="str">
        <f>IF('LISTA DE PRECIOS'!$H799&gt;0,'LISTA DE PRECIOS'!G799,"")</f>
        <v/>
      </c>
      <c r="H785" s="67" t="str">
        <f>IF('LISTA DE PRECIOS'!$H799&gt;0,'LISTA DE PRECIOS'!H799,"")</f>
        <v/>
      </c>
      <c r="I785" s="31" t="str">
        <f t="shared" ref="I785:I848" si="11">IF(OR(G785="",H785=""),"",G785*H785)</f>
        <v/>
      </c>
    </row>
    <row r="786" spans="1:9">
      <c r="A786" t="str">
        <f>IF('LISTA DE PRECIOS'!$H800&gt;0,'LISTA DE PRECIOS'!A800,"")</f>
        <v/>
      </c>
      <c r="B786" t="str">
        <f>IF('LISTA DE PRECIOS'!$H800&gt;0,'LISTA DE PRECIOS'!B800,"")</f>
        <v/>
      </c>
      <c r="C786" t="str">
        <f>IF('LISTA DE PRECIOS'!$H800&gt;0,'LISTA DE PRECIOS'!C800,"")</f>
        <v/>
      </c>
      <c r="D786" s="67" t="str">
        <f>IF('LISTA DE PRECIOS'!$H800&gt;0,'LISTA DE PRECIOS'!D800,"")</f>
        <v/>
      </c>
      <c r="E786" t="str">
        <f>IF('LISTA DE PRECIOS'!$H800&gt;0,'LISTA DE PRECIOS'!E800,"")</f>
        <v/>
      </c>
      <c r="F786" t="str">
        <f>IF('LISTA DE PRECIOS'!$H800&gt;0,'LISTA DE PRECIOS'!F800,"")</f>
        <v/>
      </c>
      <c r="G786" s="31" t="str">
        <f>IF('LISTA DE PRECIOS'!$H800&gt;0,'LISTA DE PRECIOS'!G800,"")</f>
        <v/>
      </c>
      <c r="H786" s="67" t="str">
        <f>IF('LISTA DE PRECIOS'!$H800&gt;0,'LISTA DE PRECIOS'!H800,"")</f>
        <v/>
      </c>
      <c r="I786" s="31" t="str">
        <f t="shared" si="11"/>
        <v/>
      </c>
    </row>
    <row r="787" spans="1:9">
      <c r="A787" t="str">
        <f>IF('LISTA DE PRECIOS'!$H801&gt;0,'LISTA DE PRECIOS'!A801,"")</f>
        <v/>
      </c>
      <c r="B787" t="str">
        <f>IF('LISTA DE PRECIOS'!$H801&gt;0,'LISTA DE PRECIOS'!B801,"")</f>
        <v/>
      </c>
      <c r="C787" t="str">
        <f>IF('LISTA DE PRECIOS'!$H801&gt;0,'LISTA DE PRECIOS'!C801,"")</f>
        <v/>
      </c>
      <c r="D787" s="67" t="str">
        <f>IF('LISTA DE PRECIOS'!$H801&gt;0,'LISTA DE PRECIOS'!D801,"")</f>
        <v/>
      </c>
      <c r="E787" t="str">
        <f>IF('LISTA DE PRECIOS'!$H801&gt;0,'LISTA DE PRECIOS'!E801,"")</f>
        <v/>
      </c>
      <c r="F787" t="str">
        <f>IF('LISTA DE PRECIOS'!$H801&gt;0,'LISTA DE PRECIOS'!F801,"")</f>
        <v/>
      </c>
      <c r="G787" s="31" t="str">
        <f>IF('LISTA DE PRECIOS'!$H801&gt;0,'LISTA DE PRECIOS'!G801,"")</f>
        <v/>
      </c>
      <c r="H787" s="67" t="str">
        <f>IF('LISTA DE PRECIOS'!$H801&gt;0,'LISTA DE PRECIOS'!H801,"")</f>
        <v/>
      </c>
      <c r="I787" s="31" t="str">
        <f t="shared" si="11"/>
        <v/>
      </c>
    </row>
    <row r="788" spans="1:9">
      <c r="A788" t="str">
        <f>IF('LISTA DE PRECIOS'!$H802&gt;0,'LISTA DE PRECIOS'!A802,"")</f>
        <v/>
      </c>
      <c r="B788" t="str">
        <f>IF('LISTA DE PRECIOS'!$H802&gt;0,'LISTA DE PRECIOS'!B802,"")</f>
        <v/>
      </c>
      <c r="C788" t="str">
        <f>IF('LISTA DE PRECIOS'!$H802&gt;0,'LISTA DE PRECIOS'!C802,"")</f>
        <v/>
      </c>
      <c r="D788" s="67" t="str">
        <f>IF('LISTA DE PRECIOS'!$H802&gt;0,'LISTA DE PRECIOS'!D802,"")</f>
        <v/>
      </c>
      <c r="E788" t="str">
        <f>IF('LISTA DE PRECIOS'!$H802&gt;0,'LISTA DE PRECIOS'!E802,"")</f>
        <v/>
      </c>
      <c r="F788" t="str">
        <f>IF('LISTA DE PRECIOS'!$H802&gt;0,'LISTA DE PRECIOS'!F802,"")</f>
        <v/>
      </c>
      <c r="G788" s="31" t="str">
        <f>IF('LISTA DE PRECIOS'!$H802&gt;0,'LISTA DE PRECIOS'!G802,"")</f>
        <v/>
      </c>
      <c r="H788" s="67" t="str">
        <f>IF('LISTA DE PRECIOS'!$H802&gt;0,'LISTA DE PRECIOS'!H802,"")</f>
        <v/>
      </c>
      <c r="I788" s="31" t="str">
        <f t="shared" si="11"/>
        <v/>
      </c>
    </row>
    <row r="789" spans="1:9">
      <c r="A789" t="str">
        <f>IF('LISTA DE PRECIOS'!$H803&gt;0,'LISTA DE PRECIOS'!A803,"")</f>
        <v/>
      </c>
      <c r="B789" t="str">
        <f>IF('LISTA DE PRECIOS'!$H803&gt;0,'LISTA DE PRECIOS'!B803,"")</f>
        <v/>
      </c>
      <c r="C789" t="str">
        <f>IF('LISTA DE PRECIOS'!$H803&gt;0,'LISTA DE PRECIOS'!C803,"")</f>
        <v/>
      </c>
      <c r="D789" s="67" t="str">
        <f>IF('LISTA DE PRECIOS'!$H803&gt;0,'LISTA DE PRECIOS'!D803,"")</f>
        <v/>
      </c>
      <c r="E789" t="str">
        <f>IF('LISTA DE PRECIOS'!$H803&gt;0,'LISTA DE PRECIOS'!E803,"")</f>
        <v/>
      </c>
      <c r="F789" t="str">
        <f>IF('LISTA DE PRECIOS'!$H803&gt;0,'LISTA DE PRECIOS'!F803,"")</f>
        <v/>
      </c>
      <c r="G789" s="31" t="str">
        <f>IF('LISTA DE PRECIOS'!$H803&gt;0,'LISTA DE PRECIOS'!G803,"")</f>
        <v/>
      </c>
      <c r="H789" s="67" t="str">
        <f>IF('LISTA DE PRECIOS'!$H803&gt;0,'LISTA DE PRECIOS'!H803,"")</f>
        <v/>
      </c>
      <c r="I789" s="31" t="str">
        <f t="shared" si="11"/>
        <v/>
      </c>
    </row>
    <row r="790" spans="1:9">
      <c r="A790" t="str">
        <f>IF('LISTA DE PRECIOS'!$H804&gt;0,'LISTA DE PRECIOS'!A804,"")</f>
        <v/>
      </c>
      <c r="B790" t="str">
        <f>IF('LISTA DE PRECIOS'!$H804&gt;0,'LISTA DE PRECIOS'!B804,"")</f>
        <v/>
      </c>
      <c r="C790" t="str">
        <f>IF('LISTA DE PRECIOS'!$H804&gt;0,'LISTA DE PRECIOS'!C804,"")</f>
        <v/>
      </c>
      <c r="D790" s="67" t="str">
        <f>IF('LISTA DE PRECIOS'!$H804&gt;0,'LISTA DE PRECIOS'!D804,"")</f>
        <v/>
      </c>
      <c r="E790" t="str">
        <f>IF('LISTA DE PRECIOS'!$H804&gt;0,'LISTA DE PRECIOS'!E804,"")</f>
        <v/>
      </c>
      <c r="F790" t="str">
        <f>IF('LISTA DE PRECIOS'!$H804&gt;0,'LISTA DE PRECIOS'!F804,"")</f>
        <v/>
      </c>
      <c r="G790" s="31" t="str">
        <f>IF('LISTA DE PRECIOS'!$H804&gt;0,'LISTA DE PRECIOS'!G804,"")</f>
        <v/>
      </c>
      <c r="H790" s="67" t="str">
        <f>IF('LISTA DE PRECIOS'!$H804&gt;0,'LISTA DE PRECIOS'!H804,"")</f>
        <v/>
      </c>
      <c r="I790" s="31" t="str">
        <f t="shared" si="11"/>
        <v/>
      </c>
    </row>
    <row r="791" spans="1:9">
      <c r="A791" t="str">
        <f>IF('LISTA DE PRECIOS'!$H805&gt;0,'LISTA DE PRECIOS'!A805,"")</f>
        <v/>
      </c>
      <c r="B791" t="str">
        <f>IF('LISTA DE PRECIOS'!$H805&gt;0,'LISTA DE PRECIOS'!B805,"")</f>
        <v/>
      </c>
      <c r="C791" t="str">
        <f>IF('LISTA DE PRECIOS'!$H805&gt;0,'LISTA DE PRECIOS'!C805,"")</f>
        <v/>
      </c>
      <c r="D791" s="67" t="str">
        <f>IF('LISTA DE PRECIOS'!$H805&gt;0,'LISTA DE PRECIOS'!D805,"")</f>
        <v/>
      </c>
      <c r="E791" t="str">
        <f>IF('LISTA DE PRECIOS'!$H805&gt;0,'LISTA DE PRECIOS'!E805,"")</f>
        <v/>
      </c>
      <c r="F791" t="str">
        <f>IF('LISTA DE PRECIOS'!$H805&gt;0,'LISTA DE PRECIOS'!F805,"")</f>
        <v/>
      </c>
      <c r="G791" s="31" t="str">
        <f>IF('LISTA DE PRECIOS'!$H805&gt;0,'LISTA DE PRECIOS'!G805,"")</f>
        <v/>
      </c>
      <c r="H791" s="67" t="str">
        <f>IF('LISTA DE PRECIOS'!$H805&gt;0,'LISTA DE PRECIOS'!H805,"")</f>
        <v/>
      </c>
      <c r="I791" s="31" t="str">
        <f t="shared" si="11"/>
        <v/>
      </c>
    </row>
    <row r="792" spans="1:9">
      <c r="A792" t="str">
        <f>IF('LISTA DE PRECIOS'!$H806&gt;0,'LISTA DE PRECIOS'!A806,"")</f>
        <v/>
      </c>
      <c r="B792" t="str">
        <f>IF('LISTA DE PRECIOS'!$H806&gt;0,'LISTA DE PRECIOS'!B806,"")</f>
        <v/>
      </c>
      <c r="C792" t="str">
        <f>IF('LISTA DE PRECIOS'!$H806&gt;0,'LISTA DE PRECIOS'!C806,"")</f>
        <v/>
      </c>
      <c r="D792" s="67" t="str">
        <f>IF('LISTA DE PRECIOS'!$H806&gt;0,'LISTA DE PRECIOS'!D806,"")</f>
        <v/>
      </c>
      <c r="E792" t="str">
        <f>IF('LISTA DE PRECIOS'!$H806&gt;0,'LISTA DE PRECIOS'!E806,"")</f>
        <v/>
      </c>
      <c r="F792" t="str">
        <f>IF('LISTA DE PRECIOS'!$H806&gt;0,'LISTA DE PRECIOS'!F806,"")</f>
        <v/>
      </c>
      <c r="G792" s="31" t="str">
        <f>IF('LISTA DE PRECIOS'!$H806&gt;0,'LISTA DE PRECIOS'!G806,"")</f>
        <v/>
      </c>
      <c r="H792" s="67" t="str">
        <f>IF('LISTA DE PRECIOS'!$H806&gt;0,'LISTA DE PRECIOS'!H806,"")</f>
        <v/>
      </c>
      <c r="I792" s="31" t="str">
        <f t="shared" si="11"/>
        <v/>
      </c>
    </row>
    <row r="793" spans="1:9">
      <c r="A793" t="str">
        <f>IF('LISTA DE PRECIOS'!$H807&gt;0,'LISTA DE PRECIOS'!A807,"")</f>
        <v/>
      </c>
      <c r="B793" t="str">
        <f>IF('LISTA DE PRECIOS'!$H807&gt;0,'LISTA DE PRECIOS'!B807,"")</f>
        <v/>
      </c>
      <c r="C793" t="str">
        <f>IF('LISTA DE PRECIOS'!$H807&gt;0,'LISTA DE PRECIOS'!C807,"")</f>
        <v/>
      </c>
      <c r="D793" s="67" t="str">
        <f>IF('LISTA DE PRECIOS'!$H807&gt;0,'LISTA DE PRECIOS'!D807,"")</f>
        <v/>
      </c>
      <c r="E793" t="str">
        <f>IF('LISTA DE PRECIOS'!$H807&gt;0,'LISTA DE PRECIOS'!E807,"")</f>
        <v/>
      </c>
      <c r="F793" t="str">
        <f>IF('LISTA DE PRECIOS'!$H807&gt;0,'LISTA DE PRECIOS'!F807,"")</f>
        <v/>
      </c>
      <c r="G793" s="31" t="str">
        <f>IF('LISTA DE PRECIOS'!$H807&gt;0,'LISTA DE PRECIOS'!G807,"")</f>
        <v/>
      </c>
      <c r="H793" s="67" t="str">
        <f>IF('LISTA DE PRECIOS'!$H807&gt;0,'LISTA DE PRECIOS'!H807,"")</f>
        <v/>
      </c>
      <c r="I793" s="31" t="str">
        <f t="shared" si="11"/>
        <v/>
      </c>
    </row>
    <row r="794" spans="1:9">
      <c r="A794" t="str">
        <f>IF('LISTA DE PRECIOS'!$H808&gt;0,'LISTA DE PRECIOS'!A808,"")</f>
        <v/>
      </c>
      <c r="B794" t="str">
        <f>IF('LISTA DE PRECIOS'!$H808&gt;0,'LISTA DE PRECIOS'!B808,"")</f>
        <v/>
      </c>
      <c r="C794" t="str">
        <f>IF('LISTA DE PRECIOS'!$H808&gt;0,'LISTA DE PRECIOS'!C808,"")</f>
        <v/>
      </c>
      <c r="D794" s="67" t="str">
        <f>IF('LISTA DE PRECIOS'!$H808&gt;0,'LISTA DE PRECIOS'!D808,"")</f>
        <v/>
      </c>
      <c r="E794" t="str">
        <f>IF('LISTA DE PRECIOS'!$H808&gt;0,'LISTA DE PRECIOS'!E808,"")</f>
        <v/>
      </c>
      <c r="F794" t="str">
        <f>IF('LISTA DE PRECIOS'!$H808&gt;0,'LISTA DE PRECIOS'!F808,"")</f>
        <v/>
      </c>
      <c r="G794" s="31" t="str">
        <f>IF('LISTA DE PRECIOS'!$H808&gt;0,'LISTA DE PRECIOS'!G808,"")</f>
        <v/>
      </c>
      <c r="H794" s="67" t="str">
        <f>IF('LISTA DE PRECIOS'!$H808&gt;0,'LISTA DE PRECIOS'!H808,"")</f>
        <v/>
      </c>
      <c r="I794" s="31" t="str">
        <f t="shared" si="11"/>
        <v/>
      </c>
    </row>
    <row r="795" spans="1:9">
      <c r="A795" t="str">
        <f>IF('LISTA DE PRECIOS'!$H809&gt;0,'LISTA DE PRECIOS'!A809,"")</f>
        <v/>
      </c>
      <c r="B795" t="str">
        <f>IF('LISTA DE PRECIOS'!$H809&gt;0,'LISTA DE PRECIOS'!B809,"")</f>
        <v/>
      </c>
      <c r="C795" t="str">
        <f>IF('LISTA DE PRECIOS'!$H809&gt;0,'LISTA DE PRECIOS'!C809,"")</f>
        <v/>
      </c>
      <c r="D795" s="67" t="str">
        <f>IF('LISTA DE PRECIOS'!$H809&gt;0,'LISTA DE PRECIOS'!D809,"")</f>
        <v/>
      </c>
      <c r="E795" t="str">
        <f>IF('LISTA DE PRECIOS'!$H809&gt;0,'LISTA DE PRECIOS'!E809,"")</f>
        <v/>
      </c>
      <c r="F795" t="str">
        <f>IF('LISTA DE PRECIOS'!$H809&gt;0,'LISTA DE PRECIOS'!F809,"")</f>
        <v/>
      </c>
      <c r="G795" s="31" t="str">
        <f>IF('LISTA DE PRECIOS'!$H809&gt;0,'LISTA DE PRECIOS'!G809,"")</f>
        <v/>
      </c>
      <c r="H795" s="67" t="str">
        <f>IF('LISTA DE PRECIOS'!$H809&gt;0,'LISTA DE PRECIOS'!H809,"")</f>
        <v/>
      </c>
      <c r="I795" s="31" t="str">
        <f t="shared" si="11"/>
        <v/>
      </c>
    </row>
    <row r="796" spans="1:9">
      <c r="A796" t="str">
        <f>IF('LISTA DE PRECIOS'!$H810&gt;0,'LISTA DE PRECIOS'!A810,"")</f>
        <v/>
      </c>
      <c r="B796" t="str">
        <f>IF('LISTA DE PRECIOS'!$H810&gt;0,'LISTA DE PRECIOS'!B810,"")</f>
        <v/>
      </c>
      <c r="C796" t="str">
        <f>IF('LISTA DE PRECIOS'!$H810&gt;0,'LISTA DE PRECIOS'!C810,"")</f>
        <v/>
      </c>
      <c r="D796" s="67" t="str">
        <f>IF('LISTA DE PRECIOS'!$H810&gt;0,'LISTA DE PRECIOS'!D810,"")</f>
        <v/>
      </c>
      <c r="E796" t="str">
        <f>IF('LISTA DE PRECIOS'!$H810&gt;0,'LISTA DE PRECIOS'!E810,"")</f>
        <v/>
      </c>
      <c r="F796" t="str">
        <f>IF('LISTA DE PRECIOS'!$H810&gt;0,'LISTA DE PRECIOS'!F810,"")</f>
        <v/>
      </c>
      <c r="G796" s="31" t="str">
        <f>IF('LISTA DE PRECIOS'!$H810&gt;0,'LISTA DE PRECIOS'!G810,"")</f>
        <v/>
      </c>
      <c r="H796" s="67" t="str">
        <f>IF('LISTA DE PRECIOS'!$H810&gt;0,'LISTA DE PRECIOS'!H810,"")</f>
        <v/>
      </c>
      <c r="I796" s="31" t="str">
        <f t="shared" si="11"/>
        <v/>
      </c>
    </row>
    <row r="797" spans="1:9">
      <c r="A797" t="str">
        <f>IF('LISTA DE PRECIOS'!$H811&gt;0,'LISTA DE PRECIOS'!A811,"")</f>
        <v/>
      </c>
      <c r="B797" t="str">
        <f>IF('LISTA DE PRECIOS'!$H811&gt;0,'LISTA DE PRECIOS'!B811,"")</f>
        <v/>
      </c>
      <c r="C797" t="str">
        <f>IF('LISTA DE PRECIOS'!$H811&gt;0,'LISTA DE PRECIOS'!C811,"")</f>
        <v/>
      </c>
      <c r="D797" s="67" t="str">
        <f>IF('LISTA DE PRECIOS'!$H811&gt;0,'LISTA DE PRECIOS'!D811,"")</f>
        <v/>
      </c>
      <c r="E797" t="str">
        <f>IF('LISTA DE PRECIOS'!$H811&gt;0,'LISTA DE PRECIOS'!E811,"")</f>
        <v/>
      </c>
      <c r="F797" t="str">
        <f>IF('LISTA DE PRECIOS'!$H811&gt;0,'LISTA DE PRECIOS'!F811,"")</f>
        <v/>
      </c>
      <c r="G797" s="31" t="str">
        <f>IF('LISTA DE PRECIOS'!$H811&gt;0,'LISTA DE PRECIOS'!G811,"")</f>
        <v/>
      </c>
      <c r="H797" s="67" t="str">
        <f>IF('LISTA DE PRECIOS'!$H811&gt;0,'LISTA DE PRECIOS'!H811,"")</f>
        <v/>
      </c>
      <c r="I797" s="31" t="str">
        <f t="shared" si="11"/>
        <v/>
      </c>
    </row>
    <row r="798" spans="1:9">
      <c r="A798" t="str">
        <f>IF('LISTA DE PRECIOS'!$H812&gt;0,'LISTA DE PRECIOS'!A812,"")</f>
        <v/>
      </c>
      <c r="B798" t="str">
        <f>IF('LISTA DE PRECIOS'!$H812&gt;0,'LISTA DE PRECIOS'!B812,"")</f>
        <v/>
      </c>
      <c r="C798" t="str">
        <f>IF('LISTA DE PRECIOS'!$H812&gt;0,'LISTA DE PRECIOS'!C812,"")</f>
        <v/>
      </c>
      <c r="D798" s="67" t="str">
        <f>IF('LISTA DE PRECIOS'!$H812&gt;0,'LISTA DE PRECIOS'!D812,"")</f>
        <v/>
      </c>
      <c r="E798" t="str">
        <f>IF('LISTA DE PRECIOS'!$H812&gt;0,'LISTA DE PRECIOS'!E812,"")</f>
        <v/>
      </c>
      <c r="F798" t="str">
        <f>IF('LISTA DE PRECIOS'!$H812&gt;0,'LISTA DE PRECIOS'!F812,"")</f>
        <v/>
      </c>
      <c r="G798" s="31" t="str">
        <f>IF('LISTA DE PRECIOS'!$H812&gt;0,'LISTA DE PRECIOS'!G812,"")</f>
        <v/>
      </c>
      <c r="H798" s="67" t="str">
        <f>IF('LISTA DE PRECIOS'!$H812&gt;0,'LISTA DE PRECIOS'!H812,"")</f>
        <v/>
      </c>
      <c r="I798" s="31" t="str">
        <f t="shared" si="11"/>
        <v/>
      </c>
    </row>
    <row r="799" spans="1:9">
      <c r="A799" t="str">
        <f>IF('LISTA DE PRECIOS'!$H813&gt;0,'LISTA DE PRECIOS'!A813,"")</f>
        <v/>
      </c>
      <c r="B799" t="str">
        <f>IF('LISTA DE PRECIOS'!$H813&gt;0,'LISTA DE PRECIOS'!B813,"")</f>
        <v/>
      </c>
      <c r="C799" t="str">
        <f>IF('LISTA DE PRECIOS'!$H813&gt;0,'LISTA DE PRECIOS'!C813,"")</f>
        <v/>
      </c>
      <c r="D799" s="67" t="str">
        <f>IF('LISTA DE PRECIOS'!$H813&gt;0,'LISTA DE PRECIOS'!D813,"")</f>
        <v/>
      </c>
      <c r="E799" t="str">
        <f>IF('LISTA DE PRECIOS'!$H813&gt;0,'LISTA DE PRECIOS'!E813,"")</f>
        <v/>
      </c>
      <c r="F799" t="str">
        <f>IF('LISTA DE PRECIOS'!$H813&gt;0,'LISTA DE PRECIOS'!F813,"")</f>
        <v/>
      </c>
      <c r="G799" s="31" t="str">
        <f>IF('LISTA DE PRECIOS'!$H813&gt;0,'LISTA DE PRECIOS'!G813,"")</f>
        <v/>
      </c>
      <c r="H799" s="67" t="str">
        <f>IF('LISTA DE PRECIOS'!$H813&gt;0,'LISTA DE PRECIOS'!H813,"")</f>
        <v/>
      </c>
      <c r="I799" s="31" t="str">
        <f t="shared" si="11"/>
        <v/>
      </c>
    </row>
    <row r="800" spans="1:9">
      <c r="A800" t="str">
        <f>IF('LISTA DE PRECIOS'!$H814&gt;0,'LISTA DE PRECIOS'!A814,"")</f>
        <v/>
      </c>
      <c r="B800" t="str">
        <f>IF('LISTA DE PRECIOS'!$H814&gt;0,'LISTA DE PRECIOS'!B814,"")</f>
        <v/>
      </c>
      <c r="C800" t="str">
        <f>IF('LISTA DE PRECIOS'!$H814&gt;0,'LISTA DE PRECIOS'!C814,"")</f>
        <v/>
      </c>
      <c r="D800" s="67" t="str">
        <f>IF('LISTA DE PRECIOS'!$H814&gt;0,'LISTA DE PRECIOS'!D814,"")</f>
        <v/>
      </c>
      <c r="E800" t="str">
        <f>IF('LISTA DE PRECIOS'!$H814&gt;0,'LISTA DE PRECIOS'!E814,"")</f>
        <v/>
      </c>
      <c r="F800" t="str">
        <f>IF('LISTA DE PRECIOS'!$H814&gt;0,'LISTA DE PRECIOS'!F814,"")</f>
        <v/>
      </c>
      <c r="G800" s="31" t="str">
        <f>IF('LISTA DE PRECIOS'!$H814&gt;0,'LISTA DE PRECIOS'!G814,"")</f>
        <v/>
      </c>
      <c r="H800" s="67" t="str">
        <f>IF('LISTA DE PRECIOS'!$H814&gt;0,'LISTA DE PRECIOS'!H814,"")</f>
        <v/>
      </c>
      <c r="I800" s="31" t="str">
        <f t="shared" si="11"/>
        <v/>
      </c>
    </row>
    <row r="801" spans="1:9">
      <c r="A801" t="str">
        <f>IF('LISTA DE PRECIOS'!$H815&gt;0,'LISTA DE PRECIOS'!A815,"")</f>
        <v/>
      </c>
      <c r="B801" t="str">
        <f>IF('LISTA DE PRECIOS'!$H815&gt;0,'LISTA DE PRECIOS'!B815,"")</f>
        <v/>
      </c>
      <c r="C801" t="str">
        <f>IF('LISTA DE PRECIOS'!$H815&gt;0,'LISTA DE PRECIOS'!C815,"")</f>
        <v/>
      </c>
      <c r="D801" s="67" t="str">
        <f>IF('LISTA DE PRECIOS'!$H815&gt;0,'LISTA DE PRECIOS'!D815,"")</f>
        <v/>
      </c>
      <c r="E801" t="str">
        <f>IF('LISTA DE PRECIOS'!$H815&gt;0,'LISTA DE PRECIOS'!E815,"")</f>
        <v/>
      </c>
      <c r="F801" t="str">
        <f>IF('LISTA DE PRECIOS'!$H815&gt;0,'LISTA DE PRECIOS'!F815,"")</f>
        <v/>
      </c>
      <c r="G801" s="31" t="str">
        <f>IF('LISTA DE PRECIOS'!$H815&gt;0,'LISTA DE PRECIOS'!G815,"")</f>
        <v/>
      </c>
      <c r="H801" s="67" t="str">
        <f>IF('LISTA DE PRECIOS'!$H815&gt;0,'LISTA DE PRECIOS'!H815,"")</f>
        <v/>
      </c>
      <c r="I801" s="31" t="str">
        <f t="shared" si="11"/>
        <v/>
      </c>
    </row>
    <row r="802" spans="1:9">
      <c r="A802" t="str">
        <f>IF('LISTA DE PRECIOS'!$H816&gt;0,'LISTA DE PRECIOS'!A816,"")</f>
        <v/>
      </c>
      <c r="B802" t="str">
        <f>IF('LISTA DE PRECIOS'!$H816&gt;0,'LISTA DE PRECIOS'!B816,"")</f>
        <v/>
      </c>
      <c r="C802" t="str">
        <f>IF('LISTA DE PRECIOS'!$H816&gt;0,'LISTA DE PRECIOS'!C816,"")</f>
        <v/>
      </c>
      <c r="D802" s="67" t="str">
        <f>IF('LISTA DE PRECIOS'!$H816&gt;0,'LISTA DE PRECIOS'!D816,"")</f>
        <v/>
      </c>
      <c r="E802" t="str">
        <f>IF('LISTA DE PRECIOS'!$H816&gt;0,'LISTA DE PRECIOS'!E816,"")</f>
        <v/>
      </c>
      <c r="F802" t="str">
        <f>IF('LISTA DE PRECIOS'!$H816&gt;0,'LISTA DE PRECIOS'!F816,"")</f>
        <v/>
      </c>
      <c r="G802" s="31" t="str">
        <f>IF('LISTA DE PRECIOS'!$H816&gt;0,'LISTA DE PRECIOS'!G816,"")</f>
        <v/>
      </c>
      <c r="H802" s="67" t="str">
        <f>IF('LISTA DE PRECIOS'!$H816&gt;0,'LISTA DE PRECIOS'!H816,"")</f>
        <v/>
      </c>
      <c r="I802" s="31" t="str">
        <f t="shared" si="11"/>
        <v/>
      </c>
    </row>
    <row r="803" spans="1:9">
      <c r="A803" t="str">
        <f>IF('LISTA DE PRECIOS'!$H817&gt;0,'LISTA DE PRECIOS'!A817,"")</f>
        <v/>
      </c>
      <c r="B803" t="str">
        <f>IF('LISTA DE PRECIOS'!$H817&gt;0,'LISTA DE PRECIOS'!B817,"")</f>
        <v/>
      </c>
      <c r="C803" t="str">
        <f>IF('LISTA DE PRECIOS'!$H817&gt;0,'LISTA DE PRECIOS'!C817,"")</f>
        <v/>
      </c>
      <c r="D803" s="67" t="str">
        <f>IF('LISTA DE PRECIOS'!$H817&gt;0,'LISTA DE PRECIOS'!D817,"")</f>
        <v/>
      </c>
      <c r="E803" t="str">
        <f>IF('LISTA DE PRECIOS'!$H817&gt;0,'LISTA DE PRECIOS'!E817,"")</f>
        <v/>
      </c>
      <c r="F803" t="str">
        <f>IF('LISTA DE PRECIOS'!$H817&gt;0,'LISTA DE PRECIOS'!F817,"")</f>
        <v/>
      </c>
      <c r="G803" s="31" t="str">
        <f>IF('LISTA DE PRECIOS'!$H817&gt;0,'LISTA DE PRECIOS'!G817,"")</f>
        <v/>
      </c>
      <c r="H803" s="67" t="str">
        <f>IF('LISTA DE PRECIOS'!$H817&gt;0,'LISTA DE PRECIOS'!H817,"")</f>
        <v/>
      </c>
      <c r="I803" s="31" t="str">
        <f t="shared" si="11"/>
        <v/>
      </c>
    </row>
    <row r="804" spans="1:9">
      <c r="A804" t="str">
        <f>IF('LISTA DE PRECIOS'!$H818&gt;0,'LISTA DE PRECIOS'!A818,"")</f>
        <v/>
      </c>
      <c r="B804" t="str">
        <f>IF('LISTA DE PRECIOS'!$H818&gt;0,'LISTA DE PRECIOS'!B818,"")</f>
        <v/>
      </c>
      <c r="C804" t="str">
        <f>IF('LISTA DE PRECIOS'!$H818&gt;0,'LISTA DE PRECIOS'!C818,"")</f>
        <v/>
      </c>
      <c r="D804" s="67" t="str">
        <f>IF('LISTA DE PRECIOS'!$H818&gt;0,'LISTA DE PRECIOS'!D818,"")</f>
        <v/>
      </c>
      <c r="E804" t="str">
        <f>IF('LISTA DE PRECIOS'!$H818&gt;0,'LISTA DE PRECIOS'!E818,"")</f>
        <v/>
      </c>
      <c r="F804" t="str">
        <f>IF('LISTA DE PRECIOS'!$H818&gt;0,'LISTA DE PRECIOS'!F818,"")</f>
        <v/>
      </c>
      <c r="G804" s="31" t="str">
        <f>IF('LISTA DE PRECIOS'!$H818&gt;0,'LISTA DE PRECIOS'!G818,"")</f>
        <v/>
      </c>
      <c r="H804" s="67" t="str">
        <f>IF('LISTA DE PRECIOS'!$H818&gt;0,'LISTA DE PRECIOS'!H818,"")</f>
        <v/>
      </c>
      <c r="I804" s="31" t="str">
        <f t="shared" si="11"/>
        <v/>
      </c>
    </row>
    <row r="805" spans="1:9">
      <c r="A805" t="str">
        <f>IF('LISTA DE PRECIOS'!$H819&gt;0,'LISTA DE PRECIOS'!A819,"")</f>
        <v/>
      </c>
      <c r="B805" t="str">
        <f>IF('LISTA DE PRECIOS'!$H819&gt;0,'LISTA DE PRECIOS'!B819,"")</f>
        <v/>
      </c>
      <c r="C805" t="str">
        <f>IF('LISTA DE PRECIOS'!$H819&gt;0,'LISTA DE PRECIOS'!C819,"")</f>
        <v/>
      </c>
      <c r="D805" s="67" t="str">
        <f>IF('LISTA DE PRECIOS'!$H819&gt;0,'LISTA DE PRECIOS'!D819,"")</f>
        <v/>
      </c>
      <c r="E805" t="str">
        <f>IF('LISTA DE PRECIOS'!$H819&gt;0,'LISTA DE PRECIOS'!E819,"")</f>
        <v/>
      </c>
      <c r="F805" t="str">
        <f>IF('LISTA DE PRECIOS'!$H819&gt;0,'LISTA DE PRECIOS'!F819,"")</f>
        <v/>
      </c>
      <c r="G805" s="31" t="str">
        <f>IF('LISTA DE PRECIOS'!$H819&gt;0,'LISTA DE PRECIOS'!G819,"")</f>
        <v/>
      </c>
      <c r="H805" s="67" t="str">
        <f>IF('LISTA DE PRECIOS'!$H819&gt;0,'LISTA DE PRECIOS'!H819,"")</f>
        <v/>
      </c>
      <c r="I805" s="31" t="str">
        <f t="shared" si="11"/>
        <v/>
      </c>
    </row>
    <row r="806" spans="1:9">
      <c r="A806" t="str">
        <f>IF('LISTA DE PRECIOS'!$H820&gt;0,'LISTA DE PRECIOS'!A820,"")</f>
        <v/>
      </c>
      <c r="B806" t="str">
        <f>IF('LISTA DE PRECIOS'!$H820&gt;0,'LISTA DE PRECIOS'!B820,"")</f>
        <v/>
      </c>
      <c r="C806" t="str">
        <f>IF('LISTA DE PRECIOS'!$H820&gt;0,'LISTA DE PRECIOS'!C820,"")</f>
        <v/>
      </c>
      <c r="D806" s="67" t="str">
        <f>IF('LISTA DE PRECIOS'!$H820&gt;0,'LISTA DE PRECIOS'!D820,"")</f>
        <v/>
      </c>
      <c r="E806" t="str">
        <f>IF('LISTA DE PRECIOS'!$H820&gt;0,'LISTA DE PRECIOS'!E820,"")</f>
        <v/>
      </c>
      <c r="F806" t="str">
        <f>IF('LISTA DE PRECIOS'!$H820&gt;0,'LISTA DE PRECIOS'!F820,"")</f>
        <v/>
      </c>
      <c r="G806" s="31" t="str">
        <f>IF('LISTA DE PRECIOS'!$H820&gt;0,'LISTA DE PRECIOS'!G820,"")</f>
        <v/>
      </c>
      <c r="H806" s="67" t="str">
        <f>IF('LISTA DE PRECIOS'!$H820&gt;0,'LISTA DE PRECIOS'!H820,"")</f>
        <v/>
      </c>
      <c r="I806" s="31" t="str">
        <f t="shared" si="11"/>
        <v/>
      </c>
    </row>
    <row r="807" spans="1:9">
      <c r="A807" t="str">
        <f>IF('LISTA DE PRECIOS'!$H821&gt;0,'LISTA DE PRECIOS'!A821,"")</f>
        <v/>
      </c>
      <c r="B807" t="str">
        <f>IF('LISTA DE PRECIOS'!$H821&gt;0,'LISTA DE PRECIOS'!B821,"")</f>
        <v/>
      </c>
      <c r="C807" t="str">
        <f>IF('LISTA DE PRECIOS'!$H821&gt;0,'LISTA DE PRECIOS'!C821,"")</f>
        <v/>
      </c>
      <c r="D807" s="67" t="str">
        <f>IF('LISTA DE PRECIOS'!$H821&gt;0,'LISTA DE PRECIOS'!D821,"")</f>
        <v/>
      </c>
      <c r="E807" t="str">
        <f>IF('LISTA DE PRECIOS'!$H821&gt;0,'LISTA DE PRECIOS'!E821,"")</f>
        <v/>
      </c>
      <c r="F807" t="str">
        <f>IF('LISTA DE PRECIOS'!$H821&gt;0,'LISTA DE PRECIOS'!F821,"")</f>
        <v/>
      </c>
      <c r="G807" s="31" t="str">
        <f>IF('LISTA DE PRECIOS'!$H821&gt;0,'LISTA DE PRECIOS'!G821,"")</f>
        <v/>
      </c>
      <c r="H807" s="67" t="str">
        <f>IF('LISTA DE PRECIOS'!$H821&gt;0,'LISTA DE PRECIOS'!H821,"")</f>
        <v/>
      </c>
      <c r="I807" s="31" t="str">
        <f t="shared" si="11"/>
        <v/>
      </c>
    </row>
    <row r="808" spans="1:9">
      <c r="A808" t="str">
        <f>IF('LISTA DE PRECIOS'!$H822&gt;0,'LISTA DE PRECIOS'!A822,"")</f>
        <v/>
      </c>
      <c r="B808" t="str">
        <f>IF('LISTA DE PRECIOS'!$H822&gt;0,'LISTA DE PRECIOS'!B822,"")</f>
        <v/>
      </c>
      <c r="C808" t="str">
        <f>IF('LISTA DE PRECIOS'!$H822&gt;0,'LISTA DE PRECIOS'!C822,"")</f>
        <v/>
      </c>
      <c r="D808" s="67" t="str">
        <f>IF('LISTA DE PRECIOS'!$H822&gt;0,'LISTA DE PRECIOS'!D822,"")</f>
        <v/>
      </c>
      <c r="E808" t="str">
        <f>IF('LISTA DE PRECIOS'!$H822&gt;0,'LISTA DE PRECIOS'!E822,"")</f>
        <v/>
      </c>
      <c r="F808" t="str">
        <f>IF('LISTA DE PRECIOS'!$H822&gt;0,'LISTA DE PRECIOS'!F822,"")</f>
        <v/>
      </c>
      <c r="G808" s="31" t="str">
        <f>IF('LISTA DE PRECIOS'!$H822&gt;0,'LISTA DE PRECIOS'!G822,"")</f>
        <v/>
      </c>
      <c r="H808" s="67" t="str">
        <f>IF('LISTA DE PRECIOS'!$H822&gt;0,'LISTA DE PRECIOS'!H822,"")</f>
        <v/>
      </c>
      <c r="I808" s="31" t="str">
        <f t="shared" si="11"/>
        <v/>
      </c>
    </row>
    <row r="809" spans="1:9">
      <c r="A809" t="str">
        <f>IF('LISTA DE PRECIOS'!$H823&gt;0,'LISTA DE PRECIOS'!A823,"")</f>
        <v/>
      </c>
      <c r="B809" t="str">
        <f>IF('LISTA DE PRECIOS'!$H823&gt;0,'LISTA DE PRECIOS'!B823,"")</f>
        <v/>
      </c>
      <c r="C809" t="str">
        <f>IF('LISTA DE PRECIOS'!$H823&gt;0,'LISTA DE PRECIOS'!C823,"")</f>
        <v/>
      </c>
      <c r="D809" s="67" t="str">
        <f>IF('LISTA DE PRECIOS'!$H823&gt;0,'LISTA DE PRECIOS'!D823,"")</f>
        <v/>
      </c>
      <c r="E809" t="str">
        <f>IF('LISTA DE PRECIOS'!$H823&gt;0,'LISTA DE PRECIOS'!E823,"")</f>
        <v/>
      </c>
      <c r="F809" t="str">
        <f>IF('LISTA DE PRECIOS'!$H823&gt;0,'LISTA DE PRECIOS'!F823,"")</f>
        <v/>
      </c>
      <c r="G809" s="31" t="str">
        <f>IF('LISTA DE PRECIOS'!$H823&gt;0,'LISTA DE PRECIOS'!G823,"")</f>
        <v/>
      </c>
      <c r="H809" s="67" t="str">
        <f>IF('LISTA DE PRECIOS'!$H823&gt;0,'LISTA DE PRECIOS'!H823,"")</f>
        <v/>
      </c>
      <c r="I809" s="31" t="str">
        <f t="shared" si="11"/>
        <v/>
      </c>
    </row>
    <row r="810" spans="1:9">
      <c r="A810" t="str">
        <f>IF('LISTA DE PRECIOS'!$H824&gt;0,'LISTA DE PRECIOS'!A824,"")</f>
        <v/>
      </c>
      <c r="B810" t="str">
        <f>IF('LISTA DE PRECIOS'!$H824&gt;0,'LISTA DE PRECIOS'!B824,"")</f>
        <v/>
      </c>
      <c r="C810" t="str">
        <f>IF('LISTA DE PRECIOS'!$H824&gt;0,'LISTA DE PRECIOS'!C824,"")</f>
        <v/>
      </c>
      <c r="D810" s="67" t="str">
        <f>IF('LISTA DE PRECIOS'!$H824&gt;0,'LISTA DE PRECIOS'!D824,"")</f>
        <v/>
      </c>
      <c r="E810" t="str">
        <f>IF('LISTA DE PRECIOS'!$H824&gt;0,'LISTA DE PRECIOS'!E824,"")</f>
        <v/>
      </c>
      <c r="F810" t="str">
        <f>IF('LISTA DE PRECIOS'!$H824&gt;0,'LISTA DE PRECIOS'!F824,"")</f>
        <v/>
      </c>
      <c r="G810" s="31" t="str">
        <f>IF('LISTA DE PRECIOS'!$H824&gt;0,'LISTA DE PRECIOS'!G824,"")</f>
        <v/>
      </c>
      <c r="H810" s="67" t="str">
        <f>IF('LISTA DE PRECIOS'!$H824&gt;0,'LISTA DE PRECIOS'!H824,"")</f>
        <v/>
      </c>
      <c r="I810" s="31" t="str">
        <f t="shared" si="11"/>
        <v/>
      </c>
    </row>
    <row r="811" spans="1:9">
      <c r="A811" t="str">
        <f>IF('LISTA DE PRECIOS'!$H825&gt;0,'LISTA DE PRECIOS'!A825,"")</f>
        <v/>
      </c>
      <c r="B811" t="str">
        <f>IF('LISTA DE PRECIOS'!$H825&gt;0,'LISTA DE PRECIOS'!B825,"")</f>
        <v/>
      </c>
      <c r="C811" t="str">
        <f>IF('LISTA DE PRECIOS'!$H825&gt;0,'LISTA DE PRECIOS'!C825,"")</f>
        <v/>
      </c>
      <c r="D811" s="67" t="str">
        <f>IF('LISTA DE PRECIOS'!$H825&gt;0,'LISTA DE PRECIOS'!D825,"")</f>
        <v/>
      </c>
      <c r="E811" t="str">
        <f>IF('LISTA DE PRECIOS'!$H825&gt;0,'LISTA DE PRECIOS'!E825,"")</f>
        <v/>
      </c>
      <c r="F811" t="str">
        <f>IF('LISTA DE PRECIOS'!$H825&gt;0,'LISTA DE PRECIOS'!F825,"")</f>
        <v/>
      </c>
      <c r="G811" s="31" t="str">
        <f>IF('LISTA DE PRECIOS'!$H825&gt;0,'LISTA DE PRECIOS'!G825,"")</f>
        <v/>
      </c>
      <c r="H811" s="67" t="str">
        <f>IF('LISTA DE PRECIOS'!$H825&gt;0,'LISTA DE PRECIOS'!H825,"")</f>
        <v/>
      </c>
      <c r="I811" s="31" t="str">
        <f t="shared" si="11"/>
        <v/>
      </c>
    </row>
    <row r="812" spans="1:9">
      <c r="A812" t="str">
        <f>IF('LISTA DE PRECIOS'!$H826&gt;0,'LISTA DE PRECIOS'!A826,"")</f>
        <v/>
      </c>
      <c r="B812" t="str">
        <f>IF('LISTA DE PRECIOS'!$H826&gt;0,'LISTA DE PRECIOS'!B826,"")</f>
        <v/>
      </c>
      <c r="C812" t="str">
        <f>IF('LISTA DE PRECIOS'!$H826&gt;0,'LISTA DE PRECIOS'!C826,"")</f>
        <v/>
      </c>
      <c r="D812" s="67" t="str">
        <f>IF('LISTA DE PRECIOS'!$H826&gt;0,'LISTA DE PRECIOS'!D826,"")</f>
        <v/>
      </c>
      <c r="E812" t="str">
        <f>IF('LISTA DE PRECIOS'!$H826&gt;0,'LISTA DE PRECIOS'!E826,"")</f>
        <v/>
      </c>
      <c r="F812" t="str">
        <f>IF('LISTA DE PRECIOS'!$H826&gt;0,'LISTA DE PRECIOS'!F826,"")</f>
        <v/>
      </c>
      <c r="G812" s="31" t="str">
        <f>IF('LISTA DE PRECIOS'!$H826&gt;0,'LISTA DE PRECIOS'!G826,"")</f>
        <v/>
      </c>
      <c r="H812" s="67" t="str">
        <f>IF('LISTA DE PRECIOS'!$H826&gt;0,'LISTA DE PRECIOS'!H826,"")</f>
        <v/>
      </c>
      <c r="I812" s="31" t="str">
        <f t="shared" si="11"/>
        <v/>
      </c>
    </row>
    <row r="813" spans="1:9">
      <c r="A813" t="str">
        <f>IF('LISTA DE PRECIOS'!$H827&gt;0,'LISTA DE PRECIOS'!A827,"")</f>
        <v/>
      </c>
      <c r="B813" t="str">
        <f>IF('LISTA DE PRECIOS'!$H827&gt;0,'LISTA DE PRECIOS'!B827,"")</f>
        <v/>
      </c>
      <c r="C813" t="str">
        <f>IF('LISTA DE PRECIOS'!$H827&gt;0,'LISTA DE PRECIOS'!C827,"")</f>
        <v/>
      </c>
      <c r="D813" s="67" t="str">
        <f>IF('LISTA DE PRECIOS'!$H827&gt;0,'LISTA DE PRECIOS'!D827,"")</f>
        <v/>
      </c>
      <c r="E813" t="str">
        <f>IF('LISTA DE PRECIOS'!$H827&gt;0,'LISTA DE PRECIOS'!E827,"")</f>
        <v/>
      </c>
      <c r="F813" t="str">
        <f>IF('LISTA DE PRECIOS'!$H827&gt;0,'LISTA DE PRECIOS'!F827,"")</f>
        <v/>
      </c>
      <c r="G813" s="31" t="str">
        <f>IF('LISTA DE PRECIOS'!$H827&gt;0,'LISTA DE PRECIOS'!G827,"")</f>
        <v/>
      </c>
      <c r="H813" s="67" t="str">
        <f>IF('LISTA DE PRECIOS'!$H827&gt;0,'LISTA DE PRECIOS'!H827,"")</f>
        <v/>
      </c>
      <c r="I813" s="31" t="str">
        <f t="shared" si="11"/>
        <v/>
      </c>
    </row>
    <row r="814" spans="1:9">
      <c r="A814" t="str">
        <f>IF('LISTA DE PRECIOS'!$H828&gt;0,'LISTA DE PRECIOS'!A828,"")</f>
        <v/>
      </c>
      <c r="B814" t="str">
        <f>IF('LISTA DE PRECIOS'!$H828&gt;0,'LISTA DE PRECIOS'!B828,"")</f>
        <v/>
      </c>
      <c r="C814" t="str">
        <f>IF('LISTA DE PRECIOS'!$H828&gt;0,'LISTA DE PRECIOS'!C828,"")</f>
        <v/>
      </c>
      <c r="D814" s="67" t="str">
        <f>IF('LISTA DE PRECIOS'!$H828&gt;0,'LISTA DE PRECIOS'!D828,"")</f>
        <v/>
      </c>
      <c r="E814" t="str">
        <f>IF('LISTA DE PRECIOS'!$H828&gt;0,'LISTA DE PRECIOS'!E828,"")</f>
        <v/>
      </c>
      <c r="F814" t="str">
        <f>IF('LISTA DE PRECIOS'!$H828&gt;0,'LISTA DE PRECIOS'!F828,"")</f>
        <v/>
      </c>
      <c r="G814" s="31" t="str">
        <f>IF('LISTA DE PRECIOS'!$H828&gt;0,'LISTA DE PRECIOS'!G828,"")</f>
        <v/>
      </c>
      <c r="H814" s="67" t="str">
        <f>IF('LISTA DE PRECIOS'!$H828&gt;0,'LISTA DE PRECIOS'!H828,"")</f>
        <v/>
      </c>
      <c r="I814" s="31" t="str">
        <f t="shared" si="11"/>
        <v/>
      </c>
    </row>
    <row r="815" spans="1:9">
      <c r="A815" t="str">
        <f>IF('LISTA DE PRECIOS'!$H829&gt;0,'LISTA DE PRECIOS'!A829,"")</f>
        <v/>
      </c>
      <c r="B815" t="str">
        <f>IF('LISTA DE PRECIOS'!$H829&gt;0,'LISTA DE PRECIOS'!B829,"")</f>
        <v/>
      </c>
      <c r="C815" t="str">
        <f>IF('LISTA DE PRECIOS'!$H829&gt;0,'LISTA DE PRECIOS'!C829,"")</f>
        <v/>
      </c>
      <c r="D815" s="67" t="str">
        <f>IF('LISTA DE PRECIOS'!$H829&gt;0,'LISTA DE PRECIOS'!D829,"")</f>
        <v/>
      </c>
      <c r="E815" t="str">
        <f>IF('LISTA DE PRECIOS'!$H829&gt;0,'LISTA DE PRECIOS'!E829,"")</f>
        <v/>
      </c>
      <c r="F815" t="str">
        <f>IF('LISTA DE PRECIOS'!$H829&gt;0,'LISTA DE PRECIOS'!F829,"")</f>
        <v/>
      </c>
      <c r="G815" s="31" t="str">
        <f>IF('LISTA DE PRECIOS'!$H829&gt;0,'LISTA DE PRECIOS'!G829,"")</f>
        <v/>
      </c>
      <c r="H815" s="67" t="str">
        <f>IF('LISTA DE PRECIOS'!$H829&gt;0,'LISTA DE PRECIOS'!H829,"")</f>
        <v/>
      </c>
      <c r="I815" s="31" t="str">
        <f t="shared" si="11"/>
        <v/>
      </c>
    </row>
    <row r="816" spans="1:9">
      <c r="A816" t="str">
        <f>IF('LISTA DE PRECIOS'!$H830&gt;0,'LISTA DE PRECIOS'!A830,"")</f>
        <v/>
      </c>
      <c r="B816" t="str">
        <f>IF('LISTA DE PRECIOS'!$H830&gt;0,'LISTA DE PRECIOS'!B830,"")</f>
        <v/>
      </c>
      <c r="C816" t="str">
        <f>IF('LISTA DE PRECIOS'!$H830&gt;0,'LISTA DE PRECIOS'!C830,"")</f>
        <v/>
      </c>
      <c r="D816" s="67" t="str">
        <f>IF('LISTA DE PRECIOS'!$H830&gt;0,'LISTA DE PRECIOS'!D830,"")</f>
        <v/>
      </c>
      <c r="E816" t="str">
        <f>IF('LISTA DE PRECIOS'!$H830&gt;0,'LISTA DE PRECIOS'!E830,"")</f>
        <v/>
      </c>
      <c r="F816" t="str">
        <f>IF('LISTA DE PRECIOS'!$H830&gt;0,'LISTA DE PRECIOS'!F830,"")</f>
        <v/>
      </c>
      <c r="G816" s="31" t="str">
        <f>IF('LISTA DE PRECIOS'!$H830&gt;0,'LISTA DE PRECIOS'!G830,"")</f>
        <v/>
      </c>
      <c r="H816" s="67" t="str">
        <f>IF('LISTA DE PRECIOS'!$H830&gt;0,'LISTA DE PRECIOS'!H830,"")</f>
        <v/>
      </c>
      <c r="I816" s="31" t="str">
        <f t="shared" si="11"/>
        <v/>
      </c>
    </row>
    <row r="817" spans="1:9">
      <c r="A817" t="str">
        <f>IF('LISTA DE PRECIOS'!$H831&gt;0,'LISTA DE PRECIOS'!A831,"")</f>
        <v/>
      </c>
      <c r="B817" t="str">
        <f>IF('LISTA DE PRECIOS'!$H831&gt;0,'LISTA DE PRECIOS'!B831,"")</f>
        <v/>
      </c>
      <c r="C817" t="str">
        <f>IF('LISTA DE PRECIOS'!$H831&gt;0,'LISTA DE PRECIOS'!C831,"")</f>
        <v/>
      </c>
      <c r="D817" s="67" t="str">
        <f>IF('LISTA DE PRECIOS'!$H831&gt;0,'LISTA DE PRECIOS'!D831,"")</f>
        <v/>
      </c>
      <c r="E817" t="str">
        <f>IF('LISTA DE PRECIOS'!$H831&gt;0,'LISTA DE PRECIOS'!E831,"")</f>
        <v/>
      </c>
      <c r="F817" t="str">
        <f>IF('LISTA DE PRECIOS'!$H831&gt;0,'LISTA DE PRECIOS'!F831,"")</f>
        <v/>
      </c>
      <c r="G817" s="31" t="str">
        <f>IF('LISTA DE PRECIOS'!$H831&gt;0,'LISTA DE PRECIOS'!G831,"")</f>
        <v/>
      </c>
      <c r="H817" s="67" t="str">
        <f>IF('LISTA DE PRECIOS'!$H831&gt;0,'LISTA DE PRECIOS'!H831,"")</f>
        <v/>
      </c>
      <c r="I817" s="31" t="str">
        <f t="shared" si="11"/>
        <v/>
      </c>
    </row>
    <row r="818" spans="1:9">
      <c r="A818" t="str">
        <f>IF('LISTA DE PRECIOS'!$H832&gt;0,'LISTA DE PRECIOS'!A832,"")</f>
        <v/>
      </c>
      <c r="B818" t="str">
        <f>IF('LISTA DE PRECIOS'!$H832&gt;0,'LISTA DE PRECIOS'!B832,"")</f>
        <v/>
      </c>
      <c r="C818" t="str">
        <f>IF('LISTA DE PRECIOS'!$H832&gt;0,'LISTA DE PRECIOS'!C832,"")</f>
        <v/>
      </c>
      <c r="D818" s="67" t="str">
        <f>IF('LISTA DE PRECIOS'!$H832&gt;0,'LISTA DE PRECIOS'!D832,"")</f>
        <v/>
      </c>
      <c r="E818" t="str">
        <f>IF('LISTA DE PRECIOS'!$H832&gt;0,'LISTA DE PRECIOS'!E832,"")</f>
        <v/>
      </c>
      <c r="F818" t="str">
        <f>IF('LISTA DE PRECIOS'!$H832&gt;0,'LISTA DE PRECIOS'!F832,"")</f>
        <v/>
      </c>
      <c r="G818" s="31" t="str">
        <f>IF('LISTA DE PRECIOS'!$H832&gt;0,'LISTA DE PRECIOS'!G832,"")</f>
        <v/>
      </c>
      <c r="H818" s="67" t="str">
        <f>IF('LISTA DE PRECIOS'!$H832&gt;0,'LISTA DE PRECIOS'!H832,"")</f>
        <v/>
      </c>
      <c r="I818" s="31" t="str">
        <f t="shared" si="11"/>
        <v/>
      </c>
    </row>
    <row r="819" spans="1:9">
      <c r="A819" t="str">
        <f>IF('LISTA DE PRECIOS'!$H833&gt;0,'LISTA DE PRECIOS'!A833,"")</f>
        <v/>
      </c>
      <c r="B819" t="str">
        <f>IF('LISTA DE PRECIOS'!$H833&gt;0,'LISTA DE PRECIOS'!B833,"")</f>
        <v/>
      </c>
      <c r="C819" t="str">
        <f>IF('LISTA DE PRECIOS'!$H833&gt;0,'LISTA DE PRECIOS'!C833,"")</f>
        <v/>
      </c>
      <c r="D819" s="67" t="str">
        <f>IF('LISTA DE PRECIOS'!$H833&gt;0,'LISTA DE PRECIOS'!D833,"")</f>
        <v/>
      </c>
      <c r="E819" t="str">
        <f>IF('LISTA DE PRECIOS'!$H833&gt;0,'LISTA DE PRECIOS'!E833,"")</f>
        <v/>
      </c>
      <c r="F819" t="str">
        <f>IF('LISTA DE PRECIOS'!$H833&gt;0,'LISTA DE PRECIOS'!F833,"")</f>
        <v/>
      </c>
      <c r="G819" s="31" t="str">
        <f>IF('LISTA DE PRECIOS'!$H833&gt;0,'LISTA DE PRECIOS'!G833,"")</f>
        <v/>
      </c>
      <c r="H819" s="67" t="str">
        <f>IF('LISTA DE PRECIOS'!$H833&gt;0,'LISTA DE PRECIOS'!H833,"")</f>
        <v/>
      </c>
      <c r="I819" s="31" t="str">
        <f t="shared" si="11"/>
        <v/>
      </c>
    </row>
    <row r="820" spans="1:9">
      <c r="A820" t="str">
        <f>IF('LISTA DE PRECIOS'!$H834&gt;0,'LISTA DE PRECIOS'!A834,"")</f>
        <v/>
      </c>
      <c r="B820" t="str">
        <f>IF('LISTA DE PRECIOS'!$H834&gt;0,'LISTA DE PRECIOS'!B834,"")</f>
        <v/>
      </c>
      <c r="C820" t="str">
        <f>IF('LISTA DE PRECIOS'!$H834&gt;0,'LISTA DE PRECIOS'!C834,"")</f>
        <v/>
      </c>
      <c r="D820" s="67" t="str">
        <f>IF('LISTA DE PRECIOS'!$H834&gt;0,'LISTA DE PRECIOS'!D834,"")</f>
        <v/>
      </c>
      <c r="E820" t="str">
        <f>IF('LISTA DE PRECIOS'!$H834&gt;0,'LISTA DE PRECIOS'!E834,"")</f>
        <v/>
      </c>
      <c r="F820" t="str">
        <f>IF('LISTA DE PRECIOS'!$H834&gt;0,'LISTA DE PRECIOS'!F834,"")</f>
        <v/>
      </c>
      <c r="G820" s="31" t="str">
        <f>IF('LISTA DE PRECIOS'!$H834&gt;0,'LISTA DE PRECIOS'!G834,"")</f>
        <v/>
      </c>
      <c r="H820" s="67" t="str">
        <f>IF('LISTA DE PRECIOS'!$H834&gt;0,'LISTA DE PRECIOS'!H834,"")</f>
        <v/>
      </c>
      <c r="I820" s="31" t="str">
        <f t="shared" si="11"/>
        <v/>
      </c>
    </row>
    <row r="821" spans="1:9">
      <c r="A821" t="str">
        <f>IF('LISTA DE PRECIOS'!$H835&gt;0,'LISTA DE PRECIOS'!A835,"")</f>
        <v/>
      </c>
      <c r="B821" t="str">
        <f>IF('LISTA DE PRECIOS'!$H835&gt;0,'LISTA DE PRECIOS'!B835,"")</f>
        <v/>
      </c>
      <c r="C821" t="str">
        <f>IF('LISTA DE PRECIOS'!$H835&gt;0,'LISTA DE PRECIOS'!C835,"")</f>
        <v/>
      </c>
      <c r="D821" s="67" t="str">
        <f>IF('LISTA DE PRECIOS'!$H835&gt;0,'LISTA DE PRECIOS'!D835,"")</f>
        <v/>
      </c>
      <c r="E821" t="str">
        <f>IF('LISTA DE PRECIOS'!$H835&gt;0,'LISTA DE PRECIOS'!E835,"")</f>
        <v/>
      </c>
      <c r="F821" t="str">
        <f>IF('LISTA DE PRECIOS'!$H835&gt;0,'LISTA DE PRECIOS'!F835,"")</f>
        <v/>
      </c>
      <c r="G821" s="31" t="str">
        <f>IF('LISTA DE PRECIOS'!$H835&gt;0,'LISTA DE PRECIOS'!G835,"")</f>
        <v/>
      </c>
      <c r="H821" s="67" t="str">
        <f>IF('LISTA DE PRECIOS'!$H835&gt;0,'LISTA DE PRECIOS'!H835,"")</f>
        <v/>
      </c>
      <c r="I821" s="31" t="str">
        <f t="shared" si="11"/>
        <v/>
      </c>
    </row>
    <row r="822" spans="1:9">
      <c r="A822" t="str">
        <f>IF('LISTA DE PRECIOS'!$H836&gt;0,'LISTA DE PRECIOS'!A836,"")</f>
        <v/>
      </c>
      <c r="B822" t="str">
        <f>IF('LISTA DE PRECIOS'!$H836&gt;0,'LISTA DE PRECIOS'!B836,"")</f>
        <v/>
      </c>
      <c r="C822" t="str">
        <f>IF('LISTA DE PRECIOS'!$H836&gt;0,'LISTA DE PRECIOS'!C836,"")</f>
        <v/>
      </c>
      <c r="D822" s="67" t="str">
        <f>IF('LISTA DE PRECIOS'!$H836&gt;0,'LISTA DE PRECIOS'!D836,"")</f>
        <v/>
      </c>
      <c r="E822" t="str">
        <f>IF('LISTA DE PRECIOS'!$H836&gt;0,'LISTA DE PRECIOS'!E836,"")</f>
        <v/>
      </c>
      <c r="F822" t="str">
        <f>IF('LISTA DE PRECIOS'!$H836&gt;0,'LISTA DE PRECIOS'!F836,"")</f>
        <v/>
      </c>
      <c r="G822" s="31" t="str">
        <f>IF('LISTA DE PRECIOS'!$H836&gt;0,'LISTA DE PRECIOS'!G836,"")</f>
        <v/>
      </c>
      <c r="H822" s="67" t="str">
        <f>IF('LISTA DE PRECIOS'!$H836&gt;0,'LISTA DE PRECIOS'!H836,"")</f>
        <v/>
      </c>
      <c r="I822" s="31" t="str">
        <f t="shared" si="11"/>
        <v/>
      </c>
    </row>
    <row r="823" spans="1:9">
      <c r="A823" t="str">
        <f>IF('LISTA DE PRECIOS'!$H837&gt;0,'LISTA DE PRECIOS'!A837,"")</f>
        <v/>
      </c>
      <c r="B823" t="str">
        <f>IF('LISTA DE PRECIOS'!$H837&gt;0,'LISTA DE PRECIOS'!B837,"")</f>
        <v/>
      </c>
      <c r="C823" t="str">
        <f>IF('LISTA DE PRECIOS'!$H837&gt;0,'LISTA DE PRECIOS'!C837,"")</f>
        <v/>
      </c>
      <c r="D823" s="67" t="str">
        <f>IF('LISTA DE PRECIOS'!$H837&gt;0,'LISTA DE PRECIOS'!D837,"")</f>
        <v/>
      </c>
      <c r="E823" t="str">
        <f>IF('LISTA DE PRECIOS'!$H837&gt;0,'LISTA DE PRECIOS'!E837,"")</f>
        <v/>
      </c>
      <c r="F823" t="str">
        <f>IF('LISTA DE PRECIOS'!$H837&gt;0,'LISTA DE PRECIOS'!F837,"")</f>
        <v/>
      </c>
      <c r="G823" s="31" t="str">
        <f>IF('LISTA DE PRECIOS'!$H837&gt;0,'LISTA DE PRECIOS'!G837,"")</f>
        <v/>
      </c>
      <c r="H823" s="67" t="str">
        <f>IF('LISTA DE PRECIOS'!$H837&gt;0,'LISTA DE PRECIOS'!H837,"")</f>
        <v/>
      </c>
      <c r="I823" s="31" t="str">
        <f t="shared" si="11"/>
        <v/>
      </c>
    </row>
    <row r="824" spans="1:9">
      <c r="A824" t="str">
        <f>IF('LISTA DE PRECIOS'!$H838&gt;0,'LISTA DE PRECIOS'!A838,"")</f>
        <v/>
      </c>
      <c r="B824" t="str">
        <f>IF('LISTA DE PRECIOS'!$H838&gt;0,'LISTA DE PRECIOS'!B838,"")</f>
        <v/>
      </c>
      <c r="C824" t="str">
        <f>IF('LISTA DE PRECIOS'!$H838&gt;0,'LISTA DE PRECIOS'!C838,"")</f>
        <v/>
      </c>
      <c r="D824" s="67" t="str">
        <f>IF('LISTA DE PRECIOS'!$H838&gt;0,'LISTA DE PRECIOS'!D838,"")</f>
        <v/>
      </c>
      <c r="E824" t="str">
        <f>IF('LISTA DE PRECIOS'!$H838&gt;0,'LISTA DE PRECIOS'!E838,"")</f>
        <v/>
      </c>
      <c r="F824" t="str">
        <f>IF('LISTA DE PRECIOS'!$H838&gt;0,'LISTA DE PRECIOS'!F838,"")</f>
        <v/>
      </c>
      <c r="G824" s="31" t="str">
        <f>IF('LISTA DE PRECIOS'!$H838&gt;0,'LISTA DE PRECIOS'!G838,"")</f>
        <v/>
      </c>
      <c r="H824" s="67" t="str">
        <f>IF('LISTA DE PRECIOS'!$H838&gt;0,'LISTA DE PRECIOS'!H838,"")</f>
        <v/>
      </c>
      <c r="I824" s="31" t="str">
        <f t="shared" si="11"/>
        <v/>
      </c>
    </row>
    <row r="825" spans="1:9">
      <c r="A825" t="str">
        <f>IF('LISTA DE PRECIOS'!$H839&gt;0,'LISTA DE PRECIOS'!A839,"")</f>
        <v/>
      </c>
      <c r="B825" t="str">
        <f>IF('LISTA DE PRECIOS'!$H839&gt;0,'LISTA DE PRECIOS'!B839,"")</f>
        <v/>
      </c>
      <c r="C825" t="str">
        <f>IF('LISTA DE PRECIOS'!$H839&gt;0,'LISTA DE PRECIOS'!C839,"")</f>
        <v/>
      </c>
      <c r="D825" s="67" t="str">
        <f>IF('LISTA DE PRECIOS'!$H839&gt;0,'LISTA DE PRECIOS'!D839,"")</f>
        <v/>
      </c>
      <c r="E825" t="str">
        <f>IF('LISTA DE PRECIOS'!$H839&gt;0,'LISTA DE PRECIOS'!E839,"")</f>
        <v/>
      </c>
      <c r="F825" t="str">
        <f>IF('LISTA DE PRECIOS'!$H839&gt;0,'LISTA DE PRECIOS'!F839,"")</f>
        <v/>
      </c>
      <c r="G825" s="31" t="str">
        <f>IF('LISTA DE PRECIOS'!$H839&gt;0,'LISTA DE PRECIOS'!G839,"")</f>
        <v/>
      </c>
      <c r="H825" s="67" t="str">
        <f>IF('LISTA DE PRECIOS'!$H839&gt;0,'LISTA DE PRECIOS'!H839,"")</f>
        <v/>
      </c>
      <c r="I825" s="31" t="str">
        <f t="shared" si="11"/>
        <v/>
      </c>
    </row>
    <row r="826" spans="1:9">
      <c r="A826" t="str">
        <f>IF('LISTA DE PRECIOS'!$H840&gt;0,'LISTA DE PRECIOS'!A840,"")</f>
        <v/>
      </c>
      <c r="B826" t="str">
        <f>IF('LISTA DE PRECIOS'!$H840&gt;0,'LISTA DE PRECIOS'!B840,"")</f>
        <v/>
      </c>
      <c r="C826" t="str">
        <f>IF('LISTA DE PRECIOS'!$H840&gt;0,'LISTA DE PRECIOS'!C840,"")</f>
        <v/>
      </c>
      <c r="D826" s="67" t="str">
        <f>IF('LISTA DE PRECIOS'!$H840&gt;0,'LISTA DE PRECIOS'!D840,"")</f>
        <v/>
      </c>
      <c r="E826" t="str">
        <f>IF('LISTA DE PRECIOS'!$H840&gt;0,'LISTA DE PRECIOS'!E840,"")</f>
        <v/>
      </c>
      <c r="F826" t="str">
        <f>IF('LISTA DE PRECIOS'!$H840&gt;0,'LISTA DE PRECIOS'!F840,"")</f>
        <v/>
      </c>
      <c r="G826" s="31" t="str">
        <f>IF('LISTA DE PRECIOS'!$H840&gt;0,'LISTA DE PRECIOS'!G840,"")</f>
        <v/>
      </c>
      <c r="H826" s="67" t="str">
        <f>IF('LISTA DE PRECIOS'!$H840&gt;0,'LISTA DE PRECIOS'!H840,"")</f>
        <v/>
      </c>
      <c r="I826" s="31" t="str">
        <f t="shared" si="11"/>
        <v/>
      </c>
    </row>
    <row r="827" spans="1:9">
      <c r="A827" t="str">
        <f>IF('LISTA DE PRECIOS'!$H841&gt;0,'LISTA DE PRECIOS'!A841,"")</f>
        <v/>
      </c>
      <c r="B827" t="str">
        <f>IF('LISTA DE PRECIOS'!$H841&gt;0,'LISTA DE PRECIOS'!B841,"")</f>
        <v/>
      </c>
      <c r="C827" t="str">
        <f>IF('LISTA DE PRECIOS'!$H841&gt;0,'LISTA DE PRECIOS'!C841,"")</f>
        <v/>
      </c>
      <c r="D827" s="67" t="str">
        <f>IF('LISTA DE PRECIOS'!$H841&gt;0,'LISTA DE PRECIOS'!D841,"")</f>
        <v/>
      </c>
      <c r="E827" t="str">
        <f>IF('LISTA DE PRECIOS'!$H841&gt;0,'LISTA DE PRECIOS'!E841,"")</f>
        <v/>
      </c>
      <c r="F827" t="str">
        <f>IF('LISTA DE PRECIOS'!$H841&gt;0,'LISTA DE PRECIOS'!F841,"")</f>
        <v/>
      </c>
      <c r="G827" s="31" t="str">
        <f>IF('LISTA DE PRECIOS'!$H841&gt;0,'LISTA DE PRECIOS'!G841,"")</f>
        <v/>
      </c>
      <c r="H827" s="67" t="str">
        <f>IF('LISTA DE PRECIOS'!$H841&gt;0,'LISTA DE PRECIOS'!H841,"")</f>
        <v/>
      </c>
      <c r="I827" s="31" t="str">
        <f t="shared" si="11"/>
        <v/>
      </c>
    </row>
    <row r="828" spans="1:9">
      <c r="A828" t="str">
        <f>IF('LISTA DE PRECIOS'!$H842&gt;0,'LISTA DE PRECIOS'!A842,"")</f>
        <v/>
      </c>
      <c r="B828" t="str">
        <f>IF('LISTA DE PRECIOS'!$H842&gt;0,'LISTA DE PRECIOS'!B842,"")</f>
        <v/>
      </c>
      <c r="C828" t="str">
        <f>IF('LISTA DE PRECIOS'!$H842&gt;0,'LISTA DE PRECIOS'!C842,"")</f>
        <v/>
      </c>
      <c r="D828" s="67" t="str">
        <f>IF('LISTA DE PRECIOS'!$H842&gt;0,'LISTA DE PRECIOS'!D842,"")</f>
        <v/>
      </c>
      <c r="E828" t="str">
        <f>IF('LISTA DE PRECIOS'!$H842&gt;0,'LISTA DE PRECIOS'!E842,"")</f>
        <v/>
      </c>
      <c r="F828" t="str">
        <f>IF('LISTA DE PRECIOS'!$H842&gt;0,'LISTA DE PRECIOS'!F842,"")</f>
        <v/>
      </c>
      <c r="G828" s="31" t="str">
        <f>IF('LISTA DE PRECIOS'!$H842&gt;0,'LISTA DE PRECIOS'!G842,"")</f>
        <v/>
      </c>
      <c r="H828" s="67" t="str">
        <f>IF('LISTA DE PRECIOS'!$H842&gt;0,'LISTA DE PRECIOS'!H842,"")</f>
        <v/>
      </c>
      <c r="I828" s="31" t="str">
        <f t="shared" si="11"/>
        <v/>
      </c>
    </row>
    <row r="829" spans="1:9">
      <c r="A829" t="str">
        <f>IF('LISTA DE PRECIOS'!$H843&gt;0,'LISTA DE PRECIOS'!A843,"")</f>
        <v/>
      </c>
      <c r="B829" t="str">
        <f>IF('LISTA DE PRECIOS'!$H843&gt;0,'LISTA DE PRECIOS'!B843,"")</f>
        <v/>
      </c>
      <c r="C829" t="str">
        <f>IF('LISTA DE PRECIOS'!$H843&gt;0,'LISTA DE PRECIOS'!C843,"")</f>
        <v/>
      </c>
      <c r="D829" s="67" t="str">
        <f>IF('LISTA DE PRECIOS'!$H843&gt;0,'LISTA DE PRECIOS'!D843,"")</f>
        <v/>
      </c>
      <c r="E829" t="str">
        <f>IF('LISTA DE PRECIOS'!$H843&gt;0,'LISTA DE PRECIOS'!E843,"")</f>
        <v/>
      </c>
      <c r="F829" t="str">
        <f>IF('LISTA DE PRECIOS'!$H843&gt;0,'LISTA DE PRECIOS'!F843,"")</f>
        <v/>
      </c>
      <c r="G829" s="31" t="str">
        <f>IF('LISTA DE PRECIOS'!$H843&gt;0,'LISTA DE PRECIOS'!G843,"")</f>
        <v/>
      </c>
      <c r="H829" s="67" t="str">
        <f>IF('LISTA DE PRECIOS'!$H843&gt;0,'LISTA DE PRECIOS'!H843,"")</f>
        <v/>
      </c>
      <c r="I829" s="31" t="str">
        <f t="shared" si="11"/>
        <v/>
      </c>
    </row>
    <row r="830" spans="1:9">
      <c r="A830" t="str">
        <f>IF('LISTA DE PRECIOS'!$H844&gt;0,'LISTA DE PRECIOS'!A844,"")</f>
        <v/>
      </c>
      <c r="B830" t="str">
        <f>IF('LISTA DE PRECIOS'!$H844&gt;0,'LISTA DE PRECIOS'!B844,"")</f>
        <v/>
      </c>
      <c r="C830" t="str">
        <f>IF('LISTA DE PRECIOS'!$H844&gt;0,'LISTA DE PRECIOS'!C844,"")</f>
        <v/>
      </c>
      <c r="D830" s="67" t="str">
        <f>IF('LISTA DE PRECIOS'!$H844&gt;0,'LISTA DE PRECIOS'!D844,"")</f>
        <v/>
      </c>
      <c r="E830" t="str">
        <f>IF('LISTA DE PRECIOS'!$H844&gt;0,'LISTA DE PRECIOS'!E844,"")</f>
        <v/>
      </c>
      <c r="F830" t="str">
        <f>IF('LISTA DE PRECIOS'!$H844&gt;0,'LISTA DE PRECIOS'!F844,"")</f>
        <v/>
      </c>
      <c r="G830" s="31" t="str">
        <f>IF('LISTA DE PRECIOS'!$H844&gt;0,'LISTA DE PRECIOS'!G844,"")</f>
        <v/>
      </c>
      <c r="H830" s="67" t="str">
        <f>IF('LISTA DE PRECIOS'!$H844&gt;0,'LISTA DE PRECIOS'!H844,"")</f>
        <v/>
      </c>
      <c r="I830" s="31" t="str">
        <f t="shared" si="11"/>
        <v/>
      </c>
    </row>
    <row r="831" spans="1:9">
      <c r="A831" t="str">
        <f>IF('LISTA DE PRECIOS'!$H845&gt;0,'LISTA DE PRECIOS'!A845,"")</f>
        <v/>
      </c>
      <c r="B831" t="str">
        <f>IF('LISTA DE PRECIOS'!$H845&gt;0,'LISTA DE PRECIOS'!B845,"")</f>
        <v/>
      </c>
      <c r="C831" t="str">
        <f>IF('LISTA DE PRECIOS'!$H845&gt;0,'LISTA DE PRECIOS'!C845,"")</f>
        <v/>
      </c>
      <c r="D831" s="67" t="str">
        <f>IF('LISTA DE PRECIOS'!$H845&gt;0,'LISTA DE PRECIOS'!D845,"")</f>
        <v/>
      </c>
      <c r="E831" t="str">
        <f>IF('LISTA DE PRECIOS'!$H845&gt;0,'LISTA DE PRECIOS'!E845,"")</f>
        <v/>
      </c>
      <c r="F831" t="str">
        <f>IF('LISTA DE PRECIOS'!$H845&gt;0,'LISTA DE PRECIOS'!F845,"")</f>
        <v/>
      </c>
      <c r="G831" s="31" t="str">
        <f>IF('LISTA DE PRECIOS'!$H845&gt;0,'LISTA DE PRECIOS'!G845,"")</f>
        <v/>
      </c>
      <c r="H831" s="67" t="str">
        <f>IF('LISTA DE PRECIOS'!$H845&gt;0,'LISTA DE PRECIOS'!H845,"")</f>
        <v/>
      </c>
      <c r="I831" s="31" t="str">
        <f t="shared" si="11"/>
        <v/>
      </c>
    </row>
    <row r="832" spans="1:9">
      <c r="A832" t="str">
        <f>IF('LISTA DE PRECIOS'!$H846&gt;0,'LISTA DE PRECIOS'!A846,"")</f>
        <v/>
      </c>
      <c r="B832" t="str">
        <f>IF('LISTA DE PRECIOS'!$H846&gt;0,'LISTA DE PRECIOS'!B846,"")</f>
        <v/>
      </c>
      <c r="C832" t="str">
        <f>IF('LISTA DE PRECIOS'!$H846&gt;0,'LISTA DE PRECIOS'!C846,"")</f>
        <v/>
      </c>
      <c r="D832" s="67" t="str">
        <f>IF('LISTA DE PRECIOS'!$H846&gt;0,'LISTA DE PRECIOS'!D846,"")</f>
        <v/>
      </c>
      <c r="E832" t="str">
        <f>IF('LISTA DE PRECIOS'!$H846&gt;0,'LISTA DE PRECIOS'!E846,"")</f>
        <v/>
      </c>
      <c r="F832" t="str">
        <f>IF('LISTA DE PRECIOS'!$H846&gt;0,'LISTA DE PRECIOS'!F846,"")</f>
        <v/>
      </c>
      <c r="G832" s="31" t="str">
        <f>IF('LISTA DE PRECIOS'!$H846&gt;0,'LISTA DE PRECIOS'!G846,"")</f>
        <v/>
      </c>
      <c r="H832" s="67" t="str">
        <f>IF('LISTA DE PRECIOS'!$H846&gt;0,'LISTA DE PRECIOS'!H846,"")</f>
        <v/>
      </c>
      <c r="I832" s="31" t="str">
        <f t="shared" si="11"/>
        <v/>
      </c>
    </row>
    <row r="833" spans="1:9">
      <c r="A833" t="str">
        <f>IF('LISTA DE PRECIOS'!$H847&gt;0,'LISTA DE PRECIOS'!A847,"")</f>
        <v/>
      </c>
      <c r="B833" t="str">
        <f>IF('LISTA DE PRECIOS'!$H847&gt;0,'LISTA DE PRECIOS'!B847,"")</f>
        <v/>
      </c>
      <c r="C833" t="str">
        <f>IF('LISTA DE PRECIOS'!$H847&gt;0,'LISTA DE PRECIOS'!C847,"")</f>
        <v/>
      </c>
      <c r="D833" s="67" t="str">
        <f>IF('LISTA DE PRECIOS'!$H847&gt;0,'LISTA DE PRECIOS'!D847,"")</f>
        <v/>
      </c>
      <c r="E833" t="str">
        <f>IF('LISTA DE PRECIOS'!$H847&gt;0,'LISTA DE PRECIOS'!E847,"")</f>
        <v/>
      </c>
      <c r="F833" t="str">
        <f>IF('LISTA DE PRECIOS'!$H847&gt;0,'LISTA DE PRECIOS'!F847,"")</f>
        <v/>
      </c>
      <c r="G833" s="31" t="str">
        <f>IF('LISTA DE PRECIOS'!$H847&gt;0,'LISTA DE PRECIOS'!G847,"")</f>
        <v/>
      </c>
      <c r="H833" s="67" t="str">
        <f>IF('LISTA DE PRECIOS'!$H847&gt;0,'LISTA DE PRECIOS'!H847,"")</f>
        <v/>
      </c>
      <c r="I833" s="31" t="str">
        <f t="shared" si="11"/>
        <v/>
      </c>
    </row>
    <row r="834" spans="1:9">
      <c r="A834" t="str">
        <f>IF('LISTA DE PRECIOS'!$H848&gt;0,'LISTA DE PRECIOS'!A848,"")</f>
        <v/>
      </c>
      <c r="B834" t="str">
        <f>IF('LISTA DE PRECIOS'!$H848&gt;0,'LISTA DE PRECIOS'!B848,"")</f>
        <v/>
      </c>
      <c r="C834" t="str">
        <f>IF('LISTA DE PRECIOS'!$H848&gt;0,'LISTA DE PRECIOS'!C848,"")</f>
        <v/>
      </c>
      <c r="D834" s="67" t="str">
        <f>IF('LISTA DE PRECIOS'!$H848&gt;0,'LISTA DE PRECIOS'!D848,"")</f>
        <v/>
      </c>
      <c r="E834" t="str">
        <f>IF('LISTA DE PRECIOS'!$H848&gt;0,'LISTA DE PRECIOS'!E848,"")</f>
        <v/>
      </c>
      <c r="F834" t="str">
        <f>IF('LISTA DE PRECIOS'!$H848&gt;0,'LISTA DE PRECIOS'!F848,"")</f>
        <v/>
      </c>
      <c r="G834" s="31" t="str">
        <f>IF('LISTA DE PRECIOS'!$H848&gt;0,'LISTA DE PRECIOS'!G848,"")</f>
        <v/>
      </c>
      <c r="H834" s="67" t="str">
        <f>IF('LISTA DE PRECIOS'!$H848&gt;0,'LISTA DE PRECIOS'!H848,"")</f>
        <v/>
      </c>
      <c r="I834" s="31" t="str">
        <f t="shared" si="11"/>
        <v/>
      </c>
    </row>
    <row r="835" spans="1:9">
      <c r="A835" t="str">
        <f>IF('LISTA DE PRECIOS'!$H849&gt;0,'LISTA DE PRECIOS'!A849,"")</f>
        <v/>
      </c>
      <c r="B835" t="str">
        <f>IF('LISTA DE PRECIOS'!$H849&gt;0,'LISTA DE PRECIOS'!B849,"")</f>
        <v/>
      </c>
      <c r="C835" t="str">
        <f>IF('LISTA DE PRECIOS'!$H849&gt;0,'LISTA DE PRECIOS'!C849,"")</f>
        <v/>
      </c>
      <c r="D835" s="67" t="str">
        <f>IF('LISTA DE PRECIOS'!$H849&gt;0,'LISTA DE PRECIOS'!D849,"")</f>
        <v/>
      </c>
      <c r="E835" t="str">
        <f>IF('LISTA DE PRECIOS'!$H849&gt;0,'LISTA DE PRECIOS'!E849,"")</f>
        <v/>
      </c>
      <c r="F835" t="str">
        <f>IF('LISTA DE PRECIOS'!$H849&gt;0,'LISTA DE PRECIOS'!F849,"")</f>
        <v/>
      </c>
      <c r="G835" s="31" t="str">
        <f>IF('LISTA DE PRECIOS'!$H849&gt;0,'LISTA DE PRECIOS'!G849,"")</f>
        <v/>
      </c>
      <c r="H835" s="67" t="str">
        <f>IF('LISTA DE PRECIOS'!$H849&gt;0,'LISTA DE PRECIOS'!H849,"")</f>
        <v/>
      </c>
      <c r="I835" s="31" t="str">
        <f t="shared" si="11"/>
        <v/>
      </c>
    </row>
    <row r="836" spans="1:9">
      <c r="A836" t="str">
        <f>IF('LISTA DE PRECIOS'!$H850&gt;0,'LISTA DE PRECIOS'!A850,"")</f>
        <v/>
      </c>
      <c r="B836" t="str">
        <f>IF('LISTA DE PRECIOS'!$H850&gt;0,'LISTA DE PRECIOS'!B850,"")</f>
        <v/>
      </c>
      <c r="C836" t="str">
        <f>IF('LISTA DE PRECIOS'!$H850&gt;0,'LISTA DE PRECIOS'!C850,"")</f>
        <v/>
      </c>
      <c r="D836" s="67" t="str">
        <f>IF('LISTA DE PRECIOS'!$H850&gt;0,'LISTA DE PRECIOS'!D850,"")</f>
        <v/>
      </c>
      <c r="E836" t="str">
        <f>IF('LISTA DE PRECIOS'!$H850&gt;0,'LISTA DE PRECIOS'!E850,"")</f>
        <v/>
      </c>
      <c r="F836" t="str">
        <f>IF('LISTA DE PRECIOS'!$H850&gt;0,'LISTA DE PRECIOS'!F850,"")</f>
        <v/>
      </c>
      <c r="G836" s="31" t="str">
        <f>IF('LISTA DE PRECIOS'!$H850&gt;0,'LISTA DE PRECIOS'!G850,"")</f>
        <v/>
      </c>
      <c r="H836" s="67" t="str">
        <f>IF('LISTA DE PRECIOS'!$H850&gt;0,'LISTA DE PRECIOS'!H850,"")</f>
        <v/>
      </c>
      <c r="I836" s="31" t="str">
        <f t="shared" si="11"/>
        <v/>
      </c>
    </row>
    <row r="837" spans="1:9">
      <c r="A837" t="str">
        <f>IF('LISTA DE PRECIOS'!$H851&gt;0,'LISTA DE PRECIOS'!A851,"")</f>
        <v/>
      </c>
      <c r="B837" t="str">
        <f>IF('LISTA DE PRECIOS'!$H851&gt;0,'LISTA DE PRECIOS'!B851,"")</f>
        <v/>
      </c>
      <c r="C837" t="str">
        <f>IF('LISTA DE PRECIOS'!$H851&gt;0,'LISTA DE PRECIOS'!C851,"")</f>
        <v/>
      </c>
      <c r="D837" s="67" t="str">
        <f>IF('LISTA DE PRECIOS'!$H851&gt;0,'LISTA DE PRECIOS'!D851,"")</f>
        <v/>
      </c>
      <c r="E837" t="str">
        <f>IF('LISTA DE PRECIOS'!$H851&gt;0,'LISTA DE PRECIOS'!E851,"")</f>
        <v/>
      </c>
      <c r="F837" t="str">
        <f>IF('LISTA DE PRECIOS'!$H851&gt;0,'LISTA DE PRECIOS'!F851,"")</f>
        <v/>
      </c>
      <c r="G837" s="31" t="str">
        <f>IF('LISTA DE PRECIOS'!$H851&gt;0,'LISTA DE PRECIOS'!G851,"")</f>
        <v/>
      </c>
      <c r="H837" s="67" t="str">
        <f>IF('LISTA DE PRECIOS'!$H851&gt;0,'LISTA DE PRECIOS'!H851,"")</f>
        <v/>
      </c>
      <c r="I837" s="31" t="str">
        <f t="shared" si="11"/>
        <v/>
      </c>
    </row>
    <row r="838" spans="1:9">
      <c r="A838" t="str">
        <f>IF('LISTA DE PRECIOS'!$H852&gt;0,'LISTA DE PRECIOS'!A852,"")</f>
        <v/>
      </c>
      <c r="B838" t="str">
        <f>IF('LISTA DE PRECIOS'!$H852&gt;0,'LISTA DE PRECIOS'!B852,"")</f>
        <v/>
      </c>
      <c r="C838" t="str">
        <f>IF('LISTA DE PRECIOS'!$H852&gt;0,'LISTA DE PRECIOS'!C852,"")</f>
        <v/>
      </c>
      <c r="D838" s="67" t="str">
        <f>IF('LISTA DE PRECIOS'!$H852&gt;0,'LISTA DE PRECIOS'!D852,"")</f>
        <v/>
      </c>
      <c r="E838" t="str">
        <f>IF('LISTA DE PRECIOS'!$H852&gt;0,'LISTA DE PRECIOS'!E852,"")</f>
        <v/>
      </c>
      <c r="F838" t="str">
        <f>IF('LISTA DE PRECIOS'!$H852&gt;0,'LISTA DE PRECIOS'!F852,"")</f>
        <v/>
      </c>
      <c r="G838" s="31" t="str">
        <f>IF('LISTA DE PRECIOS'!$H852&gt;0,'LISTA DE PRECIOS'!G852,"")</f>
        <v/>
      </c>
      <c r="H838" s="67" t="str">
        <f>IF('LISTA DE PRECIOS'!$H852&gt;0,'LISTA DE PRECIOS'!H852,"")</f>
        <v/>
      </c>
      <c r="I838" s="31" t="str">
        <f t="shared" si="11"/>
        <v/>
      </c>
    </row>
    <row r="839" spans="1:9">
      <c r="A839" t="str">
        <f>IF('LISTA DE PRECIOS'!$H853&gt;0,'LISTA DE PRECIOS'!A853,"")</f>
        <v/>
      </c>
      <c r="B839" t="str">
        <f>IF('LISTA DE PRECIOS'!$H853&gt;0,'LISTA DE PRECIOS'!B853,"")</f>
        <v/>
      </c>
      <c r="C839" t="str">
        <f>IF('LISTA DE PRECIOS'!$H853&gt;0,'LISTA DE PRECIOS'!C853,"")</f>
        <v/>
      </c>
      <c r="D839" s="67" t="str">
        <f>IF('LISTA DE PRECIOS'!$H853&gt;0,'LISTA DE PRECIOS'!D853,"")</f>
        <v/>
      </c>
      <c r="E839" t="str">
        <f>IF('LISTA DE PRECIOS'!$H853&gt;0,'LISTA DE PRECIOS'!E853,"")</f>
        <v/>
      </c>
      <c r="F839" t="str">
        <f>IF('LISTA DE PRECIOS'!$H853&gt;0,'LISTA DE PRECIOS'!F853,"")</f>
        <v/>
      </c>
      <c r="G839" s="31" t="str">
        <f>IF('LISTA DE PRECIOS'!$H853&gt;0,'LISTA DE PRECIOS'!G853,"")</f>
        <v/>
      </c>
      <c r="H839" s="67" t="str">
        <f>IF('LISTA DE PRECIOS'!$H853&gt;0,'LISTA DE PRECIOS'!H853,"")</f>
        <v/>
      </c>
      <c r="I839" s="31" t="str">
        <f t="shared" si="11"/>
        <v/>
      </c>
    </row>
    <row r="840" spans="1:9">
      <c r="A840" t="str">
        <f>IF('LISTA DE PRECIOS'!$H854&gt;0,'LISTA DE PRECIOS'!A854,"")</f>
        <v/>
      </c>
      <c r="B840" t="str">
        <f>IF('LISTA DE PRECIOS'!$H854&gt;0,'LISTA DE PRECIOS'!B854,"")</f>
        <v/>
      </c>
      <c r="C840" t="str">
        <f>IF('LISTA DE PRECIOS'!$H854&gt;0,'LISTA DE PRECIOS'!C854,"")</f>
        <v/>
      </c>
      <c r="D840" s="67" t="str">
        <f>IF('LISTA DE PRECIOS'!$H854&gt;0,'LISTA DE PRECIOS'!D854,"")</f>
        <v/>
      </c>
      <c r="E840" t="str">
        <f>IF('LISTA DE PRECIOS'!$H854&gt;0,'LISTA DE PRECIOS'!E854,"")</f>
        <v/>
      </c>
      <c r="F840" t="str">
        <f>IF('LISTA DE PRECIOS'!$H854&gt;0,'LISTA DE PRECIOS'!F854,"")</f>
        <v/>
      </c>
      <c r="G840" s="31" t="str">
        <f>IF('LISTA DE PRECIOS'!$H854&gt;0,'LISTA DE PRECIOS'!G854,"")</f>
        <v/>
      </c>
      <c r="H840" s="67" t="str">
        <f>IF('LISTA DE PRECIOS'!$H854&gt;0,'LISTA DE PRECIOS'!H854,"")</f>
        <v/>
      </c>
      <c r="I840" s="31" t="str">
        <f t="shared" si="11"/>
        <v/>
      </c>
    </row>
    <row r="841" spans="1:9">
      <c r="A841" t="str">
        <f>IF('LISTA DE PRECIOS'!$H855&gt;0,'LISTA DE PRECIOS'!A855,"")</f>
        <v/>
      </c>
      <c r="B841" t="str">
        <f>IF('LISTA DE PRECIOS'!$H855&gt;0,'LISTA DE PRECIOS'!B855,"")</f>
        <v/>
      </c>
      <c r="C841" t="str">
        <f>IF('LISTA DE PRECIOS'!$H855&gt;0,'LISTA DE PRECIOS'!C855,"")</f>
        <v/>
      </c>
      <c r="D841" s="67" t="str">
        <f>IF('LISTA DE PRECIOS'!$H855&gt;0,'LISTA DE PRECIOS'!D855,"")</f>
        <v/>
      </c>
      <c r="E841" t="str">
        <f>IF('LISTA DE PRECIOS'!$H855&gt;0,'LISTA DE PRECIOS'!E855,"")</f>
        <v/>
      </c>
      <c r="F841" t="str">
        <f>IF('LISTA DE PRECIOS'!$H855&gt;0,'LISTA DE PRECIOS'!F855,"")</f>
        <v/>
      </c>
      <c r="G841" s="31" t="str">
        <f>IF('LISTA DE PRECIOS'!$H855&gt;0,'LISTA DE PRECIOS'!G855,"")</f>
        <v/>
      </c>
      <c r="H841" s="67" t="str">
        <f>IF('LISTA DE PRECIOS'!$H855&gt;0,'LISTA DE PRECIOS'!H855,"")</f>
        <v/>
      </c>
      <c r="I841" s="31" t="str">
        <f t="shared" si="11"/>
        <v/>
      </c>
    </row>
    <row r="842" spans="1:9">
      <c r="A842" t="str">
        <f>IF('LISTA DE PRECIOS'!$H856&gt;0,'LISTA DE PRECIOS'!A856,"")</f>
        <v/>
      </c>
      <c r="B842" t="str">
        <f>IF('LISTA DE PRECIOS'!$H856&gt;0,'LISTA DE PRECIOS'!B856,"")</f>
        <v/>
      </c>
      <c r="C842" t="str">
        <f>IF('LISTA DE PRECIOS'!$H856&gt;0,'LISTA DE PRECIOS'!C856,"")</f>
        <v/>
      </c>
      <c r="D842" s="67" t="str">
        <f>IF('LISTA DE PRECIOS'!$H856&gt;0,'LISTA DE PRECIOS'!D856,"")</f>
        <v/>
      </c>
      <c r="E842" t="str">
        <f>IF('LISTA DE PRECIOS'!$H856&gt;0,'LISTA DE PRECIOS'!E856,"")</f>
        <v/>
      </c>
      <c r="F842" t="str">
        <f>IF('LISTA DE PRECIOS'!$H856&gt;0,'LISTA DE PRECIOS'!F856,"")</f>
        <v/>
      </c>
      <c r="G842" s="31" t="str">
        <f>IF('LISTA DE PRECIOS'!$H856&gt;0,'LISTA DE PRECIOS'!G856,"")</f>
        <v/>
      </c>
      <c r="H842" s="67" t="str">
        <f>IF('LISTA DE PRECIOS'!$H856&gt;0,'LISTA DE PRECIOS'!H856,"")</f>
        <v/>
      </c>
      <c r="I842" s="31" t="str">
        <f t="shared" si="11"/>
        <v/>
      </c>
    </row>
    <row r="843" spans="1:9">
      <c r="A843" t="str">
        <f>IF('LISTA DE PRECIOS'!$H857&gt;0,'LISTA DE PRECIOS'!A857,"")</f>
        <v/>
      </c>
      <c r="B843" t="str">
        <f>IF('LISTA DE PRECIOS'!$H857&gt;0,'LISTA DE PRECIOS'!B857,"")</f>
        <v/>
      </c>
      <c r="C843" t="str">
        <f>IF('LISTA DE PRECIOS'!$H857&gt;0,'LISTA DE PRECIOS'!C857,"")</f>
        <v/>
      </c>
      <c r="D843" s="67" t="str">
        <f>IF('LISTA DE PRECIOS'!$H857&gt;0,'LISTA DE PRECIOS'!D857,"")</f>
        <v/>
      </c>
      <c r="E843" t="str">
        <f>IF('LISTA DE PRECIOS'!$H857&gt;0,'LISTA DE PRECIOS'!E857,"")</f>
        <v/>
      </c>
      <c r="F843" t="str">
        <f>IF('LISTA DE PRECIOS'!$H857&gt;0,'LISTA DE PRECIOS'!F857,"")</f>
        <v/>
      </c>
      <c r="G843" s="31" t="str">
        <f>IF('LISTA DE PRECIOS'!$H857&gt;0,'LISTA DE PRECIOS'!G857,"")</f>
        <v/>
      </c>
      <c r="H843" s="67" t="str">
        <f>IF('LISTA DE PRECIOS'!$H857&gt;0,'LISTA DE PRECIOS'!H857,"")</f>
        <v/>
      </c>
      <c r="I843" s="31" t="str">
        <f t="shared" si="11"/>
        <v/>
      </c>
    </row>
    <row r="844" spans="1:9">
      <c r="A844" t="str">
        <f>IF('LISTA DE PRECIOS'!$H858&gt;0,'LISTA DE PRECIOS'!A858,"")</f>
        <v/>
      </c>
      <c r="B844" t="str">
        <f>IF('LISTA DE PRECIOS'!$H858&gt;0,'LISTA DE PRECIOS'!B858,"")</f>
        <v/>
      </c>
      <c r="C844" t="str">
        <f>IF('LISTA DE PRECIOS'!$H858&gt;0,'LISTA DE PRECIOS'!C858,"")</f>
        <v/>
      </c>
      <c r="D844" s="67" t="str">
        <f>IF('LISTA DE PRECIOS'!$H858&gt;0,'LISTA DE PRECIOS'!D858,"")</f>
        <v/>
      </c>
      <c r="E844" t="str">
        <f>IF('LISTA DE PRECIOS'!$H858&gt;0,'LISTA DE PRECIOS'!E858,"")</f>
        <v/>
      </c>
      <c r="F844" t="str">
        <f>IF('LISTA DE PRECIOS'!$H858&gt;0,'LISTA DE PRECIOS'!F858,"")</f>
        <v/>
      </c>
      <c r="G844" s="31" t="str">
        <f>IF('LISTA DE PRECIOS'!$H858&gt;0,'LISTA DE PRECIOS'!G858,"")</f>
        <v/>
      </c>
      <c r="H844" s="67" t="str">
        <f>IF('LISTA DE PRECIOS'!$H858&gt;0,'LISTA DE PRECIOS'!H858,"")</f>
        <v/>
      </c>
      <c r="I844" s="31" t="str">
        <f t="shared" si="11"/>
        <v/>
      </c>
    </row>
    <row r="845" spans="1:9">
      <c r="A845" t="str">
        <f>IF('LISTA DE PRECIOS'!$H859&gt;0,'LISTA DE PRECIOS'!A859,"")</f>
        <v/>
      </c>
      <c r="B845" t="str">
        <f>IF('LISTA DE PRECIOS'!$H859&gt;0,'LISTA DE PRECIOS'!B859,"")</f>
        <v/>
      </c>
      <c r="C845" t="str">
        <f>IF('LISTA DE PRECIOS'!$H859&gt;0,'LISTA DE PRECIOS'!C859,"")</f>
        <v/>
      </c>
      <c r="D845" s="67" t="str">
        <f>IF('LISTA DE PRECIOS'!$H859&gt;0,'LISTA DE PRECIOS'!D859,"")</f>
        <v/>
      </c>
      <c r="E845" t="str">
        <f>IF('LISTA DE PRECIOS'!$H859&gt;0,'LISTA DE PRECIOS'!E859,"")</f>
        <v/>
      </c>
      <c r="F845" t="str">
        <f>IF('LISTA DE PRECIOS'!$H859&gt;0,'LISTA DE PRECIOS'!F859,"")</f>
        <v/>
      </c>
      <c r="G845" s="31" t="str">
        <f>IF('LISTA DE PRECIOS'!$H859&gt;0,'LISTA DE PRECIOS'!G859,"")</f>
        <v/>
      </c>
      <c r="H845" s="67" t="str">
        <f>IF('LISTA DE PRECIOS'!$H859&gt;0,'LISTA DE PRECIOS'!H859,"")</f>
        <v/>
      </c>
      <c r="I845" s="31" t="str">
        <f t="shared" si="11"/>
        <v/>
      </c>
    </row>
    <row r="846" spans="1:9">
      <c r="A846" t="str">
        <f>IF('LISTA DE PRECIOS'!$H860&gt;0,'LISTA DE PRECIOS'!A860,"")</f>
        <v/>
      </c>
      <c r="B846" t="str">
        <f>IF('LISTA DE PRECIOS'!$H860&gt;0,'LISTA DE PRECIOS'!B860,"")</f>
        <v/>
      </c>
      <c r="C846" t="str">
        <f>IF('LISTA DE PRECIOS'!$H860&gt;0,'LISTA DE PRECIOS'!C860,"")</f>
        <v/>
      </c>
      <c r="D846" s="67" t="str">
        <f>IF('LISTA DE PRECIOS'!$H860&gt;0,'LISTA DE PRECIOS'!D860,"")</f>
        <v/>
      </c>
      <c r="E846" t="str">
        <f>IF('LISTA DE PRECIOS'!$H860&gt;0,'LISTA DE PRECIOS'!E860,"")</f>
        <v/>
      </c>
      <c r="F846" t="str">
        <f>IF('LISTA DE PRECIOS'!$H860&gt;0,'LISTA DE PRECIOS'!F860,"")</f>
        <v/>
      </c>
      <c r="G846" s="31" t="str">
        <f>IF('LISTA DE PRECIOS'!$H860&gt;0,'LISTA DE PRECIOS'!G860,"")</f>
        <v/>
      </c>
      <c r="H846" s="67" t="str">
        <f>IF('LISTA DE PRECIOS'!$H860&gt;0,'LISTA DE PRECIOS'!H860,"")</f>
        <v/>
      </c>
      <c r="I846" s="31" t="str">
        <f t="shared" si="11"/>
        <v/>
      </c>
    </row>
    <row r="847" spans="1:9">
      <c r="A847" t="str">
        <f>IF('LISTA DE PRECIOS'!$H861&gt;0,'LISTA DE PRECIOS'!A861,"")</f>
        <v/>
      </c>
      <c r="B847" t="str">
        <f>IF('LISTA DE PRECIOS'!$H861&gt;0,'LISTA DE PRECIOS'!B861,"")</f>
        <v/>
      </c>
      <c r="C847" t="str">
        <f>IF('LISTA DE PRECIOS'!$H861&gt;0,'LISTA DE PRECIOS'!C861,"")</f>
        <v/>
      </c>
      <c r="D847" s="67" t="str">
        <f>IF('LISTA DE PRECIOS'!$H861&gt;0,'LISTA DE PRECIOS'!D861,"")</f>
        <v/>
      </c>
      <c r="E847" t="str">
        <f>IF('LISTA DE PRECIOS'!$H861&gt;0,'LISTA DE PRECIOS'!E861,"")</f>
        <v/>
      </c>
      <c r="F847" t="str">
        <f>IF('LISTA DE PRECIOS'!$H861&gt;0,'LISTA DE PRECIOS'!F861,"")</f>
        <v/>
      </c>
      <c r="G847" s="31" t="str">
        <f>IF('LISTA DE PRECIOS'!$H861&gt;0,'LISTA DE PRECIOS'!G861,"")</f>
        <v/>
      </c>
      <c r="H847" s="67" t="str">
        <f>IF('LISTA DE PRECIOS'!$H861&gt;0,'LISTA DE PRECIOS'!H861,"")</f>
        <v/>
      </c>
      <c r="I847" s="31" t="str">
        <f t="shared" si="11"/>
        <v/>
      </c>
    </row>
    <row r="848" spans="1:9">
      <c r="A848" t="str">
        <f>IF('LISTA DE PRECIOS'!$H862&gt;0,'LISTA DE PRECIOS'!A862,"")</f>
        <v/>
      </c>
      <c r="B848" t="str">
        <f>IF('LISTA DE PRECIOS'!$H862&gt;0,'LISTA DE PRECIOS'!B862,"")</f>
        <v/>
      </c>
      <c r="C848" t="str">
        <f>IF('LISTA DE PRECIOS'!$H862&gt;0,'LISTA DE PRECIOS'!C862,"")</f>
        <v/>
      </c>
      <c r="D848" s="67" t="str">
        <f>IF('LISTA DE PRECIOS'!$H862&gt;0,'LISTA DE PRECIOS'!D862,"")</f>
        <v/>
      </c>
      <c r="E848" t="str">
        <f>IF('LISTA DE PRECIOS'!$H862&gt;0,'LISTA DE PRECIOS'!E862,"")</f>
        <v/>
      </c>
      <c r="F848" t="str">
        <f>IF('LISTA DE PRECIOS'!$H862&gt;0,'LISTA DE PRECIOS'!F862,"")</f>
        <v/>
      </c>
      <c r="G848" s="31" t="str">
        <f>IF('LISTA DE PRECIOS'!$H862&gt;0,'LISTA DE PRECIOS'!G862,"")</f>
        <v/>
      </c>
      <c r="H848" s="67" t="str">
        <f>IF('LISTA DE PRECIOS'!$H862&gt;0,'LISTA DE PRECIOS'!H862,"")</f>
        <v/>
      </c>
      <c r="I848" s="31" t="str">
        <f t="shared" si="11"/>
        <v/>
      </c>
    </row>
    <row r="849" spans="1:9">
      <c r="A849" t="str">
        <f>IF('LISTA DE PRECIOS'!$H863&gt;0,'LISTA DE PRECIOS'!A863,"")</f>
        <v/>
      </c>
      <c r="B849" t="str">
        <f>IF('LISTA DE PRECIOS'!$H863&gt;0,'LISTA DE PRECIOS'!B863,"")</f>
        <v/>
      </c>
      <c r="C849" t="str">
        <f>IF('LISTA DE PRECIOS'!$H863&gt;0,'LISTA DE PRECIOS'!C863,"")</f>
        <v/>
      </c>
      <c r="D849" s="67" t="str">
        <f>IF('LISTA DE PRECIOS'!$H863&gt;0,'LISTA DE PRECIOS'!D863,"")</f>
        <v/>
      </c>
      <c r="E849" t="str">
        <f>IF('LISTA DE PRECIOS'!$H863&gt;0,'LISTA DE PRECIOS'!E863,"")</f>
        <v/>
      </c>
      <c r="F849" t="str">
        <f>IF('LISTA DE PRECIOS'!$H863&gt;0,'LISTA DE PRECIOS'!F863,"")</f>
        <v/>
      </c>
      <c r="G849" s="31" t="str">
        <f>IF('LISTA DE PRECIOS'!$H863&gt;0,'LISTA DE PRECIOS'!G863,"")</f>
        <v/>
      </c>
      <c r="H849" s="67" t="str">
        <f>IF('LISTA DE PRECIOS'!$H863&gt;0,'LISTA DE PRECIOS'!H863,"")</f>
        <v/>
      </c>
      <c r="I849" s="31" t="str">
        <f t="shared" ref="I849:I912" si="12">IF(OR(G849="",H849=""),"",G849*H849)</f>
        <v/>
      </c>
    </row>
    <row r="850" spans="1:9">
      <c r="A850" t="str">
        <f>IF('LISTA DE PRECIOS'!$H864&gt;0,'LISTA DE PRECIOS'!A864,"")</f>
        <v/>
      </c>
      <c r="B850" t="str">
        <f>IF('LISTA DE PRECIOS'!$H864&gt;0,'LISTA DE PRECIOS'!B864,"")</f>
        <v/>
      </c>
      <c r="C850" t="str">
        <f>IF('LISTA DE PRECIOS'!$H864&gt;0,'LISTA DE PRECIOS'!C864,"")</f>
        <v/>
      </c>
      <c r="D850" s="67" t="str">
        <f>IF('LISTA DE PRECIOS'!$H864&gt;0,'LISTA DE PRECIOS'!D864,"")</f>
        <v/>
      </c>
      <c r="E850" t="str">
        <f>IF('LISTA DE PRECIOS'!$H864&gt;0,'LISTA DE PRECIOS'!E864,"")</f>
        <v/>
      </c>
      <c r="F850" t="str">
        <f>IF('LISTA DE PRECIOS'!$H864&gt;0,'LISTA DE PRECIOS'!F864,"")</f>
        <v/>
      </c>
      <c r="G850" s="31" t="str">
        <f>IF('LISTA DE PRECIOS'!$H864&gt;0,'LISTA DE PRECIOS'!G864,"")</f>
        <v/>
      </c>
      <c r="H850" s="67" t="str">
        <f>IF('LISTA DE PRECIOS'!$H864&gt;0,'LISTA DE PRECIOS'!H864,"")</f>
        <v/>
      </c>
      <c r="I850" s="31" t="str">
        <f t="shared" si="12"/>
        <v/>
      </c>
    </row>
    <row r="851" spans="1:9">
      <c r="A851" t="str">
        <f>IF('LISTA DE PRECIOS'!$H865&gt;0,'LISTA DE PRECIOS'!A865,"")</f>
        <v/>
      </c>
      <c r="B851" t="str">
        <f>IF('LISTA DE PRECIOS'!$H865&gt;0,'LISTA DE PRECIOS'!B865,"")</f>
        <v/>
      </c>
      <c r="C851" t="str">
        <f>IF('LISTA DE PRECIOS'!$H865&gt;0,'LISTA DE PRECIOS'!C865,"")</f>
        <v/>
      </c>
      <c r="D851" s="67" t="str">
        <f>IF('LISTA DE PRECIOS'!$H865&gt;0,'LISTA DE PRECIOS'!D865,"")</f>
        <v/>
      </c>
      <c r="E851" t="str">
        <f>IF('LISTA DE PRECIOS'!$H865&gt;0,'LISTA DE PRECIOS'!E865,"")</f>
        <v/>
      </c>
      <c r="F851" t="str">
        <f>IF('LISTA DE PRECIOS'!$H865&gt;0,'LISTA DE PRECIOS'!F865,"")</f>
        <v/>
      </c>
      <c r="G851" s="31" t="str">
        <f>IF('LISTA DE PRECIOS'!$H865&gt;0,'LISTA DE PRECIOS'!G865,"")</f>
        <v/>
      </c>
      <c r="H851" s="67" t="str">
        <f>IF('LISTA DE PRECIOS'!$H865&gt;0,'LISTA DE PRECIOS'!H865,"")</f>
        <v/>
      </c>
      <c r="I851" s="31" t="str">
        <f t="shared" si="12"/>
        <v/>
      </c>
    </row>
    <row r="852" spans="1:9">
      <c r="A852" t="str">
        <f>IF('LISTA DE PRECIOS'!$H866&gt;0,'LISTA DE PRECIOS'!A866,"")</f>
        <v/>
      </c>
      <c r="B852" t="str">
        <f>IF('LISTA DE PRECIOS'!$H866&gt;0,'LISTA DE PRECIOS'!B866,"")</f>
        <v/>
      </c>
      <c r="C852" t="str">
        <f>IF('LISTA DE PRECIOS'!$H866&gt;0,'LISTA DE PRECIOS'!C866,"")</f>
        <v/>
      </c>
      <c r="D852" s="67" t="str">
        <f>IF('LISTA DE PRECIOS'!$H866&gt;0,'LISTA DE PRECIOS'!D866,"")</f>
        <v/>
      </c>
      <c r="E852" t="str">
        <f>IF('LISTA DE PRECIOS'!$H866&gt;0,'LISTA DE PRECIOS'!E866,"")</f>
        <v/>
      </c>
      <c r="F852" t="str">
        <f>IF('LISTA DE PRECIOS'!$H866&gt;0,'LISTA DE PRECIOS'!F866,"")</f>
        <v/>
      </c>
      <c r="G852" s="31" t="str">
        <f>IF('LISTA DE PRECIOS'!$H866&gt;0,'LISTA DE PRECIOS'!G866,"")</f>
        <v/>
      </c>
      <c r="H852" s="67" t="str">
        <f>IF('LISTA DE PRECIOS'!$H866&gt;0,'LISTA DE PRECIOS'!H866,"")</f>
        <v/>
      </c>
      <c r="I852" s="31" t="str">
        <f t="shared" si="12"/>
        <v/>
      </c>
    </row>
    <row r="853" spans="1:9">
      <c r="A853" t="str">
        <f>IF('LISTA DE PRECIOS'!$H867&gt;0,'LISTA DE PRECIOS'!A867,"")</f>
        <v/>
      </c>
      <c r="B853" t="str">
        <f>IF('LISTA DE PRECIOS'!$H867&gt;0,'LISTA DE PRECIOS'!B867,"")</f>
        <v/>
      </c>
      <c r="C853" t="str">
        <f>IF('LISTA DE PRECIOS'!$H867&gt;0,'LISTA DE PRECIOS'!C867,"")</f>
        <v/>
      </c>
      <c r="D853" s="67" t="str">
        <f>IF('LISTA DE PRECIOS'!$H867&gt;0,'LISTA DE PRECIOS'!D867,"")</f>
        <v/>
      </c>
      <c r="E853" t="str">
        <f>IF('LISTA DE PRECIOS'!$H867&gt;0,'LISTA DE PRECIOS'!E867,"")</f>
        <v/>
      </c>
      <c r="F853" t="str">
        <f>IF('LISTA DE PRECIOS'!$H867&gt;0,'LISTA DE PRECIOS'!F867,"")</f>
        <v/>
      </c>
      <c r="G853" s="31" t="str">
        <f>IF('LISTA DE PRECIOS'!$H867&gt;0,'LISTA DE PRECIOS'!G867,"")</f>
        <v/>
      </c>
      <c r="H853" s="67" t="str">
        <f>IF('LISTA DE PRECIOS'!$H867&gt;0,'LISTA DE PRECIOS'!H867,"")</f>
        <v/>
      </c>
      <c r="I853" s="31" t="str">
        <f t="shared" si="12"/>
        <v/>
      </c>
    </row>
    <row r="854" spans="1:9">
      <c r="A854" t="str">
        <f>IF('LISTA DE PRECIOS'!$H868&gt;0,'LISTA DE PRECIOS'!A868,"")</f>
        <v/>
      </c>
      <c r="B854" t="str">
        <f>IF('LISTA DE PRECIOS'!$H868&gt;0,'LISTA DE PRECIOS'!B868,"")</f>
        <v/>
      </c>
      <c r="C854" t="str">
        <f>IF('LISTA DE PRECIOS'!$H868&gt;0,'LISTA DE PRECIOS'!C868,"")</f>
        <v/>
      </c>
      <c r="D854" s="67" t="str">
        <f>IF('LISTA DE PRECIOS'!$H868&gt;0,'LISTA DE PRECIOS'!D868,"")</f>
        <v/>
      </c>
      <c r="E854" t="str">
        <f>IF('LISTA DE PRECIOS'!$H868&gt;0,'LISTA DE PRECIOS'!E868,"")</f>
        <v/>
      </c>
      <c r="F854" t="str">
        <f>IF('LISTA DE PRECIOS'!$H868&gt;0,'LISTA DE PRECIOS'!F868,"")</f>
        <v/>
      </c>
      <c r="G854" s="31" t="str">
        <f>IF('LISTA DE PRECIOS'!$H868&gt;0,'LISTA DE PRECIOS'!G868,"")</f>
        <v/>
      </c>
      <c r="H854" s="67" t="str">
        <f>IF('LISTA DE PRECIOS'!$H868&gt;0,'LISTA DE PRECIOS'!H868,"")</f>
        <v/>
      </c>
      <c r="I854" s="31" t="str">
        <f t="shared" si="12"/>
        <v/>
      </c>
    </row>
    <row r="855" spans="1:9">
      <c r="A855" t="str">
        <f>IF('LISTA DE PRECIOS'!$H869&gt;0,'LISTA DE PRECIOS'!A869,"")</f>
        <v/>
      </c>
      <c r="B855" t="str">
        <f>IF('LISTA DE PRECIOS'!$H869&gt;0,'LISTA DE PRECIOS'!B869,"")</f>
        <v/>
      </c>
      <c r="C855" t="str">
        <f>IF('LISTA DE PRECIOS'!$H869&gt;0,'LISTA DE PRECIOS'!C869,"")</f>
        <v/>
      </c>
      <c r="D855" s="67" t="str">
        <f>IF('LISTA DE PRECIOS'!$H869&gt;0,'LISTA DE PRECIOS'!D869,"")</f>
        <v/>
      </c>
      <c r="E855" t="str">
        <f>IF('LISTA DE PRECIOS'!$H869&gt;0,'LISTA DE PRECIOS'!E869,"")</f>
        <v/>
      </c>
      <c r="F855" t="str">
        <f>IF('LISTA DE PRECIOS'!$H869&gt;0,'LISTA DE PRECIOS'!F869,"")</f>
        <v/>
      </c>
      <c r="G855" s="31" t="str">
        <f>IF('LISTA DE PRECIOS'!$H869&gt;0,'LISTA DE PRECIOS'!G869,"")</f>
        <v/>
      </c>
      <c r="H855" s="67" t="str">
        <f>IF('LISTA DE PRECIOS'!$H869&gt;0,'LISTA DE PRECIOS'!H869,"")</f>
        <v/>
      </c>
      <c r="I855" s="31" t="str">
        <f t="shared" si="12"/>
        <v/>
      </c>
    </row>
    <row r="856" spans="1:9">
      <c r="A856" t="str">
        <f>IF('LISTA DE PRECIOS'!$H870&gt;0,'LISTA DE PRECIOS'!A870,"")</f>
        <v/>
      </c>
      <c r="B856" t="str">
        <f>IF('LISTA DE PRECIOS'!$H870&gt;0,'LISTA DE PRECIOS'!B870,"")</f>
        <v/>
      </c>
      <c r="C856" t="str">
        <f>IF('LISTA DE PRECIOS'!$H870&gt;0,'LISTA DE PRECIOS'!C870,"")</f>
        <v/>
      </c>
      <c r="D856" s="67" t="str">
        <f>IF('LISTA DE PRECIOS'!$H870&gt;0,'LISTA DE PRECIOS'!D870,"")</f>
        <v/>
      </c>
      <c r="E856" t="str">
        <f>IF('LISTA DE PRECIOS'!$H870&gt;0,'LISTA DE PRECIOS'!E870,"")</f>
        <v/>
      </c>
      <c r="F856" t="str">
        <f>IF('LISTA DE PRECIOS'!$H870&gt;0,'LISTA DE PRECIOS'!F870,"")</f>
        <v/>
      </c>
      <c r="G856" s="31" t="str">
        <f>IF('LISTA DE PRECIOS'!$H870&gt;0,'LISTA DE PRECIOS'!G870,"")</f>
        <v/>
      </c>
      <c r="H856" s="67" t="str">
        <f>IF('LISTA DE PRECIOS'!$H870&gt;0,'LISTA DE PRECIOS'!H870,"")</f>
        <v/>
      </c>
      <c r="I856" s="31" t="str">
        <f t="shared" si="12"/>
        <v/>
      </c>
    </row>
    <row r="857" spans="1:9">
      <c r="A857" t="str">
        <f>IF('LISTA DE PRECIOS'!$H871&gt;0,'LISTA DE PRECIOS'!A871,"")</f>
        <v/>
      </c>
      <c r="B857" t="str">
        <f>IF('LISTA DE PRECIOS'!$H871&gt;0,'LISTA DE PRECIOS'!B871,"")</f>
        <v/>
      </c>
      <c r="C857" t="str">
        <f>IF('LISTA DE PRECIOS'!$H871&gt;0,'LISTA DE PRECIOS'!C871,"")</f>
        <v/>
      </c>
      <c r="D857" s="67" t="str">
        <f>IF('LISTA DE PRECIOS'!$H871&gt;0,'LISTA DE PRECIOS'!D871,"")</f>
        <v/>
      </c>
      <c r="E857" t="str">
        <f>IF('LISTA DE PRECIOS'!$H871&gt;0,'LISTA DE PRECIOS'!E871,"")</f>
        <v/>
      </c>
      <c r="F857" t="str">
        <f>IF('LISTA DE PRECIOS'!$H871&gt;0,'LISTA DE PRECIOS'!F871,"")</f>
        <v/>
      </c>
      <c r="G857" s="31" t="str">
        <f>IF('LISTA DE PRECIOS'!$H871&gt;0,'LISTA DE PRECIOS'!G871,"")</f>
        <v/>
      </c>
      <c r="H857" s="67" t="str">
        <f>IF('LISTA DE PRECIOS'!$H871&gt;0,'LISTA DE PRECIOS'!H871,"")</f>
        <v/>
      </c>
      <c r="I857" s="31" t="str">
        <f t="shared" si="12"/>
        <v/>
      </c>
    </row>
    <row r="858" spans="1:9">
      <c r="A858" t="str">
        <f>IF('LISTA DE PRECIOS'!$H872&gt;0,'LISTA DE PRECIOS'!A872,"")</f>
        <v/>
      </c>
      <c r="B858" t="str">
        <f>IF('LISTA DE PRECIOS'!$H872&gt;0,'LISTA DE PRECIOS'!B872,"")</f>
        <v/>
      </c>
      <c r="C858" t="str">
        <f>IF('LISTA DE PRECIOS'!$H872&gt;0,'LISTA DE PRECIOS'!C872,"")</f>
        <v/>
      </c>
      <c r="D858" s="67" t="str">
        <f>IF('LISTA DE PRECIOS'!$H872&gt;0,'LISTA DE PRECIOS'!D872,"")</f>
        <v/>
      </c>
      <c r="E858" t="str">
        <f>IF('LISTA DE PRECIOS'!$H872&gt;0,'LISTA DE PRECIOS'!E872,"")</f>
        <v/>
      </c>
      <c r="F858" t="str">
        <f>IF('LISTA DE PRECIOS'!$H872&gt;0,'LISTA DE PRECIOS'!F872,"")</f>
        <v/>
      </c>
      <c r="G858" s="31" t="str">
        <f>IF('LISTA DE PRECIOS'!$H872&gt;0,'LISTA DE PRECIOS'!G872,"")</f>
        <v/>
      </c>
      <c r="H858" s="67" t="str">
        <f>IF('LISTA DE PRECIOS'!$H872&gt;0,'LISTA DE PRECIOS'!H872,"")</f>
        <v/>
      </c>
      <c r="I858" s="31" t="str">
        <f t="shared" si="12"/>
        <v/>
      </c>
    </row>
    <row r="859" spans="1:9">
      <c r="A859" t="str">
        <f>IF('LISTA DE PRECIOS'!$H873&gt;0,'LISTA DE PRECIOS'!A873,"")</f>
        <v/>
      </c>
      <c r="B859" t="str">
        <f>IF('LISTA DE PRECIOS'!$H873&gt;0,'LISTA DE PRECIOS'!B873,"")</f>
        <v/>
      </c>
      <c r="C859" t="str">
        <f>IF('LISTA DE PRECIOS'!$H873&gt;0,'LISTA DE PRECIOS'!C873,"")</f>
        <v/>
      </c>
      <c r="D859" s="67" t="str">
        <f>IF('LISTA DE PRECIOS'!$H873&gt;0,'LISTA DE PRECIOS'!D873,"")</f>
        <v/>
      </c>
      <c r="E859" t="str">
        <f>IF('LISTA DE PRECIOS'!$H873&gt;0,'LISTA DE PRECIOS'!E873,"")</f>
        <v/>
      </c>
      <c r="F859" t="str">
        <f>IF('LISTA DE PRECIOS'!$H873&gt;0,'LISTA DE PRECIOS'!F873,"")</f>
        <v/>
      </c>
      <c r="G859" s="31" t="str">
        <f>IF('LISTA DE PRECIOS'!$H873&gt;0,'LISTA DE PRECIOS'!G873,"")</f>
        <v/>
      </c>
      <c r="H859" s="67" t="str">
        <f>IF('LISTA DE PRECIOS'!$H873&gt;0,'LISTA DE PRECIOS'!H873,"")</f>
        <v/>
      </c>
      <c r="I859" s="31" t="str">
        <f t="shared" si="12"/>
        <v/>
      </c>
    </row>
    <row r="860" spans="1:9">
      <c r="A860" t="str">
        <f>IF('LISTA DE PRECIOS'!$H874&gt;0,'LISTA DE PRECIOS'!A874,"")</f>
        <v/>
      </c>
      <c r="B860" t="str">
        <f>IF('LISTA DE PRECIOS'!$H874&gt;0,'LISTA DE PRECIOS'!B874,"")</f>
        <v/>
      </c>
      <c r="C860" t="str">
        <f>IF('LISTA DE PRECIOS'!$H874&gt;0,'LISTA DE PRECIOS'!C874,"")</f>
        <v/>
      </c>
      <c r="D860" s="67" t="str">
        <f>IF('LISTA DE PRECIOS'!$H874&gt;0,'LISTA DE PRECIOS'!D874,"")</f>
        <v/>
      </c>
      <c r="E860" t="str">
        <f>IF('LISTA DE PRECIOS'!$H874&gt;0,'LISTA DE PRECIOS'!E874,"")</f>
        <v/>
      </c>
      <c r="F860" t="str">
        <f>IF('LISTA DE PRECIOS'!$H874&gt;0,'LISTA DE PRECIOS'!F874,"")</f>
        <v/>
      </c>
      <c r="G860" s="31" t="str">
        <f>IF('LISTA DE PRECIOS'!$H874&gt;0,'LISTA DE PRECIOS'!G874,"")</f>
        <v/>
      </c>
      <c r="H860" s="67" t="str">
        <f>IF('LISTA DE PRECIOS'!$H874&gt;0,'LISTA DE PRECIOS'!H874,"")</f>
        <v/>
      </c>
      <c r="I860" s="31" t="str">
        <f t="shared" si="12"/>
        <v/>
      </c>
    </row>
    <row r="861" spans="1:9">
      <c r="A861" t="str">
        <f>IF('LISTA DE PRECIOS'!$H875&gt;0,'LISTA DE PRECIOS'!A875,"")</f>
        <v/>
      </c>
      <c r="B861" t="str">
        <f>IF('LISTA DE PRECIOS'!$H875&gt;0,'LISTA DE PRECIOS'!B875,"")</f>
        <v/>
      </c>
      <c r="C861" t="str">
        <f>IF('LISTA DE PRECIOS'!$H875&gt;0,'LISTA DE PRECIOS'!C875,"")</f>
        <v/>
      </c>
      <c r="D861" s="67" t="str">
        <f>IF('LISTA DE PRECIOS'!$H875&gt;0,'LISTA DE PRECIOS'!D875,"")</f>
        <v/>
      </c>
      <c r="E861" t="str">
        <f>IF('LISTA DE PRECIOS'!$H875&gt;0,'LISTA DE PRECIOS'!E875,"")</f>
        <v/>
      </c>
      <c r="F861" t="str">
        <f>IF('LISTA DE PRECIOS'!$H875&gt;0,'LISTA DE PRECIOS'!F875,"")</f>
        <v/>
      </c>
      <c r="G861" s="31" t="str">
        <f>IF('LISTA DE PRECIOS'!$H875&gt;0,'LISTA DE PRECIOS'!G875,"")</f>
        <v/>
      </c>
      <c r="H861" s="67" t="str">
        <f>IF('LISTA DE PRECIOS'!$H875&gt;0,'LISTA DE PRECIOS'!H875,"")</f>
        <v/>
      </c>
      <c r="I861" s="31" t="str">
        <f t="shared" si="12"/>
        <v/>
      </c>
    </row>
    <row r="862" spans="1:9">
      <c r="A862" t="str">
        <f>IF('LISTA DE PRECIOS'!$H876&gt;0,'LISTA DE PRECIOS'!A876,"")</f>
        <v/>
      </c>
      <c r="B862" t="str">
        <f>IF('LISTA DE PRECIOS'!$H876&gt;0,'LISTA DE PRECIOS'!B876,"")</f>
        <v/>
      </c>
      <c r="C862" t="str">
        <f>IF('LISTA DE PRECIOS'!$H876&gt;0,'LISTA DE PRECIOS'!C876,"")</f>
        <v/>
      </c>
      <c r="D862" s="67" t="str">
        <f>IF('LISTA DE PRECIOS'!$H876&gt;0,'LISTA DE PRECIOS'!D876,"")</f>
        <v/>
      </c>
      <c r="E862" t="str">
        <f>IF('LISTA DE PRECIOS'!$H876&gt;0,'LISTA DE PRECIOS'!E876,"")</f>
        <v/>
      </c>
      <c r="F862" t="str">
        <f>IF('LISTA DE PRECIOS'!$H876&gt;0,'LISTA DE PRECIOS'!F876,"")</f>
        <v/>
      </c>
      <c r="G862" s="31" t="str">
        <f>IF('LISTA DE PRECIOS'!$H876&gt;0,'LISTA DE PRECIOS'!G876,"")</f>
        <v/>
      </c>
      <c r="H862" s="67" t="str">
        <f>IF('LISTA DE PRECIOS'!$H876&gt;0,'LISTA DE PRECIOS'!H876,"")</f>
        <v/>
      </c>
      <c r="I862" s="31" t="str">
        <f t="shared" si="12"/>
        <v/>
      </c>
    </row>
    <row r="863" spans="1:9">
      <c r="A863" t="str">
        <f>IF('LISTA DE PRECIOS'!$H877&gt;0,'LISTA DE PRECIOS'!A877,"")</f>
        <v/>
      </c>
      <c r="B863" t="str">
        <f>IF('LISTA DE PRECIOS'!$H877&gt;0,'LISTA DE PRECIOS'!B877,"")</f>
        <v/>
      </c>
      <c r="C863" t="str">
        <f>IF('LISTA DE PRECIOS'!$H877&gt;0,'LISTA DE PRECIOS'!C877,"")</f>
        <v/>
      </c>
      <c r="D863" s="67" t="str">
        <f>IF('LISTA DE PRECIOS'!$H877&gt;0,'LISTA DE PRECIOS'!D877,"")</f>
        <v/>
      </c>
      <c r="E863" t="str">
        <f>IF('LISTA DE PRECIOS'!$H877&gt;0,'LISTA DE PRECIOS'!E877,"")</f>
        <v/>
      </c>
      <c r="F863" t="str">
        <f>IF('LISTA DE PRECIOS'!$H877&gt;0,'LISTA DE PRECIOS'!F877,"")</f>
        <v/>
      </c>
      <c r="G863" s="31" t="str">
        <f>IF('LISTA DE PRECIOS'!$H877&gt;0,'LISTA DE PRECIOS'!G877,"")</f>
        <v/>
      </c>
      <c r="H863" s="67" t="str">
        <f>IF('LISTA DE PRECIOS'!$H877&gt;0,'LISTA DE PRECIOS'!H877,"")</f>
        <v/>
      </c>
      <c r="I863" s="31" t="str">
        <f t="shared" si="12"/>
        <v/>
      </c>
    </row>
    <row r="864" spans="1:9">
      <c r="A864" t="str">
        <f>IF('LISTA DE PRECIOS'!$H878&gt;0,'LISTA DE PRECIOS'!A878,"")</f>
        <v/>
      </c>
      <c r="B864" t="str">
        <f>IF('LISTA DE PRECIOS'!$H878&gt;0,'LISTA DE PRECIOS'!B878,"")</f>
        <v/>
      </c>
      <c r="C864" t="str">
        <f>IF('LISTA DE PRECIOS'!$H878&gt;0,'LISTA DE PRECIOS'!C878,"")</f>
        <v/>
      </c>
      <c r="D864" s="67" t="str">
        <f>IF('LISTA DE PRECIOS'!$H878&gt;0,'LISTA DE PRECIOS'!D878,"")</f>
        <v/>
      </c>
      <c r="E864" t="str">
        <f>IF('LISTA DE PRECIOS'!$H878&gt;0,'LISTA DE PRECIOS'!E878,"")</f>
        <v/>
      </c>
      <c r="F864" t="str">
        <f>IF('LISTA DE PRECIOS'!$H878&gt;0,'LISTA DE PRECIOS'!F878,"")</f>
        <v/>
      </c>
      <c r="G864" s="31" t="str">
        <f>IF('LISTA DE PRECIOS'!$H878&gt;0,'LISTA DE PRECIOS'!G878,"")</f>
        <v/>
      </c>
      <c r="H864" s="67" t="str">
        <f>IF('LISTA DE PRECIOS'!$H878&gt;0,'LISTA DE PRECIOS'!H878,"")</f>
        <v/>
      </c>
      <c r="I864" s="31" t="str">
        <f t="shared" si="12"/>
        <v/>
      </c>
    </row>
    <row r="865" spans="1:9">
      <c r="A865" t="str">
        <f>IF('LISTA DE PRECIOS'!$H879&gt;0,'LISTA DE PRECIOS'!A879,"")</f>
        <v/>
      </c>
      <c r="B865" t="str">
        <f>IF('LISTA DE PRECIOS'!$H879&gt;0,'LISTA DE PRECIOS'!B879,"")</f>
        <v/>
      </c>
      <c r="C865" t="str">
        <f>IF('LISTA DE PRECIOS'!$H879&gt;0,'LISTA DE PRECIOS'!C879,"")</f>
        <v/>
      </c>
      <c r="D865" s="67" t="str">
        <f>IF('LISTA DE PRECIOS'!$H879&gt;0,'LISTA DE PRECIOS'!D879,"")</f>
        <v/>
      </c>
      <c r="E865" t="str">
        <f>IF('LISTA DE PRECIOS'!$H879&gt;0,'LISTA DE PRECIOS'!E879,"")</f>
        <v/>
      </c>
      <c r="F865" t="str">
        <f>IF('LISTA DE PRECIOS'!$H879&gt;0,'LISTA DE PRECIOS'!F879,"")</f>
        <v/>
      </c>
      <c r="G865" s="31" t="str">
        <f>IF('LISTA DE PRECIOS'!$H879&gt;0,'LISTA DE PRECIOS'!G879,"")</f>
        <v/>
      </c>
      <c r="H865" s="67" t="str">
        <f>IF('LISTA DE PRECIOS'!$H879&gt;0,'LISTA DE PRECIOS'!H879,"")</f>
        <v/>
      </c>
      <c r="I865" s="31" t="str">
        <f t="shared" si="12"/>
        <v/>
      </c>
    </row>
    <row r="866" spans="1:9">
      <c r="A866" t="str">
        <f>IF('LISTA DE PRECIOS'!$H880&gt;0,'LISTA DE PRECIOS'!A880,"")</f>
        <v/>
      </c>
      <c r="B866" t="str">
        <f>IF('LISTA DE PRECIOS'!$H880&gt;0,'LISTA DE PRECIOS'!B880,"")</f>
        <v/>
      </c>
      <c r="C866" t="str">
        <f>IF('LISTA DE PRECIOS'!$H880&gt;0,'LISTA DE PRECIOS'!C880,"")</f>
        <v/>
      </c>
      <c r="D866" s="67" t="str">
        <f>IF('LISTA DE PRECIOS'!$H880&gt;0,'LISTA DE PRECIOS'!D880,"")</f>
        <v/>
      </c>
      <c r="E866" t="str">
        <f>IF('LISTA DE PRECIOS'!$H880&gt;0,'LISTA DE PRECIOS'!E880,"")</f>
        <v/>
      </c>
      <c r="F866" t="str">
        <f>IF('LISTA DE PRECIOS'!$H880&gt;0,'LISTA DE PRECIOS'!F880,"")</f>
        <v/>
      </c>
      <c r="G866" s="31" t="str">
        <f>IF('LISTA DE PRECIOS'!$H880&gt;0,'LISTA DE PRECIOS'!G880,"")</f>
        <v/>
      </c>
      <c r="H866" s="67" t="str">
        <f>IF('LISTA DE PRECIOS'!$H880&gt;0,'LISTA DE PRECIOS'!H880,"")</f>
        <v/>
      </c>
      <c r="I866" s="31" t="str">
        <f t="shared" si="12"/>
        <v/>
      </c>
    </row>
    <row r="867" spans="1:9">
      <c r="A867" t="str">
        <f>IF('LISTA DE PRECIOS'!$H881&gt;0,'LISTA DE PRECIOS'!A881,"")</f>
        <v/>
      </c>
      <c r="B867" t="str">
        <f>IF('LISTA DE PRECIOS'!$H881&gt;0,'LISTA DE PRECIOS'!B881,"")</f>
        <v/>
      </c>
      <c r="C867" t="str">
        <f>IF('LISTA DE PRECIOS'!$H881&gt;0,'LISTA DE PRECIOS'!C881,"")</f>
        <v/>
      </c>
      <c r="D867" s="67" t="str">
        <f>IF('LISTA DE PRECIOS'!$H881&gt;0,'LISTA DE PRECIOS'!D881,"")</f>
        <v/>
      </c>
      <c r="E867" t="str">
        <f>IF('LISTA DE PRECIOS'!$H881&gt;0,'LISTA DE PRECIOS'!E881,"")</f>
        <v/>
      </c>
      <c r="F867" t="str">
        <f>IF('LISTA DE PRECIOS'!$H881&gt;0,'LISTA DE PRECIOS'!F881,"")</f>
        <v/>
      </c>
      <c r="G867" s="31" t="str">
        <f>IF('LISTA DE PRECIOS'!$H881&gt;0,'LISTA DE PRECIOS'!G881,"")</f>
        <v/>
      </c>
      <c r="H867" s="67" t="str">
        <f>IF('LISTA DE PRECIOS'!$H881&gt;0,'LISTA DE PRECIOS'!H881,"")</f>
        <v/>
      </c>
      <c r="I867" s="31" t="str">
        <f t="shared" si="12"/>
        <v/>
      </c>
    </row>
    <row r="868" spans="1:9">
      <c r="A868" t="str">
        <f>IF('LISTA DE PRECIOS'!$H882&gt;0,'LISTA DE PRECIOS'!A882,"")</f>
        <v/>
      </c>
      <c r="B868" t="str">
        <f>IF('LISTA DE PRECIOS'!$H882&gt;0,'LISTA DE PRECIOS'!B882,"")</f>
        <v/>
      </c>
      <c r="C868" t="str">
        <f>IF('LISTA DE PRECIOS'!$H882&gt;0,'LISTA DE PRECIOS'!C882,"")</f>
        <v/>
      </c>
      <c r="D868" s="67" t="str">
        <f>IF('LISTA DE PRECIOS'!$H882&gt;0,'LISTA DE PRECIOS'!D882,"")</f>
        <v/>
      </c>
      <c r="E868" t="str">
        <f>IF('LISTA DE PRECIOS'!$H882&gt;0,'LISTA DE PRECIOS'!E882,"")</f>
        <v/>
      </c>
      <c r="F868" t="str">
        <f>IF('LISTA DE PRECIOS'!$H882&gt;0,'LISTA DE PRECIOS'!F882,"")</f>
        <v/>
      </c>
      <c r="G868" s="31" t="str">
        <f>IF('LISTA DE PRECIOS'!$H882&gt;0,'LISTA DE PRECIOS'!G882,"")</f>
        <v/>
      </c>
      <c r="H868" s="67" t="str">
        <f>IF('LISTA DE PRECIOS'!$H882&gt;0,'LISTA DE PRECIOS'!H882,"")</f>
        <v/>
      </c>
      <c r="I868" s="31" t="str">
        <f t="shared" si="12"/>
        <v/>
      </c>
    </row>
    <row r="869" spans="1:9">
      <c r="A869" t="str">
        <f>IF('LISTA DE PRECIOS'!$H883&gt;0,'LISTA DE PRECIOS'!A883,"")</f>
        <v/>
      </c>
      <c r="B869" t="str">
        <f>IF('LISTA DE PRECIOS'!$H883&gt;0,'LISTA DE PRECIOS'!B883,"")</f>
        <v/>
      </c>
      <c r="C869" t="str">
        <f>IF('LISTA DE PRECIOS'!$H883&gt;0,'LISTA DE PRECIOS'!C883,"")</f>
        <v/>
      </c>
      <c r="D869" s="67" t="str">
        <f>IF('LISTA DE PRECIOS'!$H883&gt;0,'LISTA DE PRECIOS'!D883,"")</f>
        <v/>
      </c>
      <c r="E869" t="str">
        <f>IF('LISTA DE PRECIOS'!$H883&gt;0,'LISTA DE PRECIOS'!E883,"")</f>
        <v/>
      </c>
      <c r="F869" t="str">
        <f>IF('LISTA DE PRECIOS'!$H883&gt;0,'LISTA DE PRECIOS'!F883,"")</f>
        <v/>
      </c>
      <c r="G869" s="31" t="str">
        <f>IF('LISTA DE PRECIOS'!$H883&gt;0,'LISTA DE PRECIOS'!G883,"")</f>
        <v/>
      </c>
      <c r="H869" s="67" t="str">
        <f>IF('LISTA DE PRECIOS'!$H883&gt;0,'LISTA DE PRECIOS'!H883,"")</f>
        <v/>
      </c>
      <c r="I869" s="31" t="str">
        <f t="shared" si="12"/>
        <v/>
      </c>
    </row>
    <row r="870" spans="1:9">
      <c r="A870" t="str">
        <f>IF('LISTA DE PRECIOS'!$H884&gt;0,'LISTA DE PRECIOS'!A884,"")</f>
        <v/>
      </c>
      <c r="B870" t="str">
        <f>IF('LISTA DE PRECIOS'!$H884&gt;0,'LISTA DE PRECIOS'!B884,"")</f>
        <v/>
      </c>
      <c r="C870" t="str">
        <f>IF('LISTA DE PRECIOS'!$H884&gt;0,'LISTA DE PRECIOS'!C884,"")</f>
        <v/>
      </c>
      <c r="D870" s="67" t="str">
        <f>IF('LISTA DE PRECIOS'!$H884&gt;0,'LISTA DE PRECIOS'!D884,"")</f>
        <v/>
      </c>
      <c r="E870" t="str">
        <f>IF('LISTA DE PRECIOS'!$H884&gt;0,'LISTA DE PRECIOS'!E884,"")</f>
        <v/>
      </c>
      <c r="F870" t="str">
        <f>IF('LISTA DE PRECIOS'!$H884&gt;0,'LISTA DE PRECIOS'!F884,"")</f>
        <v/>
      </c>
      <c r="G870" s="31" t="str">
        <f>IF('LISTA DE PRECIOS'!$H884&gt;0,'LISTA DE PRECIOS'!G884,"")</f>
        <v/>
      </c>
      <c r="H870" s="67" t="str">
        <f>IF('LISTA DE PRECIOS'!$H884&gt;0,'LISTA DE PRECIOS'!H884,"")</f>
        <v/>
      </c>
      <c r="I870" s="31" t="str">
        <f t="shared" si="12"/>
        <v/>
      </c>
    </row>
    <row r="871" spans="1:9">
      <c r="A871" t="str">
        <f>IF('LISTA DE PRECIOS'!$H885&gt;0,'LISTA DE PRECIOS'!A885,"")</f>
        <v/>
      </c>
      <c r="B871" t="str">
        <f>IF('LISTA DE PRECIOS'!$H885&gt;0,'LISTA DE PRECIOS'!B885,"")</f>
        <v/>
      </c>
      <c r="C871" t="str">
        <f>IF('LISTA DE PRECIOS'!$H885&gt;0,'LISTA DE PRECIOS'!C885,"")</f>
        <v/>
      </c>
      <c r="D871" s="67" t="str">
        <f>IF('LISTA DE PRECIOS'!$H885&gt;0,'LISTA DE PRECIOS'!D885,"")</f>
        <v/>
      </c>
      <c r="E871" t="str">
        <f>IF('LISTA DE PRECIOS'!$H885&gt;0,'LISTA DE PRECIOS'!E885,"")</f>
        <v/>
      </c>
      <c r="F871" t="str">
        <f>IF('LISTA DE PRECIOS'!$H885&gt;0,'LISTA DE PRECIOS'!F885,"")</f>
        <v/>
      </c>
      <c r="G871" s="31" t="str">
        <f>IF('LISTA DE PRECIOS'!$H885&gt;0,'LISTA DE PRECIOS'!G885,"")</f>
        <v/>
      </c>
      <c r="H871" s="67" t="str">
        <f>IF('LISTA DE PRECIOS'!$H885&gt;0,'LISTA DE PRECIOS'!H885,"")</f>
        <v/>
      </c>
      <c r="I871" s="31" t="str">
        <f t="shared" si="12"/>
        <v/>
      </c>
    </row>
    <row r="872" spans="1:9">
      <c r="A872" t="str">
        <f>IF('LISTA DE PRECIOS'!$H886&gt;0,'LISTA DE PRECIOS'!A886,"")</f>
        <v/>
      </c>
      <c r="B872" t="str">
        <f>IF('LISTA DE PRECIOS'!$H886&gt;0,'LISTA DE PRECIOS'!B886,"")</f>
        <v/>
      </c>
      <c r="C872" t="str">
        <f>IF('LISTA DE PRECIOS'!$H886&gt;0,'LISTA DE PRECIOS'!C886,"")</f>
        <v/>
      </c>
      <c r="D872" s="67" t="str">
        <f>IF('LISTA DE PRECIOS'!$H886&gt;0,'LISTA DE PRECIOS'!D886,"")</f>
        <v/>
      </c>
      <c r="E872" t="str">
        <f>IF('LISTA DE PRECIOS'!$H886&gt;0,'LISTA DE PRECIOS'!E886,"")</f>
        <v/>
      </c>
      <c r="F872" t="str">
        <f>IF('LISTA DE PRECIOS'!$H886&gt;0,'LISTA DE PRECIOS'!F886,"")</f>
        <v/>
      </c>
      <c r="G872" s="31" t="str">
        <f>IF('LISTA DE PRECIOS'!$H886&gt;0,'LISTA DE PRECIOS'!G886,"")</f>
        <v/>
      </c>
      <c r="H872" s="67" t="str">
        <f>IF('LISTA DE PRECIOS'!$H886&gt;0,'LISTA DE PRECIOS'!H886,"")</f>
        <v/>
      </c>
      <c r="I872" s="31" t="str">
        <f t="shared" si="12"/>
        <v/>
      </c>
    </row>
    <row r="873" spans="1:9">
      <c r="A873" t="str">
        <f>IF('LISTA DE PRECIOS'!$H887&gt;0,'LISTA DE PRECIOS'!A887,"")</f>
        <v/>
      </c>
      <c r="B873" t="str">
        <f>IF('LISTA DE PRECIOS'!$H887&gt;0,'LISTA DE PRECIOS'!B887,"")</f>
        <v/>
      </c>
      <c r="C873" t="str">
        <f>IF('LISTA DE PRECIOS'!$H887&gt;0,'LISTA DE PRECIOS'!C887,"")</f>
        <v/>
      </c>
      <c r="D873" s="67" t="str">
        <f>IF('LISTA DE PRECIOS'!$H887&gt;0,'LISTA DE PRECIOS'!D887,"")</f>
        <v/>
      </c>
      <c r="E873" t="str">
        <f>IF('LISTA DE PRECIOS'!$H887&gt;0,'LISTA DE PRECIOS'!E887,"")</f>
        <v/>
      </c>
      <c r="F873" t="str">
        <f>IF('LISTA DE PRECIOS'!$H887&gt;0,'LISTA DE PRECIOS'!F887,"")</f>
        <v/>
      </c>
      <c r="G873" s="31" t="str">
        <f>IF('LISTA DE PRECIOS'!$H887&gt;0,'LISTA DE PRECIOS'!G887,"")</f>
        <v/>
      </c>
      <c r="H873" s="67" t="str">
        <f>IF('LISTA DE PRECIOS'!$H887&gt;0,'LISTA DE PRECIOS'!H887,"")</f>
        <v/>
      </c>
      <c r="I873" s="31" t="str">
        <f t="shared" si="12"/>
        <v/>
      </c>
    </row>
    <row r="874" spans="1:9">
      <c r="A874" t="str">
        <f>IF('LISTA DE PRECIOS'!$H888&gt;0,'LISTA DE PRECIOS'!A888,"")</f>
        <v/>
      </c>
      <c r="B874" t="str">
        <f>IF('LISTA DE PRECIOS'!$H888&gt;0,'LISTA DE PRECIOS'!B888,"")</f>
        <v/>
      </c>
      <c r="C874" t="str">
        <f>IF('LISTA DE PRECIOS'!$H888&gt;0,'LISTA DE PRECIOS'!C888,"")</f>
        <v/>
      </c>
      <c r="D874" s="67" t="str">
        <f>IF('LISTA DE PRECIOS'!$H888&gt;0,'LISTA DE PRECIOS'!D888,"")</f>
        <v/>
      </c>
      <c r="E874" t="str">
        <f>IF('LISTA DE PRECIOS'!$H888&gt;0,'LISTA DE PRECIOS'!E888,"")</f>
        <v/>
      </c>
      <c r="F874" t="str">
        <f>IF('LISTA DE PRECIOS'!$H888&gt;0,'LISTA DE PRECIOS'!F888,"")</f>
        <v/>
      </c>
      <c r="G874" s="31" t="str">
        <f>IF('LISTA DE PRECIOS'!$H888&gt;0,'LISTA DE PRECIOS'!G888,"")</f>
        <v/>
      </c>
      <c r="H874" s="67" t="str">
        <f>IF('LISTA DE PRECIOS'!$H888&gt;0,'LISTA DE PRECIOS'!H888,"")</f>
        <v/>
      </c>
      <c r="I874" s="31" t="str">
        <f t="shared" si="12"/>
        <v/>
      </c>
    </row>
    <row r="875" spans="1:9">
      <c r="A875" t="str">
        <f>IF('LISTA DE PRECIOS'!$H889&gt;0,'LISTA DE PRECIOS'!A889,"")</f>
        <v/>
      </c>
      <c r="B875" t="str">
        <f>IF('LISTA DE PRECIOS'!$H889&gt;0,'LISTA DE PRECIOS'!B889,"")</f>
        <v/>
      </c>
      <c r="C875" t="str">
        <f>IF('LISTA DE PRECIOS'!$H889&gt;0,'LISTA DE PRECIOS'!C889,"")</f>
        <v/>
      </c>
      <c r="D875" s="67" t="str">
        <f>IF('LISTA DE PRECIOS'!$H889&gt;0,'LISTA DE PRECIOS'!D889,"")</f>
        <v/>
      </c>
      <c r="E875" t="str">
        <f>IF('LISTA DE PRECIOS'!$H889&gt;0,'LISTA DE PRECIOS'!E889,"")</f>
        <v/>
      </c>
      <c r="F875" t="str">
        <f>IF('LISTA DE PRECIOS'!$H889&gt;0,'LISTA DE PRECIOS'!F889,"")</f>
        <v/>
      </c>
      <c r="G875" s="31" t="str">
        <f>IF('LISTA DE PRECIOS'!$H889&gt;0,'LISTA DE PRECIOS'!G889,"")</f>
        <v/>
      </c>
      <c r="H875" s="67" t="str">
        <f>IF('LISTA DE PRECIOS'!$H889&gt;0,'LISTA DE PRECIOS'!H889,"")</f>
        <v/>
      </c>
      <c r="I875" s="31" t="str">
        <f t="shared" si="12"/>
        <v/>
      </c>
    </row>
    <row r="876" spans="1:9">
      <c r="A876" t="str">
        <f>IF('LISTA DE PRECIOS'!$H890&gt;0,'LISTA DE PRECIOS'!A890,"")</f>
        <v/>
      </c>
      <c r="B876" t="str">
        <f>IF('LISTA DE PRECIOS'!$H890&gt;0,'LISTA DE PRECIOS'!B890,"")</f>
        <v/>
      </c>
      <c r="C876" t="str">
        <f>IF('LISTA DE PRECIOS'!$H890&gt;0,'LISTA DE PRECIOS'!C890,"")</f>
        <v/>
      </c>
      <c r="D876" s="67" t="str">
        <f>IF('LISTA DE PRECIOS'!$H890&gt;0,'LISTA DE PRECIOS'!D890,"")</f>
        <v/>
      </c>
      <c r="E876" t="str">
        <f>IF('LISTA DE PRECIOS'!$H890&gt;0,'LISTA DE PRECIOS'!E890,"")</f>
        <v/>
      </c>
      <c r="F876" t="str">
        <f>IF('LISTA DE PRECIOS'!$H890&gt;0,'LISTA DE PRECIOS'!F890,"")</f>
        <v/>
      </c>
      <c r="G876" s="31" t="str">
        <f>IF('LISTA DE PRECIOS'!$H890&gt;0,'LISTA DE PRECIOS'!G890,"")</f>
        <v/>
      </c>
      <c r="H876" s="67" t="str">
        <f>IF('LISTA DE PRECIOS'!$H890&gt;0,'LISTA DE PRECIOS'!H890,"")</f>
        <v/>
      </c>
      <c r="I876" s="31" t="str">
        <f t="shared" si="12"/>
        <v/>
      </c>
    </row>
    <row r="877" spans="1:9">
      <c r="A877" t="str">
        <f>IF('LISTA DE PRECIOS'!$H891&gt;0,'LISTA DE PRECIOS'!A891,"")</f>
        <v/>
      </c>
      <c r="B877" t="str">
        <f>IF('LISTA DE PRECIOS'!$H891&gt;0,'LISTA DE PRECIOS'!B891,"")</f>
        <v/>
      </c>
      <c r="C877" t="str">
        <f>IF('LISTA DE PRECIOS'!$H891&gt;0,'LISTA DE PRECIOS'!C891,"")</f>
        <v/>
      </c>
      <c r="D877" s="67" t="str">
        <f>IF('LISTA DE PRECIOS'!$H891&gt;0,'LISTA DE PRECIOS'!D891,"")</f>
        <v/>
      </c>
      <c r="E877" t="str">
        <f>IF('LISTA DE PRECIOS'!$H891&gt;0,'LISTA DE PRECIOS'!E891,"")</f>
        <v/>
      </c>
      <c r="F877" t="str">
        <f>IF('LISTA DE PRECIOS'!$H891&gt;0,'LISTA DE PRECIOS'!F891,"")</f>
        <v/>
      </c>
      <c r="G877" s="31" t="str">
        <f>IF('LISTA DE PRECIOS'!$H891&gt;0,'LISTA DE PRECIOS'!G891,"")</f>
        <v/>
      </c>
      <c r="H877" s="67" t="str">
        <f>IF('LISTA DE PRECIOS'!$H891&gt;0,'LISTA DE PRECIOS'!H891,"")</f>
        <v/>
      </c>
      <c r="I877" s="31" t="str">
        <f t="shared" si="12"/>
        <v/>
      </c>
    </row>
    <row r="878" spans="1:9">
      <c r="A878" t="str">
        <f>IF('LISTA DE PRECIOS'!$H892&gt;0,'LISTA DE PRECIOS'!A892,"")</f>
        <v/>
      </c>
      <c r="B878" t="str">
        <f>IF('LISTA DE PRECIOS'!$H892&gt;0,'LISTA DE PRECIOS'!B892,"")</f>
        <v/>
      </c>
      <c r="C878" t="str">
        <f>IF('LISTA DE PRECIOS'!$H892&gt;0,'LISTA DE PRECIOS'!C892,"")</f>
        <v/>
      </c>
      <c r="D878" s="67" t="str">
        <f>IF('LISTA DE PRECIOS'!$H892&gt;0,'LISTA DE PRECIOS'!D892,"")</f>
        <v/>
      </c>
      <c r="E878" t="str">
        <f>IF('LISTA DE PRECIOS'!$H892&gt;0,'LISTA DE PRECIOS'!E892,"")</f>
        <v/>
      </c>
      <c r="F878" t="str">
        <f>IF('LISTA DE PRECIOS'!$H892&gt;0,'LISTA DE PRECIOS'!F892,"")</f>
        <v/>
      </c>
      <c r="G878" s="31" t="str">
        <f>IF('LISTA DE PRECIOS'!$H892&gt;0,'LISTA DE PRECIOS'!G892,"")</f>
        <v/>
      </c>
      <c r="H878" s="67" t="str">
        <f>IF('LISTA DE PRECIOS'!$H892&gt;0,'LISTA DE PRECIOS'!H892,"")</f>
        <v/>
      </c>
      <c r="I878" s="31" t="str">
        <f t="shared" si="12"/>
        <v/>
      </c>
    </row>
    <row r="879" spans="1:9">
      <c r="A879" t="str">
        <f>IF('LISTA DE PRECIOS'!$H893&gt;0,'LISTA DE PRECIOS'!A893,"")</f>
        <v/>
      </c>
      <c r="B879" t="str">
        <f>IF('LISTA DE PRECIOS'!$H893&gt;0,'LISTA DE PRECIOS'!B893,"")</f>
        <v/>
      </c>
      <c r="C879" t="str">
        <f>IF('LISTA DE PRECIOS'!$H893&gt;0,'LISTA DE PRECIOS'!C893,"")</f>
        <v/>
      </c>
      <c r="D879" s="67" t="str">
        <f>IF('LISTA DE PRECIOS'!$H893&gt;0,'LISTA DE PRECIOS'!D893,"")</f>
        <v/>
      </c>
      <c r="E879" t="str">
        <f>IF('LISTA DE PRECIOS'!$H893&gt;0,'LISTA DE PRECIOS'!E893,"")</f>
        <v/>
      </c>
      <c r="F879" t="str">
        <f>IF('LISTA DE PRECIOS'!$H893&gt;0,'LISTA DE PRECIOS'!F893,"")</f>
        <v/>
      </c>
      <c r="G879" s="31" t="str">
        <f>IF('LISTA DE PRECIOS'!$H893&gt;0,'LISTA DE PRECIOS'!G893,"")</f>
        <v/>
      </c>
      <c r="H879" s="67" t="str">
        <f>IF('LISTA DE PRECIOS'!$H893&gt;0,'LISTA DE PRECIOS'!H893,"")</f>
        <v/>
      </c>
      <c r="I879" s="31" t="str">
        <f t="shared" si="12"/>
        <v/>
      </c>
    </row>
    <row r="880" spans="1:9">
      <c r="A880" t="str">
        <f>IF('LISTA DE PRECIOS'!$H894&gt;0,'LISTA DE PRECIOS'!A894,"")</f>
        <v/>
      </c>
      <c r="B880" t="str">
        <f>IF('LISTA DE PRECIOS'!$H894&gt;0,'LISTA DE PRECIOS'!B894,"")</f>
        <v/>
      </c>
      <c r="C880" t="str">
        <f>IF('LISTA DE PRECIOS'!$H894&gt;0,'LISTA DE PRECIOS'!C894,"")</f>
        <v/>
      </c>
      <c r="D880" s="67" t="str">
        <f>IF('LISTA DE PRECIOS'!$H894&gt;0,'LISTA DE PRECIOS'!D894,"")</f>
        <v/>
      </c>
      <c r="E880" t="str">
        <f>IF('LISTA DE PRECIOS'!$H894&gt;0,'LISTA DE PRECIOS'!E894,"")</f>
        <v/>
      </c>
      <c r="F880" t="str">
        <f>IF('LISTA DE PRECIOS'!$H894&gt;0,'LISTA DE PRECIOS'!F894,"")</f>
        <v/>
      </c>
      <c r="G880" s="31" t="str">
        <f>IF('LISTA DE PRECIOS'!$H894&gt;0,'LISTA DE PRECIOS'!G894,"")</f>
        <v/>
      </c>
      <c r="H880" s="67" t="str">
        <f>IF('LISTA DE PRECIOS'!$H894&gt;0,'LISTA DE PRECIOS'!H894,"")</f>
        <v/>
      </c>
      <c r="I880" s="31" t="str">
        <f t="shared" si="12"/>
        <v/>
      </c>
    </row>
    <row r="881" spans="1:9">
      <c r="A881" t="str">
        <f>IF('LISTA DE PRECIOS'!$H895&gt;0,'LISTA DE PRECIOS'!A895,"")</f>
        <v/>
      </c>
      <c r="B881" t="str">
        <f>IF('LISTA DE PRECIOS'!$H895&gt;0,'LISTA DE PRECIOS'!B895,"")</f>
        <v/>
      </c>
      <c r="C881" t="str">
        <f>IF('LISTA DE PRECIOS'!$H895&gt;0,'LISTA DE PRECIOS'!C895,"")</f>
        <v/>
      </c>
      <c r="D881" s="67" t="str">
        <f>IF('LISTA DE PRECIOS'!$H895&gt;0,'LISTA DE PRECIOS'!D895,"")</f>
        <v/>
      </c>
      <c r="E881" t="str">
        <f>IF('LISTA DE PRECIOS'!$H895&gt;0,'LISTA DE PRECIOS'!E895,"")</f>
        <v/>
      </c>
      <c r="F881" t="str">
        <f>IF('LISTA DE PRECIOS'!$H895&gt;0,'LISTA DE PRECIOS'!F895,"")</f>
        <v/>
      </c>
      <c r="G881" s="31" t="str">
        <f>IF('LISTA DE PRECIOS'!$H895&gt;0,'LISTA DE PRECIOS'!G895,"")</f>
        <v/>
      </c>
      <c r="H881" s="67" t="str">
        <f>IF('LISTA DE PRECIOS'!$H895&gt;0,'LISTA DE PRECIOS'!H895,"")</f>
        <v/>
      </c>
      <c r="I881" s="31" t="str">
        <f t="shared" si="12"/>
        <v/>
      </c>
    </row>
    <row r="882" spans="1:9">
      <c r="A882" t="str">
        <f>IF('LISTA DE PRECIOS'!$H896&gt;0,'LISTA DE PRECIOS'!A896,"")</f>
        <v/>
      </c>
      <c r="B882" t="str">
        <f>IF('LISTA DE PRECIOS'!$H896&gt;0,'LISTA DE PRECIOS'!B896,"")</f>
        <v/>
      </c>
      <c r="C882" t="str">
        <f>IF('LISTA DE PRECIOS'!$H896&gt;0,'LISTA DE PRECIOS'!C896,"")</f>
        <v/>
      </c>
      <c r="D882" s="67" t="str">
        <f>IF('LISTA DE PRECIOS'!$H896&gt;0,'LISTA DE PRECIOS'!D896,"")</f>
        <v/>
      </c>
      <c r="E882" t="str">
        <f>IF('LISTA DE PRECIOS'!$H896&gt;0,'LISTA DE PRECIOS'!E896,"")</f>
        <v/>
      </c>
      <c r="F882" t="str">
        <f>IF('LISTA DE PRECIOS'!$H896&gt;0,'LISTA DE PRECIOS'!F896,"")</f>
        <v/>
      </c>
      <c r="G882" s="31" t="str">
        <f>IF('LISTA DE PRECIOS'!$H896&gt;0,'LISTA DE PRECIOS'!G896,"")</f>
        <v/>
      </c>
      <c r="H882" s="67" t="str">
        <f>IF('LISTA DE PRECIOS'!$H896&gt;0,'LISTA DE PRECIOS'!H896,"")</f>
        <v/>
      </c>
      <c r="I882" s="31" t="str">
        <f t="shared" si="12"/>
        <v/>
      </c>
    </row>
    <row r="883" spans="1:9">
      <c r="A883" t="str">
        <f>IF('LISTA DE PRECIOS'!$H897&gt;0,'LISTA DE PRECIOS'!A897,"")</f>
        <v/>
      </c>
      <c r="B883" t="str">
        <f>IF('LISTA DE PRECIOS'!$H897&gt;0,'LISTA DE PRECIOS'!B897,"")</f>
        <v/>
      </c>
      <c r="C883" t="str">
        <f>IF('LISTA DE PRECIOS'!$H897&gt;0,'LISTA DE PRECIOS'!C897,"")</f>
        <v/>
      </c>
      <c r="D883" s="67" t="str">
        <f>IF('LISTA DE PRECIOS'!$H897&gt;0,'LISTA DE PRECIOS'!D897,"")</f>
        <v/>
      </c>
      <c r="E883" t="str">
        <f>IF('LISTA DE PRECIOS'!$H897&gt;0,'LISTA DE PRECIOS'!E897,"")</f>
        <v/>
      </c>
      <c r="F883" t="str">
        <f>IF('LISTA DE PRECIOS'!$H897&gt;0,'LISTA DE PRECIOS'!F897,"")</f>
        <v/>
      </c>
      <c r="G883" s="31" t="str">
        <f>IF('LISTA DE PRECIOS'!$H897&gt;0,'LISTA DE PRECIOS'!G897,"")</f>
        <v/>
      </c>
      <c r="H883" s="67" t="str">
        <f>IF('LISTA DE PRECIOS'!$H897&gt;0,'LISTA DE PRECIOS'!H897,"")</f>
        <v/>
      </c>
      <c r="I883" s="31" t="str">
        <f t="shared" si="12"/>
        <v/>
      </c>
    </row>
    <row r="884" spans="1:9">
      <c r="A884" t="str">
        <f>IF('LISTA DE PRECIOS'!$H898&gt;0,'LISTA DE PRECIOS'!A898,"")</f>
        <v/>
      </c>
      <c r="B884" t="str">
        <f>IF('LISTA DE PRECIOS'!$H898&gt;0,'LISTA DE PRECIOS'!B898,"")</f>
        <v/>
      </c>
      <c r="C884" t="str">
        <f>IF('LISTA DE PRECIOS'!$H898&gt;0,'LISTA DE PRECIOS'!C898,"")</f>
        <v/>
      </c>
      <c r="D884" s="67" t="str">
        <f>IF('LISTA DE PRECIOS'!$H898&gt;0,'LISTA DE PRECIOS'!D898,"")</f>
        <v/>
      </c>
      <c r="E884" t="str">
        <f>IF('LISTA DE PRECIOS'!$H898&gt;0,'LISTA DE PRECIOS'!E898,"")</f>
        <v/>
      </c>
      <c r="F884" t="str">
        <f>IF('LISTA DE PRECIOS'!$H898&gt;0,'LISTA DE PRECIOS'!F898,"")</f>
        <v/>
      </c>
      <c r="G884" s="31" t="str">
        <f>IF('LISTA DE PRECIOS'!$H898&gt;0,'LISTA DE PRECIOS'!G898,"")</f>
        <v/>
      </c>
      <c r="H884" s="67" t="str">
        <f>IF('LISTA DE PRECIOS'!$H898&gt;0,'LISTA DE PRECIOS'!H898,"")</f>
        <v/>
      </c>
      <c r="I884" s="31" t="str">
        <f t="shared" si="12"/>
        <v/>
      </c>
    </row>
    <row r="885" spans="1:9">
      <c r="A885" t="str">
        <f>IF('LISTA DE PRECIOS'!$H899&gt;0,'LISTA DE PRECIOS'!A899,"")</f>
        <v/>
      </c>
      <c r="B885" t="str">
        <f>IF('LISTA DE PRECIOS'!$H899&gt;0,'LISTA DE PRECIOS'!B899,"")</f>
        <v/>
      </c>
      <c r="C885" t="str">
        <f>IF('LISTA DE PRECIOS'!$H899&gt;0,'LISTA DE PRECIOS'!C899,"")</f>
        <v/>
      </c>
      <c r="D885" s="67" t="str">
        <f>IF('LISTA DE PRECIOS'!$H899&gt;0,'LISTA DE PRECIOS'!D899,"")</f>
        <v/>
      </c>
      <c r="E885" t="str">
        <f>IF('LISTA DE PRECIOS'!$H899&gt;0,'LISTA DE PRECIOS'!E899,"")</f>
        <v/>
      </c>
      <c r="F885" t="str">
        <f>IF('LISTA DE PRECIOS'!$H899&gt;0,'LISTA DE PRECIOS'!F899,"")</f>
        <v/>
      </c>
      <c r="G885" s="31" t="str">
        <f>IF('LISTA DE PRECIOS'!$H899&gt;0,'LISTA DE PRECIOS'!G899,"")</f>
        <v/>
      </c>
      <c r="H885" s="67" t="str">
        <f>IF('LISTA DE PRECIOS'!$H899&gt;0,'LISTA DE PRECIOS'!H899,"")</f>
        <v/>
      </c>
      <c r="I885" s="31" t="str">
        <f t="shared" si="12"/>
        <v/>
      </c>
    </row>
    <row r="886" spans="1:9">
      <c r="A886" t="str">
        <f>IF('LISTA DE PRECIOS'!$H900&gt;0,'LISTA DE PRECIOS'!A900,"")</f>
        <v/>
      </c>
      <c r="B886" t="str">
        <f>IF('LISTA DE PRECIOS'!$H900&gt;0,'LISTA DE PRECIOS'!B900,"")</f>
        <v/>
      </c>
      <c r="C886" t="str">
        <f>IF('LISTA DE PRECIOS'!$H900&gt;0,'LISTA DE PRECIOS'!C900,"")</f>
        <v/>
      </c>
      <c r="D886" s="67" t="str">
        <f>IF('LISTA DE PRECIOS'!$H900&gt;0,'LISTA DE PRECIOS'!D900,"")</f>
        <v/>
      </c>
      <c r="E886" t="str">
        <f>IF('LISTA DE PRECIOS'!$H900&gt;0,'LISTA DE PRECIOS'!E900,"")</f>
        <v/>
      </c>
      <c r="F886" t="str">
        <f>IF('LISTA DE PRECIOS'!$H900&gt;0,'LISTA DE PRECIOS'!F900,"")</f>
        <v/>
      </c>
      <c r="G886" s="31" t="str">
        <f>IF('LISTA DE PRECIOS'!$H900&gt;0,'LISTA DE PRECIOS'!G900,"")</f>
        <v/>
      </c>
      <c r="H886" s="67" t="str">
        <f>IF('LISTA DE PRECIOS'!$H900&gt;0,'LISTA DE PRECIOS'!H900,"")</f>
        <v/>
      </c>
      <c r="I886" s="31" t="str">
        <f t="shared" si="12"/>
        <v/>
      </c>
    </row>
    <row r="887" spans="1:9">
      <c r="A887" t="str">
        <f>IF('LISTA DE PRECIOS'!$H901&gt;0,'LISTA DE PRECIOS'!A901,"")</f>
        <v/>
      </c>
      <c r="B887" t="str">
        <f>IF('LISTA DE PRECIOS'!$H901&gt;0,'LISTA DE PRECIOS'!B901,"")</f>
        <v/>
      </c>
      <c r="C887" t="str">
        <f>IF('LISTA DE PRECIOS'!$H901&gt;0,'LISTA DE PRECIOS'!C901,"")</f>
        <v/>
      </c>
      <c r="D887" s="67" t="str">
        <f>IF('LISTA DE PRECIOS'!$H901&gt;0,'LISTA DE PRECIOS'!D901,"")</f>
        <v/>
      </c>
      <c r="E887" t="str">
        <f>IF('LISTA DE PRECIOS'!$H901&gt;0,'LISTA DE PRECIOS'!E901,"")</f>
        <v/>
      </c>
      <c r="F887" t="str">
        <f>IF('LISTA DE PRECIOS'!$H901&gt;0,'LISTA DE PRECIOS'!F901,"")</f>
        <v/>
      </c>
      <c r="G887" s="31" t="str">
        <f>IF('LISTA DE PRECIOS'!$H901&gt;0,'LISTA DE PRECIOS'!G901,"")</f>
        <v/>
      </c>
      <c r="H887" s="67" t="str">
        <f>IF('LISTA DE PRECIOS'!$H901&gt;0,'LISTA DE PRECIOS'!H901,"")</f>
        <v/>
      </c>
      <c r="I887" s="31" t="str">
        <f t="shared" si="12"/>
        <v/>
      </c>
    </row>
    <row r="888" spans="1:9">
      <c r="A888" t="str">
        <f>IF('LISTA DE PRECIOS'!$H902&gt;0,'LISTA DE PRECIOS'!A902,"")</f>
        <v/>
      </c>
      <c r="B888" t="str">
        <f>IF('LISTA DE PRECIOS'!$H902&gt;0,'LISTA DE PRECIOS'!B902,"")</f>
        <v/>
      </c>
      <c r="C888" t="str">
        <f>IF('LISTA DE PRECIOS'!$H902&gt;0,'LISTA DE PRECIOS'!C902,"")</f>
        <v/>
      </c>
      <c r="D888" s="67" t="str">
        <f>IF('LISTA DE PRECIOS'!$H902&gt;0,'LISTA DE PRECIOS'!D902,"")</f>
        <v/>
      </c>
      <c r="E888" t="str">
        <f>IF('LISTA DE PRECIOS'!$H902&gt;0,'LISTA DE PRECIOS'!E902,"")</f>
        <v/>
      </c>
      <c r="F888" t="str">
        <f>IF('LISTA DE PRECIOS'!$H902&gt;0,'LISTA DE PRECIOS'!F902,"")</f>
        <v/>
      </c>
      <c r="G888" s="31" t="str">
        <f>IF('LISTA DE PRECIOS'!$H902&gt;0,'LISTA DE PRECIOS'!G902,"")</f>
        <v/>
      </c>
      <c r="H888" s="67" t="str">
        <f>IF('LISTA DE PRECIOS'!$H902&gt;0,'LISTA DE PRECIOS'!H902,"")</f>
        <v/>
      </c>
      <c r="I888" s="31" t="str">
        <f t="shared" si="12"/>
        <v/>
      </c>
    </row>
    <row r="889" spans="1:9">
      <c r="A889" t="str">
        <f>IF('LISTA DE PRECIOS'!$H903&gt;0,'LISTA DE PRECIOS'!A903,"")</f>
        <v/>
      </c>
      <c r="B889" t="str">
        <f>IF('LISTA DE PRECIOS'!$H903&gt;0,'LISTA DE PRECIOS'!B903,"")</f>
        <v/>
      </c>
      <c r="C889" t="str">
        <f>IF('LISTA DE PRECIOS'!$H903&gt;0,'LISTA DE PRECIOS'!C903,"")</f>
        <v/>
      </c>
      <c r="D889" s="67" t="str">
        <f>IF('LISTA DE PRECIOS'!$H903&gt;0,'LISTA DE PRECIOS'!D903,"")</f>
        <v/>
      </c>
      <c r="E889" t="str">
        <f>IF('LISTA DE PRECIOS'!$H903&gt;0,'LISTA DE PRECIOS'!E903,"")</f>
        <v/>
      </c>
      <c r="F889" t="str">
        <f>IF('LISTA DE PRECIOS'!$H903&gt;0,'LISTA DE PRECIOS'!F903,"")</f>
        <v/>
      </c>
      <c r="G889" s="31" t="str">
        <f>IF('LISTA DE PRECIOS'!$H903&gt;0,'LISTA DE PRECIOS'!G903,"")</f>
        <v/>
      </c>
      <c r="H889" s="67" t="str">
        <f>IF('LISTA DE PRECIOS'!$H903&gt;0,'LISTA DE PRECIOS'!H903,"")</f>
        <v/>
      </c>
      <c r="I889" s="31" t="str">
        <f t="shared" si="12"/>
        <v/>
      </c>
    </row>
    <row r="890" spans="1:9">
      <c r="A890" t="str">
        <f>IF('LISTA DE PRECIOS'!$H904&gt;0,'LISTA DE PRECIOS'!A904,"")</f>
        <v/>
      </c>
      <c r="B890" t="str">
        <f>IF('LISTA DE PRECIOS'!$H904&gt;0,'LISTA DE PRECIOS'!B904,"")</f>
        <v/>
      </c>
      <c r="C890" t="str">
        <f>IF('LISTA DE PRECIOS'!$H904&gt;0,'LISTA DE PRECIOS'!C904,"")</f>
        <v/>
      </c>
      <c r="D890" s="67" t="str">
        <f>IF('LISTA DE PRECIOS'!$H904&gt;0,'LISTA DE PRECIOS'!D904,"")</f>
        <v/>
      </c>
      <c r="E890" t="str">
        <f>IF('LISTA DE PRECIOS'!$H904&gt;0,'LISTA DE PRECIOS'!E904,"")</f>
        <v/>
      </c>
      <c r="F890" t="str">
        <f>IF('LISTA DE PRECIOS'!$H904&gt;0,'LISTA DE PRECIOS'!F904,"")</f>
        <v/>
      </c>
      <c r="G890" s="31" t="str">
        <f>IF('LISTA DE PRECIOS'!$H904&gt;0,'LISTA DE PRECIOS'!G904,"")</f>
        <v/>
      </c>
      <c r="H890" s="67" t="str">
        <f>IF('LISTA DE PRECIOS'!$H904&gt;0,'LISTA DE PRECIOS'!H904,"")</f>
        <v/>
      </c>
      <c r="I890" s="31" t="str">
        <f t="shared" si="12"/>
        <v/>
      </c>
    </row>
    <row r="891" spans="1:9">
      <c r="A891" t="str">
        <f>IF('LISTA DE PRECIOS'!$H905&gt;0,'LISTA DE PRECIOS'!A905,"")</f>
        <v/>
      </c>
      <c r="B891" t="str">
        <f>IF('LISTA DE PRECIOS'!$H905&gt;0,'LISTA DE PRECIOS'!B905,"")</f>
        <v/>
      </c>
      <c r="C891" t="str">
        <f>IF('LISTA DE PRECIOS'!$H905&gt;0,'LISTA DE PRECIOS'!C905,"")</f>
        <v/>
      </c>
      <c r="D891" s="67" t="str">
        <f>IF('LISTA DE PRECIOS'!$H905&gt;0,'LISTA DE PRECIOS'!D905,"")</f>
        <v/>
      </c>
      <c r="E891" t="str">
        <f>IF('LISTA DE PRECIOS'!$H905&gt;0,'LISTA DE PRECIOS'!E905,"")</f>
        <v/>
      </c>
      <c r="F891" t="str">
        <f>IF('LISTA DE PRECIOS'!$H905&gt;0,'LISTA DE PRECIOS'!F905,"")</f>
        <v/>
      </c>
      <c r="G891" s="31" t="str">
        <f>IF('LISTA DE PRECIOS'!$H905&gt;0,'LISTA DE PRECIOS'!G905,"")</f>
        <v/>
      </c>
      <c r="H891" s="67" t="str">
        <f>IF('LISTA DE PRECIOS'!$H905&gt;0,'LISTA DE PRECIOS'!H905,"")</f>
        <v/>
      </c>
      <c r="I891" s="31" t="str">
        <f t="shared" si="12"/>
        <v/>
      </c>
    </row>
    <row r="892" spans="1:9">
      <c r="A892" t="str">
        <f>IF('LISTA DE PRECIOS'!$H906&gt;0,'LISTA DE PRECIOS'!A906,"")</f>
        <v/>
      </c>
      <c r="B892" t="str">
        <f>IF('LISTA DE PRECIOS'!$H906&gt;0,'LISTA DE PRECIOS'!B906,"")</f>
        <v/>
      </c>
      <c r="C892" t="str">
        <f>IF('LISTA DE PRECIOS'!$H906&gt;0,'LISTA DE PRECIOS'!C906,"")</f>
        <v/>
      </c>
      <c r="D892" s="67" t="str">
        <f>IF('LISTA DE PRECIOS'!$H906&gt;0,'LISTA DE PRECIOS'!D906,"")</f>
        <v/>
      </c>
      <c r="E892" t="str">
        <f>IF('LISTA DE PRECIOS'!$H906&gt;0,'LISTA DE PRECIOS'!E906,"")</f>
        <v/>
      </c>
      <c r="F892" t="str">
        <f>IF('LISTA DE PRECIOS'!$H906&gt;0,'LISTA DE PRECIOS'!F906,"")</f>
        <v/>
      </c>
      <c r="G892" s="31" t="str">
        <f>IF('LISTA DE PRECIOS'!$H906&gt;0,'LISTA DE PRECIOS'!G906,"")</f>
        <v/>
      </c>
      <c r="H892" s="67" t="str">
        <f>IF('LISTA DE PRECIOS'!$H906&gt;0,'LISTA DE PRECIOS'!H906,"")</f>
        <v/>
      </c>
      <c r="I892" s="31" t="str">
        <f t="shared" si="12"/>
        <v/>
      </c>
    </row>
    <row r="893" spans="1:9">
      <c r="A893" t="str">
        <f>IF('LISTA DE PRECIOS'!$H907&gt;0,'LISTA DE PRECIOS'!A907,"")</f>
        <v/>
      </c>
      <c r="B893" t="str">
        <f>IF('LISTA DE PRECIOS'!$H907&gt;0,'LISTA DE PRECIOS'!B907,"")</f>
        <v/>
      </c>
      <c r="C893" t="str">
        <f>IF('LISTA DE PRECIOS'!$H907&gt;0,'LISTA DE PRECIOS'!C907,"")</f>
        <v/>
      </c>
      <c r="D893" s="67" t="str">
        <f>IF('LISTA DE PRECIOS'!$H907&gt;0,'LISTA DE PRECIOS'!D907,"")</f>
        <v/>
      </c>
      <c r="E893" t="str">
        <f>IF('LISTA DE PRECIOS'!$H907&gt;0,'LISTA DE PRECIOS'!E907,"")</f>
        <v/>
      </c>
      <c r="F893" t="str">
        <f>IF('LISTA DE PRECIOS'!$H907&gt;0,'LISTA DE PRECIOS'!F907,"")</f>
        <v/>
      </c>
      <c r="G893" s="31" t="str">
        <f>IF('LISTA DE PRECIOS'!$H907&gt;0,'LISTA DE PRECIOS'!G907,"")</f>
        <v/>
      </c>
      <c r="H893" s="67" t="str">
        <f>IF('LISTA DE PRECIOS'!$H907&gt;0,'LISTA DE PRECIOS'!H907,"")</f>
        <v/>
      </c>
      <c r="I893" s="31" t="str">
        <f t="shared" si="12"/>
        <v/>
      </c>
    </row>
    <row r="894" spans="1:9">
      <c r="A894" t="str">
        <f>IF('LISTA DE PRECIOS'!$H908&gt;0,'LISTA DE PRECIOS'!A908,"")</f>
        <v/>
      </c>
      <c r="B894" t="str">
        <f>IF('LISTA DE PRECIOS'!$H908&gt;0,'LISTA DE PRECIOS'!B908,"")</f>
        <v/>
      </c>
      <c r="C894" t="str">
        <f>IF('LISTA DE PRECIOS'!$H908&gt;0,'LISTA DE PRECIOS'!C908,"")</f>
        <v/>
      </c>
      <c r="D894" s="67" t="str">
        <f>IF('LISTA DE PRECIOS'!$H908&gt;0,'LISTA DE PRECIOS'!D908,"")</f>
        <v/>
      </c>
      <c r="E894" t="str">
        <f>IF('LISTA DE PRECIOS'!$H908&gt;0,'LISTA DE PRECIOS'!E908,"")</f>
        <v/>
      </c>
      <c r="F894" t="str">
        <f>IF('LISTA DE PRECIOS'!$H908&gt;0,'LISTA DE PRECIOS'!F908,"")</f>
        <v/>
      </c>
      <c r="G894" s="31" t="str">
        <f>IF('LISTA DE PRECIOS'!$H908&gt;0,'LISTA DE PRECIOS'!G908,"")</f>
        <v/>
      </c>
      <c r="H894" s="67" t="str">
        <f>IF('LISTA DE PRECIOS'!$H908&gt;0,'LISTA DE PRECIOS'!H908,"")</f>
        <v/>
      </c>
      <c r="I894" s="31" t="str">
        <f t="shared" si="12"/>
        <v/>
      </c>
    </row>
    <row r="895" spans="1:9">
      <c r="A895" t="str">
        <f>IF('LISTA DE PRECIOS'!$H909&gt;0,'LISTA DE PRECIOS'!A909,"")</f>
        <v/>
      </c>
      <c r="B895" t="str">
        <f>IF('LISTA DE PRECIOS'!$H909&gt;0,'LISTA DE PRECIOS'!B909,"")</f>
        <v/>
      </c>
      <c r="C895" t="str">
        <f>IF('LISTA DE PRECIOS'!$H909&gt;0,'LISTA DE PRECIOS'!C909,"")</f>
        <v/>
      </c>
      <c r="D895" s="67" t="str">
        <f>IF('LISTA DE PRECIOS'!$H909&gt;0,'LISTA DE PRECIOS'!D909,"")</f>
        <v/>
      </c>
      <c r="E895" t="str">
        <f>IF('LISTA DE PRECIOS'!$H909&gt;0,'LISTA DE PRECIOS'!E909,"")</f>
        <v/>
      </c>
      <c r="F895" t="str">
        <f>IF('LISTA DE PRECIOS'!$H909&gt;0,'LISTA DE PRECIOS'!F909,"")</f>
        <v/>
      </c>
      <c r="G895" s="31" t="str">
        <f>IF('LISTA DE PRECIOS'!$H909&gt;0,'LISTA DE PRECIOS'!G909,"")</f>
        <v/>
      </c>
      <c r="H895" s="67" t="str">
        <f>IF('LISTA DE PRECIOS'!$H909&gt;0,'LISTA DE PRECIOS'!H909,"")</f>
        <v/>
      </c>
      <c r="I895" s="31" t="str">
        <f t="shared" si="12"/>
        <v/>
      </c>
    </row>
    <row r="896" spans="1:9">
      <c r="A896" t="str">
        <f>IF('LISTA DE PRECIOS'!$H910&gt;0,'LISTA DE PRECIOS'!A910,"")</f>
        <v/>
      </c>
      <c r="B896" t="str">
        <f>IF('LISTA DE PRECIOS'!$H910&gt;0,'LISTA DE PRECIOS'!B910,"")</f>
        <v/>
      </c>
      <c r="C896" t="str">
        <f>IF('LISTA DE PRECIOS'!$H910&gt;0,'LISTA DE PRECIOS'!C910,"")</f>
        <v/>
      </c>
      <c r="D896" s="67" t="str">
        <f>IF('LISTA DE PRECIOS'!$H910&gt;0,'LISTA DE PRECIOS'!D910,"")</f>
        <v/>
      </c>
      <c r="E896" t="str">
        <f>IF('LISTA DE PRECIOS'!$H910&gt;0,'LISTA DE PRECIOS'!E910,"")</f>
        <v/>
      </c>
      <c r="F896" t="str">
        <f>IF('LISTA DE PRECIOS'!$H910&gt;0,'LISTA DE PRECIOS'!F910,"")</f>
        <v/>
      </c>
      <c r="G896" s="31" t="str">
        <f>IF('LISTA DE PRECIOS'!$H910&gt;0,'LISTA DE PRECIOS'!G910,"")</f>
        <v/>
      </c>
      <c r="H896" s="67" t="str">
        <f>IF('LISTA DE PRECIOS'!$H910&gt;0,'LISTA DE PRECIOS'!H910,"")</f>
        <v/>
      </c>
      <c r="I896" s="31" t="str">
        <f t="shared" si="12"/>
        <v/>
      </c>
    </row>
    <row r="897" spans="1:9">
      <c r="A897" t="str">
        <f>IF('LISTA DE PRECIOS'!$H911&gt;0,'LISTA DE PRECIOS'!A911,"")</f>
        <v/>
      </c>
      <c r="B897" t="str">
        <f>IF('LISTA DE PRECIOS'!$H911&gt;0,'LISTA DE PRECIOS'!B911,"")</f>
        <v/>
      </c>
      <c r="C897" t="str">
        <f>IF('LISTA DE PRECIOS'!$H911&gt;0,'LISTA DE PRECIOS'!C911,"")</f>
        <v/>
      </c>
      <c r="D897" s="67" t="str">
        <f>IF('LISTA DE PRECIOS'!$H911&gt;0,'LISTA DE PRECIOS'!D911,"")</f>
        <v/>
      </c>
      <c r="E897" t="str">
        <f>IF('LISTA DE PRECIOS'!$H911&gt;0,'LISTA DE PRECIOS'!E911,"")</f>
        <v/>
      </c>
      <c r="F897" t="str">
        <f>IF('LISTA DE PRECIOS'!$H911&gt;0,'LISTA DE PRECIOS'!F911,"")</f>
        <v/>
      </c>
      <c r="G897" s="31" t="str">
        <f>IF('LISTA DE PRECIOS'!$H911&gt;0,'LISTA DE PRECIOS'!G911,"")</f>
        <v/>
      </c>
      <c r="H897" s="67" t="str">
        <f>IF('LISTA DE PRECIOS'!$H911&gt;0,'LISTA DE PRECIOS'!H911,"")</f>
        <v/>
      </c>
      <c r="I897" s="31" t="str">
        <f t="shared" si="12"/>
        <v/>
      </c>
    </row>
    <row r="898" spans="1:9">
      <c r="A898" t="str">
        <f>IF('LISTA DE PRECIOS'!$H912&gt;0,'LISTA DE PRECIOS'!A912,"")</f>
        <v/>
      </c>
      <c r="B898" t="str">
        <f>IF('LISTA DE PRECIOS'!$H912&gt;0,'LISTA DE PRECIOS'!B912,"")</f>
        <v/>
      </c>
      <c r="C898" t="str">
        <f>IF('LISTA DE PRECIOS'!$H912&gt;0,'LISTA DE PRECIOS'!C912,"")</f>
        <v/>
      </c>
      <c r="D898" s="67" t="str">
        <f>IF('LISTA DE PRECIOS'!$H912&gt;0,'LISTA DE PRECIOS'!D912,"")</f>
        <v/>
      </c>
      <c r="E898" t="str">
        <f>IF('LISTA DE PRECIOS'!$H912&gt;0,'LISTA DE PRECIOS'!E912,"")</f>
        <v/>
      </c>
      <c r="F898" t="str">
        <f>IF('LISTA DE PRECIOS'!$H912&gt;0,'LISTA DE PRECIOS'!F912,"")</f>
        <v/>
      </c>
      <c r="G898" s="31" t="str">
        <f>IF('LISTA DE PRECIOS'!$H912&gt;0,'LISTA DE PRECIOS'!G912,"")</f>
        <v/>
      </c>
      <c r="H898" s="67" t="str">
        <f>IF('LISTA DE PRECIOS'!$H912&gt;0,'LISTA DE PRECIOS'!H912,"")</f>
        <v/>
      </c>
      <c r="I898" s="31" t="str">
        <f t="shared" si="12"/>
        <v/>
      </c>
    </row>
    <row r="899" spans="1:9">
      <c r="A899" t="str">
        <f>IF('LISTA DE PRECIOS'!$H913&gt;0,'LISTA DE PRECIOS'!A913,"")</f>
        <v/>
      </c>
      <c r="B899" t="str">
        <f>IF('LISTA DE PRECIOS'!$H913&gt;0,'LISTA DE PRECIOS'!B913,"")</f>
        <v/>
      </c>
      <c r="C899" t="str">
        <f>IF('LISTA DE PRECIOS'!$H913&gt;0,'LISTA DE PRECIOS'!C913,"")</f>
        <v/>
      </c>
      <c r="D899" s="67" t="str">
        <f>IF('LISTA DE PRECIOS'!$H913&gt;0,'LISTA DE PRECIOS'!D913,"")</f>
        <v/>
      </c>
      <c r="E899" t="str">
        <f>IF('LISTA DE PRECIOS'!$H913&gt;0,'LISTA DE PRECIOS'!E913,"")</f>
        <v/>
      </c>
      <c r="F899" t="str">
        <f>IF('LISTA DE PRECIOS'!$H913&gt;0,'LISTA DE PRECIOS'!F913,"")</f>
        <v/>
      </c>
      <c r="G899" s="31" t="str">
        <f>IF('LISTA DE PRECIOS'!$H913&gt;0,'LISTA DE PRECIOS'!G913,"")</f>
        <v/>
      </c>
      <c r="H899" s="67" t="str">
        <f>IF('LISTA DE PRECIOS'!$H913&gt;0,'LISTA DE PRECIOS'!H913,"")</f>
        <v/>
      </c>
      <c r="I899" s="31" t="str">
        <f t="shared" si="12"/>
        <v/>
      </c>
    </row>
    <row r="900" spans="1:9">
      <c r="A900" t="str">
        <f>IF('LISTA DE PRECIOS'!$H914&gt;0,'LISTA DE PRECIOS'!A914,"")</f>
        <v/>
      </c>
      <c r="B900" t="str">
        <f>IF('LISTA DE PRECIOS'!$H914&gt;0,'LISTA DE PRECIOS'!B914,"")</f>
        <v/>
      </c>
      <c r="C900" t="str">
        <f>IF('LISTA DE PRECIOS'!$H914&gt;0,'LISTA DE PRECIOS'!C914,"")</f>
        <v/>
      </c>
      <c r="D900" s="67" t="str">
        <f>IF('LISTA DE PRECIOS'!$H914&gt;0,'LISTA DE PRECIOS'!D914,"")</f>
        <v/>
      </c>
      <c r="E900" t="str">
        <f>IF('LISTA DE PRECIOS'!$H914&gt;0,'LISTA DE PRECIOS'!E914,"")</f>
        <v/>
      </c>
      <c r="F900" t="str">
        <f>IF('LISTA DE PRECIOS'!$H914&gt;0,'LISTA DE PRECIOS'!F914,"")</f>
        <v/>
      </c>
      <c r="G900" s="31" t="str">
        <f>IF('LISTA DE PRECIOS'!$H914&gt;0,'LISTA DE PRECIOS'!G914,"")</f>
        <v/>
      </c>
      <c r="H900" s="67" t="str">
        <f>IF('LISTA DE PRECIOS'!$H914&gt;0,'LISTA DE PRECIOS'!H914,"")</f>
        <v/>
      </c>
      <c r="I900" s="31" t="str">
        <f t="shared" si="12"/>
        <v/>
      </c>
    </row>
    <row r="901" spans="1:9">
      <c r="A901" t="str">
        <f>IF('LISTA DE PRECIOS'!$H915&gt;0,'LISTA DE PRECIOS'!A915,"")</f>
        <v/>
      </c>
      <c r="B901" t="str">
        <f>IF('LISTA DE PRECIOS'!$H915&gt;0,'LISTA DE PRECIOS'!B915,"")</f>
        <v/>
      </c>
      <c r="C901" t="str">
        <f>IF('LISTA DE PRECIOS'!$H915&gt;0,'LISTA DE PRECIOS'!C915,"")</f>
        <v/>
      </c>
      <c r="D901" s="67" t="str">
        <f>IF('LISTA DE PRECIOS'!$H915&gt;0,'LISTA DE PRECIOS'!D915,"")</f>
        <v/>
      </c>
      <c r="E901" t="str">
        <f>IF('LISTA DE PRECIOS'!$H915&gt;0,'LISTA DE PRECIOS'!E915,"")</f>
        <v/>
      </c>
      <c r="F901" t="str">
        <f>IF('LISTA DE PRECIOS'!$H915&gt;0,'LISTA DE PRECIOS'!F915,"")</f>
        <v/>
      </c>
      <c r="G901" s="31" t="str">
        <f>IF('LISTA DE PRECIOS'!$H915&gt;0,'LISTA DE PRECIOS'!G915,"")</f>
        <v/>
      </c>
      <c r="H901" s="67" t="str">
        <f>IF('LISTA DE PRECIOS'!$H915&gt;0,'LISTA DE PRECIOS'!H915,"")</f>
        <v/>
      </c>
      <c r="I901" s="31" t="str">
        <f t="shared" si="12"/>
        <v/>
      </c>
    </row>
    <row r="902" spans="1:9">
      <c r="A902" t="str">
        <f>IF('LISTA DE PRECIOS'!$H916&gt;0,'LISTA DE PRECIOS'!A916,"")</f>
        <v/>
      </c>
      <c r="B902" t="str">
        <f>IF('LISTA DE PRECIOS'!$H916&gt;0,'LISTA DE PRECIOS'!B916,"")</f>
        <v/>
      </c>
      <c r="C902" t="str">
        <f>IF('LISTA DE PRECIOS'!$H916&gt;0,'LISTA DE PRECIOS'!C916,"")</f>
        <v/>
      </c>
      <c r="D902" s="67" t="str">
        <f>IF('LISTA DE PRECIOS'!$H916&gt;0,'LISTA DE PRECIOS'!D916,"")</f>
        <v/>
      </c>
      <c r="E902" t="str">
        <f>IF('LISTA DE PRECIOS'!$H916&gt;0,'LISTA DE PRECIOS'!E916,"")</f>
        <v/>
      </c>
      <c r="F902" t="str">
        <f>IF('LISTA DE PRECIOS'!$H916&gt;0,'LISTA DE PRECIOS'!F916,"")</f>
        <v/>
      </c>
      <c r="G902" s="31" t="str">
        <f>IF('LISTA DE PRECIOS'!$H916&gt;0,'LISTA DE PRECIOS'!G916,"")</f>
        <v/>
      </c>
      <c r="H902" s="67" t="str">
        <f>IF('LISTA DE PRECIOS'!$H916&gt;0,'LISTA DE PRECIOS'!H916,"")</f>
        <v/>
      </c>
      <c r="I902" s="31" t="str">
        <f t="shared" si="12"/>
        <v/>
      </c>
    </row>
    <row r="903" spans="1:9">
      <c r="A903" t="str">
        <f>IF('LISTA DE PRECIOS'!$H917&gt;0,'LISTA DE PRECIOS'!A917,"")</f>
        <v/>
      </c>
      <c r="B903" t="str">
        <f>IF('LISTA DE PRECIOS'!$H917&gt;0,'LISTA DE PRECIOS'!B917,"")</f>
        <v/>
      </c>
      <c r="C903" t="str">
        <f>IF('LISTA DE PRECIOS'!$H917&gt;0,'LISTA DE PRECIOS'!C917,"")</f>
        <v/>
      </c>
      <c r="D903" s="67" t="str">
        <f>IF('LISTA DE PRECIOS'!$H917&gt;0,'LISTA DE PRECIOS'!D917,"")</f>
        <v/>
      </c>
      <c r="E903" t="str">
        <f>IF('LISTA DE PRECIOS'!$H917&gt;0,'LISTA DE PRECIOS'!E917,"")</f>
        <v/>
      </c>
      <c r="F903" t="str">
        <f>IF('LISTA DE PRECIOS'!$H917&gt;0,'LISTA DE PRECIOS'!F917,"")</f>
        <v/>
      </c>
      <c r="G903" s="31" t="str">
        <f>IF('LISTA DE PRECIOS'!$H917&gt;0,'LISTA DE PRECIOS'!G917,"")</f>
        <v/>
      </c>
      <c r="H903" s="67" t="str">
        <f>IF('LISTA DE PRECIOS'!$H917&gt;0,'LISTA DE PRECIOS'!H917,"")</f>
        <v/>
      </c>
      <c r="I903" s="31" t="str">
        <f t="shared" si="12"/>
        <v/>
      </c>
    </row>
    <row r="904" spans="1:9">
      <c r="A904" t="str">
        <f>IF('LISTA DE PRECIOS'!$H918&gt;0,'LISTA DE PRECIOS'!A918,"")</f>
        <v/>
      </c>
      <c r="B904" t="str">
        <f>IF('LISTA DE PRECIOS'!$H918&gt;0,'LISTA DE PRECIOS'!B918,"")</f>
        <v/>
      </c>
      <c r="C904" t="str">
        <f>IF('LISTA DE PRECIOS'!$H918&gt;0,'LISTA DE PRECIOS'!C918,"")</f>
        <v/>
      </c>
      <c r="D904" s="67" t="str">
        <f>IF('LISTA DE PRECIOS'!$H918&gt;0,'LISTA DE PRECIOS'!D918,"")</f>
        <v/>
      </c>
      <c r="E904" t="str">
        <f>IF('LISTA DE PRECIOS'!$H918&gt;0,'LISTA DE PRECIOS'!E918,"")</f>
        <v/>
      </c>
      <c r="F904" t="str">
        <f>IF('LISTA DE PRECIOS'!$H918&gt;0,'LISTA DE PRECIOS'!F918,"")</f>
        <v/>
      </c>
      <c r="G904" s="31" t="str">
        <f>IF('LISTA DE PRECIOS'!$H918&gt;0,'LISTA DE PRECIOS'!G918,"")</f>
        <v/>
      </c>
      <c r="H904" s="67" t="str">
        <f>IF('LISTA DE PRECIOS'!$H918&gt;0,'LISTA DE PRECIOS'!H918,"")</f>
        <v/>
      </c>
      <c r="I904" s="31" t="str">
        <f t="shared" si="12"/>
        <v/>
      </c>
    </row>
    <row r="905" spans="1:9">
      <c r="A905" t="str">
        <f>IF('LISTA DE PRECIOS'!$H919&gt;0,'LISTA DE PRECIOS'!A919,"")</f>
        <v/>
      </c>
      <c r="B905" t="str">
        <f>IF('LISTA DE PRECIOS'!$H919&gt;0,'LISTA DE PRECIOS'!B919,"")</f>
        <v/>
      </c>
      <c r="C905" t="str">
        <f>IF('LISTA DE PRECIOS'!$H919&gt;0,'LISTA DE PRECIOS'!C919,"")</f>
        <v/>
      </c>
      <c r="D905" s="67" t="str">
        <f>IF('LISTA DE PRECIOS'!$H919&gt;0,'LISTA DE PRECIOS'!D919,"")</f>
        <v/>
      </c>
      <c r="E905" t="str">
        <f>IF('LISTA DE PRECIOS'!$H919&gt;0,'LISTA DE PRECIOS'!E919,"")</f>
        <v/>
      </c>
      <c r="F905" t="str">
        <f>IF('LISTA DE PRECIOS'!$H919&gt;0,'LISTA DE PRECIOS'!F919,"")</f>
        <v/>
      </c>
      <c r="G905" s="31" t="str">
        <f>IF('LISTA DE PRECIOS'!$H919&gt;0,'LISTA DE PRECIOS'!G919,"")</f>
        <v/>
      </c>
      <c r="H905" s="67" t="str">
        <f>IF('LISTA DE PRECIOS'!$H919&gt;0,'LISTA DE PRECIOS'!H919,"")</f>
        <v/>
      </c>
      <c r="I905" s="31" t="str">
        <f t="shared" si="12"/>
        <v/>
      </c>
    </row>
    <row r="906" spans="1:9">
      <c r="A906" t="str">
        <f>IF('LISTA DE PRECIOS'!$H920&gt;0,'LISTA DE PRECIOS'!A920,"")</f>
        <v/>
      </c>
      <c r="B906" t="str">
        <f>IF('LISTA DE PRECIOS'!$H920&gt;0,'LISTA DE PRECIOS'!B920,"")</f>
        <v/>
      </c>
      <c r="C906" t="str">
        <f>IF('LISTA DE PRECIOS'!$H920&gt;0,'LISTA DE PRECIOS'!C920,"")</f>
        <v/>
      </c>
      <c r="D906" s="67" t="str">
        <f>IF('LISTA DE PRECIOS'!$H920&gt;0,'LISTA DE PRECIOS'!D920,"")</f>
        <v/>
      </c>
      <c r="E906" t="str">
        <f>IF('LISTA DE PRECIOS'!$H920&gt;0,'LISTA DE PRECIOS'!E920,"")</f>
        <v/>
      </c>
      <c r="F906" t="str">
        <f>IF('LISTA DE PRECIOS'!$H920&gt;0,'LISTA DE PRECIOS'!F920,"")</f>
        <v/>
      </c>
      <c r="G906" s="31" t="str">
        <f>IF('LISTA DE PRECIOS'!$H920&gt;0,'LISTA DE PRECIOS'!G920,"")</f>
        <v/>
      </c>
      <c r="H906" s="67" t="str">
        <f>IF('LISTA DE PRECIOS'!$H920&gt;0,'LISTA DE PRECIOS'!H920,"")</f>
        <v/>
      </c>
      <c r="I906" s="31" t="str">
        <f t="shared" si="12"/>
        <v/>
      </c>
    </row>
    <row r="907" spans="1:9">
      <c r="A907" t="str">
        <f>IF('LISTA DE PRECIOS'!$H921&gt;0,'LISTA DE PRECIOS'!A921,"")</f>
        <v/>
      </c>
      <c r="B907" t="str">
        <f>IF('LISTA DE PRECIOS'!$H921&gt;0,'LISTA DE PRECIOS'!B921,"")</f>
        <v/>
      </c>
      <c r="C907" t="str">
        <f>IF('LISTA DE PRECIOS'!$H921&gt;0,'LISTA DE PRECIOS'!C921,"")</f>
        <v/>
      </c>
      <c r="D907" s="67" t="str">
        <f>IF('LISTA DE PRECIOS'!$H921&gt;0,'LISTA DE PRECIOS'!D921,"")</f>
        <v/>
      </c>
      <c r="E907" t="str">
        <f>IF('LISTA DE PRECIOS'!$H921&gt;0,'LISTA DE PRECIOS'!E921,"")</f>
        <v/>
      </c>
      <c r="F907" t="str">
        <f>IF('LISTA DE PRECIOS'!$H921&gt;0,'LISTA DE PRECIOS'!F921,"")</f>
        <v/>
      </c>
      <c r="G907" s="31" t="str">
        <f>IF('LISTA DE PRECIOS'!$H921&gt;0,'LISTA DE PRECIOS'!G921,"")</f>
        <v/>
      </c>
      <c r="H907" s="67" t="str">
        <f>IF('LISTA DE PRECIOS'!$H921&gt;0,'LISTA DE PRECIOS'!H921,"")</f>
        <v/>
      </c>
      <c r="I907" s="31" t="str">
        <f t="shared" si="12"/>
        <v/>
      </c>
    </row>
    <row r="908" spans="1:9">
      <c r="A908" t="str">
        <f>IF('LISTA DE PRECIOS'!$H922&gt;0,'LISTA DE PRECIOS'!A922,"")</f>
        <v/>
      </c>
      <c r="B908" t="str">
        <f>IF('LISTA DE PRECIOS'!$H922&gt;0,'LISTA DE PRECIOS'!B922,"")</f>
        <v/>
      </c>
      <c r="C908" t="str">
        <f>IF('LISTA DE PRECIOS'!$H922&gt;0,'LISTA DE PRECIOS'!C922,"")</f>
        <v/>
      </c>
      <c r="D908" s="67" t="str">
        <f>IF('LISTA DE PRECIOS'!$H922&gt;0,'LISTA DE PRECIOS'!D922,"")</f>
        <v/>
      </c>
      <c r="E908" t="str">
        <f>IF('LISTA DE PRECIOS'!$H922&gt;0,'LISTA DE PRECIOS'!E922,"")</f>
        <v/>
      </c>
      <c r="F908" t="str">
        <f>IF('LISTA DE PRECIOS'!$H922&gt;0,'LISTA DE PRECIOS'!F922,"")</f>
        <v/>
      </c>
      <c r="G908" s="31" t="str">
        <f>IF('LISTA DE PRECIOS'!$H922&gt;0,'LISTA DE PRECIOS'!G922,"")</f>
        <v/>
      </c>
      <c r="H908" s="67" t="str">
        <f>IF('LISTA DE PRECIOS'!$H922&gt;0,'LISTA DE PRECIOS'!H922,"")</f>
        <v/>
      </c>
      <c r="I908" s="31" t="str">
        <f t="shared" si="12"/>
        <v/>
      </c>
    </row>
    <row r="909" spans="1:9">
      <c r="A909" t="str">
        <f>IF('LISTA DE PRECIOS'!$H923&gt;0,'LISTA DE PRECIOS'!A923,"")</f>
        <v/>
      </c>
      <c r="B909" t="str">
        <f>IF('LISTA DE PRECIOS'!$H923&gt;0,'LISTA DE PRECIOS'!B923,"")</f>
        <v/>
      </c>
      <c r="C909" t="str">
        <f>IF('LISTA DE PRECIOS'!$H923&gt;0,'LISTA DE PRECIOS'!C923,"")</f>
        <v/>
      </c>
      <c r="D909" s="67" t="str">
        <f>IF('LISTA DE PRECIOS'!$H923&gt;0,'LISTA DE PRECIOS'!D923,"")</f>
        <v/>
      </c>
      <c r="E909" t="str">
        <f>IF('LISTA DE PRECIOS'!$H923&gt;0,'LISTA DE PRECIOS'!E923,"")</f>
        <v/>
      </c>
      <c r="F909" t="str">
        <f>IF('LISTA DE PRECIOS'!$H923&gt;0,'LISTA DE PRECIOS'!F923,"")</f>
        <v/>
      </c>
      <c r="G909" s="31" t="str">
        <f>IF('LISTA DE PRECIOS'!$H923&gt;0,'LISTA DE PRECIOS'!G923,"")</f>
        <v/>
      </c>
      <c r="H909" s="67" t="str">
        <f>IF('LISTA DE PRECIOS'!$H923&gt;0,'LISTA DE PRECIOS'!H923,"")</f>
        <v/>
      </c>
      <c r="I909" s="31" t="str">
        <f t="shared" si="12"/>
        <v/>
      </c>
    </row>
    <row r="910" spans="1:9">
      <c r="A910" t="str">
        <f>IF('LISTA DE PRECIOS'!$H924&gt;0,'LISTA DE PRECIOS'!A924,"")</f>
        <v/>
      </c>
      <c r="B910" t="str">
        <f>IF('LISTA DE PRECIOS'!$H924&gt;0,'LISTA DE PRECIOS'!B924,"")</f>
        <v/>
      </c>
      <c r="C910" t="str">
        <f>IF('LISTA DE PRECIOS'!$H924&gt;0,'LISTA DE PRECIOS'!C924,"")</f>
        <v/>
      </c>
      <c r="D910" s="67" t="str">
        <f>IF('LISTA DE PRECIOS'!$H924&gt;0,'LISTA DE PRECIOS'!D924,"")</f>
        <v/>
      </c>
      <c r="E910" t="str">
        <f>IF('LISTA DE PRECIOS'!$H924&gt;0,'LISTA DE PRECIOS'!E924,"")</f>
        <v/>
      </c>
      <c r="F910" t="str">
        <f>IF('LISTA DE PRECIOS'!$H924&gt;0,'LISTA DE PRECIOS'!F924,"")</f>
        <v/>
      </c>
      <c r="G910" s="31" t="str">
        <f>IF('LISTA DE PRECIOS'!$H924&gt;0,'LISTA DE PRECIOS'!G924,"")</f>
        <v/>
      </c>
      <c r="H910" s="67" t="str">
        <f>IF('LISTA DE PRECIOS'!$H924&gt;0,'LISTA DE PRECIOS'!H924,"")</f>
        <v/>
      </c>
      <c r="I910" s="31" t="str">
        <f t="shared" si="12"/>
        <v/>
      </c>
    </row>
    <row r="911" spans="1:9">
      <c r="A911" t="str">
        <f>IF('LISTA DE PRECIOS'!$H925&gt;0,'LISTA DE PRECIOS'!A925,"")</f>
        <v/>
      </c>
      <c r="B911" t="str">
        <f>IF('LISTA DE PRECIOS'!$H925&gt;0,'LISTA DE PRECIOS'!B925,"")</f>
        <v/>
      </c>
      <c r="C911" t="str">
        <f>IF('LISTA DE PRECIOS'!$H925&gt;0,'LISTA DE PRECIOS'!C925,"")</f>
        <v/>
      </c>
      <c r="D911" s="67" t="str">
        <f>IF('LISTA DE PRECIOS'!$H925&gt;0,'LISTA DE PRECIOS'!D925,"")</f>
        <v/>
      </c>
      <c r="E911" t="str">
        <f>IF('LISTA DE PRECIOS'!$H925&gt;0,'LISTA DE PRECIOS'!E925,"")</f>
        <v/>
      </c>
      <c r="F911" t="str">
        <f>IF('LISTA DE PRECIOS'!$H925&gt;0,'LISTA DE PRECIOS'!F925,"")</f>
        <v/>
      </c>
      <c r="G911" s="31" t="str">
        <f>IF('LISTA DE PRECIOS'!$H925&gt;0,'LISTA DE PRECIOS'!G925,"")</f>
        <v/>
      </c>
      <c r="H911" s="67" t="str">
        <f>IF('LISTA DE PRECIOS'!$H925&gt;0,'LISTA DE PRECIOS'!H925,"")</f>
        <v/>
      </c>
      <c r="I911" s="31" t="str">
        <f t="shared" si="12"/>
        <v/>
      </c>
    </row>
    <row r="912" spans="1:9">
      <c r="A912" t="str">
        <f>IF('LISTA DE PRECIOS'!$H926&gt;0,'LISTA DE PRECIOS'!A926,"")</f>
        <v/>
      </c>
      <c r="B912" t="str">
        <f>IF('LISTA DE PRECIOS'!$H926&gt;0,'LISTA DE PRECIOS'!B926,"")</f>
        <v/>
      </c>
      <c r="C912" t="str">
        <f>IF('LISTA DE PRECIOS'!$H926&gt;0,'LISTA DE PRECIOS'!C926,"")</f>
        <v/>
      </c>
      <c r="D912" s="67" t="str">
        <f>IF('LISTA DE PRECIOS'!$H926&gt;0,'LISTA DE PRECIOS'!D926,"")</f>
        <v/>
      </c>
      <c r="E912" t="str">
        <f>IF('LISTA DE PRECIOS'!$H926&gt;0,'LISTA DE PRECIOS'!E926,"")</f>
        <v/>
      </c>
      <c r="F912" t="str">
        <f>IF('LISTA DE PRECIOS'!$H926&gt;0,'LISTA DE PRECIOS'!F926,"")</f>
        <v/>
      </c>
      <c r="G912" s="31" t="str">
        <f>IF('LISTA DE PRECIOS'!$H926&gt;0,'LISTA DE PRECIOS'!G926,"")</f>
        <v/>
      </c>
      <c r="H912" s="34" t="str">
        <f>IF('LISTA DE PRECIOS'!$H926&gt;0,'LISTA DE PRECIOS'!H926,"")</f>
        <v/>
      </c>
      <c r="I912" s="33" t="str">
        <f t="shared" si="12"/>
        <v/>
      </c>
    </row>
    <row r="913" spans="1:9">
      <c r="A913" t="str">
        <f>IF('LISTA DE PRECIOS'!$H927&gt;0,'LISTA DE PRECIOS'!A927,"")</f>
        <v/>
      </c>
      <c r="B913" t="str">
        <f>IF('LISTA DE PRECIOS'!$H927&gt;0,'LISTA DE PRECIOS'!B927,"")</f>
        <v/>
      </c>
      <c r="C913" t="str">
        <f>IF('LISTA DE PRECIOS'!$H927&gt;0,'LISTA DE PRECIOS'!C927,"")</f>
        <v/>
      </c>
      <c r="D913" s="67" t="str">
        <f>IF('LISTA DE PRECIOS'!$H927&gt;0,'LISTA DE PRECIOS'!D927,"")</f>
        <v/>
      </c>
      <c r="E913" t="str">
        <f>IF('LISTA DE PRECIOS'!$H927&gt;0,'LISTA DE PRECIOS'!E927,"")</f>
        <v/>
      </c>
      <c r="F913" t="str">
        <f>IF('LISTA DE PRECIOS'!$H927&gt;0,'LISTA DE PRECIOS'!F927,"")</f>
        <v/>
      </c>
      <c r="G913" s="31" t="str">
        <f>IF('LISTA DE PRECIOS'!$H927&gt;0,'LISTA DE PRECIOS'!G927,"")</f>
        <v/>
      </c>
      <c r="H913" s="67" t="str">
        <f>IF('LISTA DE PRECIOS'!$H927&gt;0,'LISTA DE PRECIOS'!H927,"")</f>
        <v/>
      </c>
      <c r="I913" s="31" t="str">
        <f t="shared" ref="I913:I976" si="13">IF(OR(G913="",H913=""),"",G913*H913)</f>
        <v/>
      </c>
    </row>
    <row r="914" spans="1:9">
      <c r="A914" t="str">
        <f>IF('LISTA DE PRECIOS'!$H928&gt;0,'LISTA DE PRECIOS'!A928,"")</f>
        <v/>
      </c>
      <c r="B914" t="str">
        <f>IF('LISTA DE PRECIOS'!$H928&gt;0,'LISTA DE PRECIOS'!B928,"")</f>
        <v/>
      </c>
      <c r="C914" t="str">
        <f>IF('LISTA DE PRECIOS'!$H928&gt;0,'LISTA DE PRECIOS'!C928,"")</f>
        <v/>
      </c>
      <c r="D914" s="67" t="str">
        <f>IF('LISTA DE PRECIOS'!$H928&gt;0,'LISTA DE PRECIOS'!D928,"")</f>
        <v/>
      </c>
      <c r="E914" t="str">
        <f>IF('LISTA DE PRECIOS'!$H928&gt;0,'LISTA DE PRECIOS'!E928,"")</f>
        <v/>
      </c>
      <c r="F914" t="str">
        <f>IF('LISTA DE PRECIOS'!$H928&gt;0,'LISTA DE PRECIOS'!F928,"")</f>
        <v/>
      </c>
      <c r="G914" s="31" t="str">
        <f>IF('LISTA DE PRECIOS'!$H928&gt;0,'LISTA DE PRECIOS'!G928,"")</f>
        <v/>
      </c>
      <c r="H914" s="67" t="str">
        <f>IF('LISTA DE PRECIOS'!$H928&gt;0,'LISTA DE PRECIOS'!H928,"")</f>
        <v/>
      </c>
      <c r="I914" s="31" t="str">
        <f t="shared" si="13"/>
        <v/>
      </c>
    </row>
    <row r="915" spans="1:9">
      <c r="A915" t="str">
        <f>IF('LISTA DE PRECIOS'!$H929&gt;0,'LISTA DE PRECIOS'!A929,"")</f>
        <v/>
      </c>
      <c r="B915" t="str">
        <f>IF('LISTA DE PRECIOS'!$H929&gt;0,'LISTA DE PRECIOS'!B929,"")</f>
        <v/>
      </c>
      <c r="C915" t="str">
        <f>IF('LISTA DE PRECIOS'!$H929&gt;0,'LISTA DE PRECIOS'!C929,"")</f>
        <v/>
      </c>
      <c r="D915" s="67" t="str">
        <f>IF('LISTA DE PRECIOS'!$H929&gt;0,'LISTA DE PRECIOS'!D929,"")</f>
        <v/>
      </c>
      <c r="E915" t="str">
        <f>IF('LISTA DE PRECIOS'!$H929&gt;0,'LISTA DE PRECIOS'!E929,"")</f>
        <v/>
      </c>
      <c r="F915" t="str">
        <f>IF('LISTA DE PRECIOS'!$H929&gt;0,'LISTA DE PRECIOS'!F929,"")</f>
        <v/>
      </c>
      <c r="G915" s="31" t="str">
        <f>IF('LISTA DE PRECIOS'!$H929&gt;0,'LISTA DE PRECIOS'!G929,"")</f>
        <v/>
      </c>
      <c r="H915" s="67" t="str">
        <f>IF('LISTA DE PRECIOS'!$H929&gt;0,'LISTA DE PRECIOS'!H929,"")</f>
        <v/>
      </c>
      <c r="I915" s="31" t="str">
        <f t="shared" si="13"/>
        <v/>
      </c>
    </row>
    <row r="916" spans="1:9">
      <c r="A916" t="str">
        <f>IF('LISTA DE PRECIOS'!$H930&gt;0,'LISTA DE PRECIOS'!A930,"")</f>
        <v/>
      </c>
      <c r="B916" t="str">
        <f>IF('LISTA DE PRECIOS'!$H930&gt;0,'LISTA DE PRECIOS'!B930,"")</f>
        <v/>
      </c>
      <c r="C916" t="str">
        <f>IF('LISTA DE PRECIOS'!$H930&gt;0,'LISTA DE PRECIOS'!C930,"")</f>
        <v/>
      </c>
      <c r="D916" s="67" t="str">
        <f>IF('LISTA DE PRECIOS'!$H930&gt;0,'LISTA DE PRECIOS'!D930,"")</f>
        <v/>
      </c>
      <c r="E916" t="str">
        <f>IF('LISTA DE PRECIOS'!$H930&gt;0,'LISTA DE PRECIOS'!E930,"")</f>
        <v/>
      </c>
      <c r="F916" t="str">
        <f>IF('LISTA DE PRECIOS'!$H930&gt;0,'LISTA DE PRECIOS'!F930,"")</f>
        <v/>
      </c>
      <c r="G916" s="31" t="str">
        <f>IF('LISTA DE PRECIOS'!$H930&gt;0,'LISTA DE PRECIOS'!G930,"")</f>
        <v/>
      </c>
      <c r="H916" s="67" t="str">
        <f>IF('LISTA DE PRECIOS'!$H930&gt;0,'LISTA DE PRECIOS'!H930,"")</f>
        <v/>
      </c>
      <c r="I916" s="31" t="str">
        <f t="shared" si="13"/>
        <v/>
      </c>
    </row>
    <row r="917" spans="1:9">
      <c r="A917" t="str">
        <f>IF('LISTA DE PRECIOS'!$H931&gt;0,'LISTA DE PRECIOS'!A931,"")</f>
        <v/>
      </c>
      <c r="B917" t="str">
        <f>IF('LISTA DE PRECIOS'!$H931&gt;0,'LISTA DE PRECIOS'!B931,"")</f>
        <v/>
      </c>
      <c r="C917" t="str">
        <f>IF('LISTA DE PRECIOS'!$H931&gt;0,'LISTA DE PRECIOS'!C931,"")</f>
        <v/>
      </c>
      <c r="D917" s="67" t="str">
        <f>IF('LISTA DE PRECIOS'!$H931&gt;0,'LISTA DE PRECIOS'!D931,"")</f>
        <v/>
      </c>
      <c r="E917" t="str">
        <f>IF('LISTA DE PRECIOS'!$H931&gt;0,'LISTA DE PRECIOS'!E931,"")</f>
        <v/>
      </c>
      <c r="F917" t="str">
        <f>IF('LISTA DE PRECIOS'!$H931&gt;0,'LISTA DE PRECIOS'!F931,"")</f>
        <v/>
      </c>
      <c r="G917" s="31" t="str">
        <f>IF('LISTA DE PRECIOS'!$H931&gt;0,'LISTA DE PRECIOS'!G931,"")</f>
        <v/>
      </c>
      <c r="H917" s="67" t="str">
        <f>IF('LISTA DE PRECIOS'!$H931&gt;0,'LISTA DE PRECIOS'!H931,"")</f>
        <v/>
      </c>
      <c r="I917" s="31" t="str">
        <f t="shared" si="13"/>
        <v/>
      </c>
    </row>
    <row r="918" spans="1:9">
      <c r="A918" t="str">
        <f>IF('LISTA DE PRECIOS'!$H932&gt;0,'LISTA DE PRECIOS'!A932,"")</f>
        <v/>
      </c>
      <c r="B918" t="str">
        <f>IF('LISTA DE PRECIOS'!$H932&gt;0,'LISTA DE PRECIOS'!B932,"")</f>
        <v/>
      </c>
      <c r="C918" t="str">
        <f>IF('LISTA DE PRECIOS'!$H932&gt;0,'LISTA DE PRECIOS'!C932,"")</f>
        <v/>
      </c>
      <c r="D918" s="67" t="str">
        <f>IF('LISTA DE PRECIOS'!$H932&gt;0,'LISTA DE PRECIOS'!D932,"")</f>
        <v/>
      </c>
      <c r="E918" t="str">
        <f>IF('LISTA DE PRECIOS'!$H932&gt;0,'LISTA DE PRECIOS'!E932,"")</f>
        <v/>
      </c>
      <c r="F918" t="str">
        <f>IF('LISTA DE PRECIOS'!$H932&gt;0,'LISTA DE PRECIOS'!F932,"")</f>
        <v/>
      </c>
      <c r="G918" s="31" t="str">
        <f>IF('LISTA DE PRECIOS'!$H932&gt;0,'LISTA DE PRECIOS'!G932,"")</f>
        <v/>
      </c>
      <c r="H918" s="67" t="str">
        <f>IF('LISTA DE PRECIOS'!$H932&gt;0,'LISTA DE PRECIOS'!H932,"")</f>
        <v/>
      </c>
      <c r="I918" s="31" t="str">
        <f t="shared" si="13"/>
        <v/>
      </c>
    </row>
    <row r="919" spans="1:9">
      <c r="A919" t="str">
        <f>IF('LISTA DE PRECIOS'!$H933&gt;0,'LISTA DE PRECIOS'!A933,"")</f>
        <v/>
      </c>
      <c r="B919" t="str">
        <f>IF('LISTA DE PRECIOS'!$H933&gt;0,'LISTA DE PRECIOS'!B933,"")</f>
        <v/>
      </c>
      <c r="C919" t="str">
        <f>IF('LISTA DE PRECIOS'!$H933&gt;0,'LISTA DE PRECIOS'!C933,"")</f>
        <v/>
      </c>
      <c r="D919" s="67" t="str">
        <f>IF('LISTA DE PRECIOS'!$H933&gt;0,'LISTA DE PRECIOS'!D933,"")</f>
        <v/>
      </c>
      <c r="E919" t="str">
        <f>IF('LISTA DE PRECIOS'!$H933&gt;0,'LISTA DE PRECIOS'!E933,"")</f>
        <v/>
      </c>
      <c r="F919" t="str">
        <f>IF('LISTA DE PRECIOS'!$H933&gt;0,'LISTA DE PRECIOS'!F933,"")</f>
        <v/>
      </c>
      <c r="G919" s="31" t="str">
        <f>IF('LISTA DE PRECIOS'!$H933&gt;0,'LISTA DE PRECIOS'!G933,"")</f>
        <v/>
      </c>
      <c r="H919" s="67" t="str">
        <f>IF('LISTA DE PRECIOS'!$H933&gt;0,'LISTA DE PRECIOS'!H933,"")</f>
        <v/>
      </c>
      <c r="I919" s="31" t="str">
        <f t="shared" si="13"/>
        <v/>
      </c>
    </row>
    <row r="920" spans="1:9">
      <c r="A920" t="str">
        <f>IF('LISTA DE PRECIOS'!$H934&gt;0,'LISTA DE PRECIOS'!A934,"")</f>
        <v/>
      </c>
      <c r="B920" t="str">
        <f>IF('LISTA DE PRECIOS'!$H934&gt;0,'LISTA DE PRECIOS'!B934,"")</f>
        <v/>
      </c>
      <c r="C920" t="str">
        <f>IF('LISTA DE PRECIOS'!$H934&gt;0,'LISTA DE PRECIOS'!C934,"")</f>
        <v/>
      </c>
      <c r="D920" s="67" t="str">
        <f>IF('LISTA DE PRECIOS'!$H934&gt;0,'LISTA DE PRECIOS'!D934,"")</f>
        <v/>
      </c>
      <c r="E920" t="str">
        <f>IF('LISTA DE PRECIOS'!$H934&gt;0,'LISTA DE PRECIOS'!E934,"")</f>
        <v/>
      </c>
      <c r="F920" t="str">
        <f>IF('LISTA DE PRECIOS'!$H934&gt;0,'LISTA DE PRECIOS'!F934,"")</f>
        <v/>
      </c>
      <c r="G920" s="31" t="str">
        <f>IF('LISTA DE PRECIOS'!$H934&gt;0,'LISTA DE PRECIOS'!G934,"")</f>
        <v/>
      </c>
      <c r="H920" s="67" t="str">
        <f>IF('LISTA DE PRECIOS'!$H934&gt;0,'LISTA DE PRECIOS'!H934,"")</f>
        <v/>
      </c>
      <c r="I920" s="31" t="str">
        <f t="shared" si="13"/>
        <v/>
      </c>
    </row>
    <row r="921" spans="1:9">
      <c r="A921" t="str">
        <f>IF('LISTA DE PRECIOS'!$H935&gt;0,'LISTA DE PRECIOS'!A935,"")</f>
        <v/>
      </c>
      <c r="B921" t="str">
        <f>IF('LISTA DE PRECIOS'!$H935&gt;0,'LISTA DE PRECIOS'!B935,"")</f>
        <v/>
      </c>
      <c r="C921" t="str">
        <f>IF('LISTA DE PRECIOS'!$H935&gt;0,'LISTA DE PRECIOS'!C935,"")</f>
        <v/>
      </c>
      <c r="D921" s="67" t="str">
        <f>IF('LISTA DE PRECIOS'!$H935&gt;0,'LISTA DE PRECIOS'!D935,"")</f>
        <v/>
      </c>
      <c r="E921" t="str">
        <f>IF('LISTA DE PRECIOS'!$H935&gt;0,'LISTA DE PRECIOS'!E935,"")</f>
        <v/>
      </c>
      <c r="F921" t="str">
        <f>IF('LISTA DE PRECIOS'!$H935&gt;0,'LISTA DE PRECIOS'!F935,"")</f>
        <v/>
      </c>
      <c r="G921" s="31" t="str">
        <f>IF('LISTA DE PRECIOS'!$H935&gt;0,'LISTA DE PRECIOS'!G935,"")</f>
        <v/>
      </c>
      <c r="H921" s="67" t="str">
        <f>IF('LISTA DE PRECIOS'!$H935&gt;0,'LISTA DE PRECIOS'!H935,"")</f>
        <v/>
      </c>
      <c r="I921" s="31" t="str">
        <f t="shared" si="13"/>
        <v/>
      </c>
    </row>
    <row r="922" spans="1:9">
      <c r="A922" t="str">
        <f>IF('LISTA DE PRECIOS'!$H936&gt;0,'LISTA DE PRECIOS'!A936,"")</f>
        <v/>
      </c>
      <c r="B922" t="str">
        <f>IF('LISTA DE PRECIOS'!$H936&gt;0,'LISTA DE PRECIOS'!B936,"")</f>
        <v/>
      </c>
      <c r="C922" t="str">
        <f>IF('LISTA DE PRECIOS'!$H936&gt;0,'LISTA DE PRECIOS'!C936,"")</f>
        <v/>
      </c>
      <c r="D922" s="67" t="str">
        <f>IF('LISTA DE PRECIOS'!$H936&gt;0,'LISTA DE PRECIOS'!D936,"")</f>
        <v/>
      </c>
      <c r="E922" t="str">
        <f>IF('LISTA DE PRECIOS'!$H936&gt;0,'LISTA DE PRECIOS'!E936,"")</f>
        <v/>
      </c>
      <c r="F922" t="str">
        <f>IF('LISTA DE PRECIOS'!$H936&gt;0,'LISTA DE PRECIOS'!F936,"")</f>
        <v/>
      </c>
      <c r="G922" s="31" t="str">
        <f>IF('LISTA DE PRECIOS'!$H936&gt;0,'LISTA DE PRECIOS'!G936,"")</f>
        <v/>
      </c>
      <c r="H922" s="67" t="str">
        <f>IF('LISTA DE PRECIOS'!$H936&gt;0,'LISTA DE PRECIOS'!H936,"")</f>
        <v/>
      </c>
      <c r="I922" s="31" t="str">
        <f t="shared" si="13"/>
        <v/>
      </c>
    </row>
    <row r="923" spans="1:9">
      <c r="A923" t="str">
        <f>IF('LISTA DE PRECIOS'!$H937&gt;0,'LISTA DE PRECIOS'!A937,"")</f>
        <v/>
      </c>
      <c r="B923" t="str">
        <f>IF('LISTA DE PRECIOS'!$H937&gt;0,'LISTA DE PRECIOS'!B937,"")</f>
        <v/>
      </c>
      <c r="C923" t="str">
        <f>IF('LISTA DE PRECIOS'!$H937&gt;0,'LISTA DE PRECIOS'!C937,"")</f>
        <v/>
      </c>
      <c r="D923" s="67" t="str">
        <f>IF('LISTA DE PRECIOS'!$H937&gt;0,'LISTA DE PRECIOS'!D937,"")</f>
        <v/>
      </c>
      <c r="E923" t="str">
        <f>IF('LISTA DE PRECIOS'!$H937&gt;0,'LISTA DE PRECIOS'!E937,"")</f>
        <v/>
      </c>
      <c r="F923" t="str">
        <f>IF('LISTA DE PRECIOS'!$H937&gt;0,'LISTA DE PRECIOS'!F937,"")</f>
        <v/>
      </c>
      <c r="G923" s="31" t="str">
        <f>IF('LISTA DE PRECIOS'!$H937&gt;0,'LISTA DE PRECIOS'!G937,"")</f>
        <v/>
      </c>
      <c r="H923" s="67" t="str">
        <f>IF('LISTA DE PRECIOS'!$H937&gt;0,'LISTA DE PRECIOS'!H937,"")</f>
        <v/>
      </c>
      <c r="I923" s="31" t="str">
        <f t="shared" si="13"/>
        <v/>
      </c>
    </row>
    <row r="924" spans="1:9">
      <c r="A924" t="str">
        <f>IF('LISTA DE PRECIOS'!$H938&gt;0,'LISTA DE PRECIOS'!A938,"")</f>
        <v/>
      </c>
      <c r="B924" t="str">
        <f>IF('LISTA DE PRECIOS'!$H938&gt;0,'LISTA DE PRECIOS'!B938,"")</f>
        <v/>
      </c>
      <c r="C924" t="str">
        <f>IF('LISTA DE PRECIOS'!$H938&gt;0,'LISTA DE PRECIOS'!C938,"")</f>
        <v/>
      </c>
      <c r="D924" s="67" t="str">
        <f>IF('LISTA DE PRECIOS'!$H938&gt;0,'LISTA DE PRECIOS'!D938,"")</f>
        <v/>
      </c>
      <c r="E924" t="str">
        <f>IF('LISTA DE PRECIOS'!$H938&gt;0,'LISTA DE PRECIOS'!E938,"")</f>
        <v/>
      </c>
      <c r="F924" t="str">
        <f>IF('LISTA DE PRECIOS'!$H938&gt;0,'LISTA DE PRECIOS'!F938,"")</f>
        <v/>
      </c>
      <c r="G924" s="31" t="str">
        <f>IF('LISTA DE PRECIOS'!$H938&gt;0,'LISTA DE PRECIOS'!G938,"")</f>
        <v/>
      </c>
      <c r="H924" s="67" t="str">
        <f>IF('LISTA DE PRECIOS'!$H938&gt;0,'LISTA DE PRECIOS'!H938,"")</f>
        <v/>
      </c>
      <c r="I924" s="31" t="str">
        <f t="shared" si="13"/>
        <v/>
      </c>
    </row>
    <row r="925" spans="1:9">
      <c r="A925" t="str">
        <f>IF('LISTA DE PRECIOS'!$H939&gt;0,'LISTA DE PRECIOS'!A939,"")</f>
        <v/>
      </c>
      <c r="B925" t="str">
        <f>IF('LISTA DE PRECIOS'!$H939&gt;0,'LISTA DE PRECIOS'!B939,"")</f>
        <v/>
      </c>
      <c r="C925" t="str">
        <f>IF('LISTA DE PRECIOS'!$H939&gt;0,'LISTA DE PRECIOS'!C939,"")</f>
        <v/>
      </c>
      <c r="D925" s="67" t="str">
        <f>IF('LISTA DE PRECIOS'!$H939&gt;0,'LISTA DE PRECIOS'!D939,"")</f>
        <v/>
      </c>
      <c r="E925" t="str">
        <f>IF('LISTA DE PRECIOS'!$H939&gt;0,'LISTA DE PRECIOS'!E939,"")</f>
        <v/>
      </c>
      <c r="F925" t="str">
        <f>IF('LISTA DE PRECIOS'!$H939&gt;0,'LISTA DE PRECIOS'!F939,"")</f>
        <v/>
      </c>
      <c r="G925" s="31" t="str">
        <f>IF('LISTA DE PRECIOS'!$H939&gt;0,'LISTA DE PRECIOS'!G939,"")</f>
        <v/>
      </c>
      <c r="H925" s="67" t="str">
        <f>IF('LISTA DE PRECIOS'!$H939&gt;0,'LISTA DE PRECIOS'!H939,"")</f>
        <v/>
      </c>
      <c r="I925" s="31" t="str">
        <f t="shared" si="13"/>
        <v/>
      </c>
    </row>
    <row r="926" spans="1:9">
      <c r="A926" t="str">
        <f>IF('LISTA DE PRECIOS'!$H940&gt;0,'LISTA DE PRECIOS'!A940,"")</f>
        <v/>
      </c>
      <c r="B926" t="str">
        <f>IF('LISTA DE PRECIOS'!$H940&gt;0,'LISTA DE PRECIOS'!B940,"")</f>
        <v/>
      </c>
      <c r="C926" t="str">
        <f>IF('LISTA DE PRECIOS'!$H940&gt;0,'LISTA DE PRECIOS'!C940,"")</f>
        <v/>
      </c>
      <c r="D926" s="67" t="str">
        <f>IF('LISTA DE PRECIOS'!$H940&gt;0,'LISTA DE PRECIOS'!D940,"")</f>
        <v/>
      </c>
      <c r="E926" t="str">
        <f>IF('LISTA DE PRECIOS'!$H940&gt;0,'LISTA DE PRECIOS'!E940,"")</f>
        <v/>
      </c>
      <c r="F926" t="str">
        <f>IF('LISTA DE PRECIOS'!$H940&gt;0,'LISTA DE PRECIOS'!F940,"")</f>
        <v/>
      </c>
      <c r="G926" s="31" t="str">
        <f>IF('LISTA DE PRECIOS'!$H940&gt;0,'LISTA DE PRECIOS'!G940,"")</f>
        <v/>
      </c>
      <c r="H926" s="67" t="str">
        <f>IF('LISTA DE PRECIOS'!$H940&gt;0,'LISTA DE PRECIOS'!H940,"")</f>
        <v/>
      </c>
      <c r="I926" s="31" t="str">
        <f t="shared" si="13"/>
        <v/>
      </c>
    </row>
    <row r="927" spans="1:9">
      <c r="A927" t="str">
        <f>IF('LISTA DE PRECIOS'!$H941&gt;0,'LISTA DE PRECIOS'!A941,"")</f>
        <v/>
      </c>
      <c r="B927" t="str">
        <f>IF('LISTA DE PRECIOS'!$H941&gt;0,'LISTA DE PRECIOS'!B941,"")</f>
        <v/>
      </c>
      <c r="C927" t="str">
        <f>IF('LISTA DE PRECIOS'!$H941&gt;0,'LISTA DE PRECIOS'!C941,"")</f>
        <v/>
      </c>
      <c r="D927" s="67" t="str">
        <f>IF('LISTA DE PRECIOS'!$H941&gt;0,'LISTA DE PRECIOS'!D941,"")</f>
        <v/>
      </c>
      <c r="E927" t="str">
        <f>IF('LISTA DE PRECIOS'!$H941&gt;0,'LISTA DE PRECIOS'!E941,"")</f>
        <v/>
      </c>
      <c r="F927" t="str">
        <f>IF('LISTA DE PRECIOS'!$H941&gt;0,'LISTA DE PRECIOS'!F941,"")</f>
        <v/>
      </c>
      <c r="G927" s="31" t="str">
        <f>IF('LISTA DE PRECIOS'!$H941&gt;0,'LISTA DE PRECIOS'!G941,"")</f>
        <v/>
      </c>
      <c r="H927" s="67" t="str">
        <f>IF('LISTA DE PRECIOS'!$H941&gt;0,'LISTA DE PRECIOS'!H941,"")</f>
        <v/>
      </c>
      <c r="I927" s="31" t="str">
        <f t="shared" si="13"/>
        <v/>
      </c>
    </row>
    <row r="928" spans="1:9">
      <c r="A928" t="str">
        <f>IF('LISTA DE PRECIOS'!$H942&gt;0,'LISTA DE PRECIOS'!A942,"")</f>
        <v/>
      </c>
      <c r="B928" t="str">
        <f>IF('LISTA DE PRECIOS'!$H942&gt;0,'LISTA DE PRECIOS'!B942,"")</f>
        <v/>
      </c>
      <c r="C928" t="str">
        <f>IF('LISTA DE PRECIOS'!$H942&gt;0,'LISTA DE PRECIOS'!C942,"")</f>
        <v/>
      </c>
      <c r="D928" s="67" t="str">
        <f>IF('LISTA DE PRECIOS'!$H942&gt;0,'LISTA DE PRECIOS'!D942,"")</f>
        <v/>
      </c>
      <c r="E928" t="str">
        <f>IF('LISTA DE PRECIOS'!$H942&gt;0,'LISTA DE PRECIOS'!E942,"")</f>
        <v/>
      </c>
      <c r="F928" t="str">
        <f>IF('LISTA DE PRECIOS'!$H942&gt;0,'LISTA DE PRECIOS'!F942,"")</f>
        <v/>
      </c>
      <c r="G928" s="31" t="str">
        <f>IF('LISTA DE PRECIOS'!$H942&gt;0,'LISTA DE PRECIOS'!G942,"")</f>
        <v/>
      </c>
      <c r="H928" s="67" t="str">
        <f>IF('LISTA DE PRECIOS'!$H942&gt;0,'LISTA DE PRECIOS'!H942,"")</f>
        <v/>
      </c>
      <c r="I928" s="31" t="str">
        <f t="shared" si="13"/>
        <v/>
      </c>
    </row>
    <row r="929" spans="1:9">
      <c r="A929" t="str">
        <f>IF('LISTA DE PRECIOS'!$H943&gt;0,'LISTA DE PRECIOS'!A943,"")</f>
        <v/>
      </c>
      <c r="B929" t="str">
        <f>IF('LISTA DE PRECIOS'!$H943&gt;0,'LISTA DE PRECIOS'!B943,"")</f>
        <v/>
      </c>
      <c r="C929" t="str">
        <f>IF('LISTA DE PRECIOS'!$H943&gt;0,'LISTA DE PRECIOS'!C943,"")</f>
        <v/>
      </c>
      <c r="D929" s="67" t="str">
        <f>IF('LISTA DE PRECIOS'!$H943&gt;0,'LISTA DE PRECIOS'!D943,"")</f>
        <v/>
      </c>
      <c r="E929" t="str">
        <f>IF('LISTA DE PRECIOS'!$H943&gt;0,'LISTA DE PRECIOS'!E943,"")</f>
        <v/>
      </c>
      <c r="F929" t="str">
        <f>IF('LISTA DE PRECIOS'!$H943&gt;0,'LISTA DE PRECIOS'!F943,"")</f>
        <v/>
      </c>
      <c r="G929" s="31" t="str">
        <f>IF('LISTA DE PRECIOS'!$H943&gt;0,'LISTA DE PRECIOS'!G943,"")</f>
        <v/>
      </c>
      <c r="H929" s="67" t="str">
        <f>IF('LISTA DE PRECIOS'!$H943&gt;0,'LISTA DE PRECIOS'!H943,"")</f>
        <v/>
      </c>
      <c r="I929" s="31" t="str">
        <f t="shared" si="13"/>
        <v/>
      </c>
    </row>
    <row r="930" spans="1:9">
      <c r="A930" t="str">
        <f>IF('LISTA DE PRECIOS'!$H944&gt;0,'LISTA DE PRECIOS'!A944,"")</f>
        <v/>
      </c>
      <c r="B930" t="str">
        <f>IF('LISTA DE PRECIOS'!$H944&gt;0,'LISTA DE PRECIOS'!B944,"")</f>
        <v/>
      </c>
      <c r="C930" t="str">
        <f>IF('LISTA DE PRECIOS'!$H944&gt;0,'LISTA DE PRECIOS'!C944,"")</f>
        <v/>
      </c>
      <c r="D930" s="67" t="str">
        <f>IF('LISTA DE PRECIOS'!$H944&gt;0,'LISTA DE PRECIOS'!D944,"")</f>
        <v/>
      </c>
      <c r="E930" t="str">
        <f>IF('LISTA DE PRECIOS'!$H944&gt;0,'LISTA DE PRECIOS'!E944,"")</f>
        <v/>
      </c>
      <c r="F930" t="str">
        <f>IF('LISTA DE PRECIOS'!$H944&gt;0,'LISTA DE PRECIOS'!F944,"")</f>
        <v/>
      </c>
      <c r="G930" s="31" t="str">
        <f>IF('LISTA DE PRECIOS'!$H944&gt;0,'LISTA DE PRECIOS'!G944,"")</f>
        <v/>
      </c>
      <c r="H930" s="67" t="str">
        <f>IF('LISTA DE PRECIOS'!$H944&gt;0,'LISTA DE PRECIOS'!H944,"")</f>
        <v/>
      </c>
      <c r="I930" s="31" t="str">
        <f t="shared" si="13"/>
        <v/>
      </c>
    </row>
    <row r="931" spans="1:9">
      <c r="A931" t="str">
        <f>IF('LISTA DE PRECIOS'!$H945&gt;0,'LISTA DE PRECIOS'!A945,"")</f>
        <v/>
      </c>
      <c r="B931" t="str">
        <f>IF('LISTA DE PRECIOS'!$H945&gt;0,'LISTA DE PRECIOS'!B945,"")</f>
        <v/>
      </c>
      <c r="C931" t="str">
        <f>IF('LISTA DE PRECIOS'!$H945&gt;0,'LISTA DE PRECIOS'!C945,"")</f>
        <v/>
      </c>
      <c r="D931" s="67" t="str">
        <f>IF('LISTA DE PRECIOS'!$H945&gt;0,'LISTA DE PRECIOS'!D945,"")</f>
        <v/>
      </c>
      <c r="E931" t="str">
        <f>IF('LISTA DE PRECIOS'!$H945&gt;0,'LISTA DE PRECIOS'!E945,"")</f>
        <v/>
      </c>
      <c r="F931" t="str">
        <f>IF('LISTA DE PRECIOS'!$H945&gt;0,'LISTA DE PRECIOS'!F945,"")</f>
        <v/>
      </c>
      <c r="G931" s="31" t="str">
        <f>IF('LISTA DE PRECIOS'!$H945&gt;0,'LISTA DE PRECIOS'!G945,"")</f>
        <v/>
      </c>
      <c r="H931" s="67" t="str">
        <f>IF('LISTA DE PRECIOS'!$H945&gt;0,'LISTA DE PRECIOS'!H945,"")</f>
        <v/>
      </c>
      <c r="I931" s="31" t="str">
        <f t="shared" si="13"/>
        <v/>
      </c>
    </row>
    <row r="932" spans="1:9">
      <c r="A932" t="str">
        <f>IF('LISTA DE PRECIOS'!$H946&gt;0,'LISTA DE PRECIOS'!A946,"")</f>
        <v/>
      </c>
      <c r="B932" t="str">
        <f>IF('LISTA DE PRECIOS'!$H946&gt;0,'LISTA DE PRECIOS'!B946,"")</f>
        <v/>
      </c>
      <c r="C932" t="str">
        <f>IF('LISTA DE PRECIOS'!$H946&gt;0,'LISTA DE PRECIOS'!C946,"")</f>
        <v/>
      </c>
      <c r="D932" s="67" t="str">
        <f>IF('LISTA DE PRECIOS'!$H946&gt;0,'LISTA DE PRECIOS'!D946,"")</f>
        <v/>
      </c>
      <c r="E932" t="str">
        <f>IF('LISTA DE PRECIOS'!$H946&gt;0,'LISTA DE PRECIOS'!E946,"")</f>
        <v/>
      </c>
      <c r="F932" t="str">
        <f>IF('LISTA DE PRECIOS'!$H946&gt;0,'LISTA DE PRECIOS'!F946,"")</f>
        <v/>
      </c>
      <c r="G932" s="31" t="str">
        <f>IF('LISTA DE PRECIOS'!$H946&gt;0,'LISTA DE PRECIOS'!G946,"")</f>
        <v/>
      </c>
      <c r="H932" s="67" t="str">
        <f>IF('LISTA DE PRECIOS'!$H946&gt;0,'LISTA DE PRECIOS'!H946,"")</f>
        <v/>
      </c>
      <c r="I932" s="31" t="str">
        <f t="shared" si="13"/>
        <v/>
      </c>
    </row>
    <row r="933" spans="1:9">
      <c r="A933" t="str">
        <f>IF('LISTA DE PRECIOS'!$H947&gt;0,'LISTA DE PRECIOS'!A947,"")</f>
        <v/>
      </c>
      <c r="B933" t="str">
        <f>IF('LISTA DE PRECIOS'!$H947&gt;0,'LISTA DE PRECIOS'!B947,"")</f>
        <v/>
      </c>
      <c r="C933" t="str">
        <f>IF('LISTA DE PRECIOS'!$H947&gt;0,'LISTA DE PRECIOS'!C947,"")</f>
        <v/>
      </c>
      <c r="D933" s="67" t="str">
        <f>IF('LISTA DE PRECIOS'!$H947&gt;0,'LISTA DE PRECIOS'!D947,"")</f>
        <v/>
      </c>
      <c r="E933" t="str">
        <f>IF('LISTA DE PRECIOS'!$H947&gt;0,'LISTA DE PRECIOS'!E947,"")</f>
        <v/>
      </c>
      <c r="F933" t="str">
        <f>IF('LISTA DE PRECIOS'!$H947&gt;0,'LISTA DE PRECIOS'!F947,"")</f>
        <v/>
      </c>
      <c r="G933" s="31" t="str">
        <f>IF('LISTA DE PRECIOS'!$H947&gt;0,'LISTA DE PRECIOS'!G947,"")</f>
        <v/>
      </c>
      <c r="H933" s="67" t="str">
        <f>IF('LISTA DE PRECIOS'!$H947&gt;0,'LISTA DE PRECIOS'!H947,"")</f>
        <v/>
      </c>
      <c r="I933" s="31" t="str">
        <f t="shared" si="13"/>
        <v/>
      </c>
    </row>
    <row r="934" spans="1:9">
      <c r="A934" t="str">
        <f>IF('LISTA DE PRECIOS'!$H948&gt;0,'LISTA DE PRECIOS'!A948,"")</f>
        <v/>
      </c>
      <c r="B934" t="str">
        <f>IF('LISTA DE PRECIOS'!$H948&gt;0,'LISTA DE PRECIOS'!B948,"")</f>
        <v/>
      </c>
      <c r="C934" t="str">
        <f>IF('LISTA DE PRECIOS'!$H948&gt;0,'LISTA DE PRECIOS'!C948,"")</f>
        <v/>
      </c>
      <c r="D934" s="67" t="str">
        <f>IF('LISTA DE PRECIOS'!$H948&gt;0,'LISTA DE PRECIOS'!D948,"")</f>
        <v/>
      </c>
      <c r="E934" t="str">
        <f>IF('LISTA DE PRECIOS'!$H948&gt;0,'LISTA DE PRECIOS'!E948,"")</f>
        <v/>
      </c>
      <c r="F934" t="str">
        <f>IF('LISTA DE PRECIOS'!$H948&gt;0,'LISTA DE PRECIOS'!F948,"")</f>
        <v/>
      </c>
      <c r="G934" s="31" t="str">
        <f>IF('LISTA DE PRECIOS'!$H948&gt;0,'LISTA DE PRECIOS'!G948,"")</f>
        <v/>
      </c>
      <c r="H934" s="67" t="str">
        <f>IF('LISTA DE PRECIOS'!$H948&gt;0,'LISTA DE PRECIOS'!H948,"")</f>
        <v/>
      </c>
      <c r="I934" s="31" t="str">
        <f t="shared" si="13"/>
        <v/>
      </c>
    </row>
    <row r="935" spans="1:9">
      <c r="A935" t="str">
        <f>IF('LISTA DE PRECIOS'!$H949&gt;0,'LISTA DE PRECIOS'!A949,"")</f>
        <v/>
      </c>
      <c r="B935" t="str">
        <f>IF('LISTA DE PRECIOS'!$H949&gt;0,'LISTA DE PRECIOS'!B949,"")</f>
        <v/>
      </c>
      <c r="C935" t="str">
        <f>IF('LISTA DE PRECIOS'!$H949&gt;0,'LISTA DE PRECIOS'!C949,"")</f>
        <v/>
      </c>
      <c r="D935" s="67" t="str">
        <f>IF('LISTA DE PRECIOS'!$H949&gt;0,'LISTA DE PRECIOS'!D949,"")</f>
        <v/>
      </c>
      <c r="E935" t="str">
        <f>IF('LISTA DE PRECIOS'!$H949&gt;0,'LISTA DE PRECIOS'!E949,"")</f>
        <v/>
      </c>
      <c r="F935" t="str">
        <f>IF('LISTA DE PRECIOS'!$H949&gt;0,'LISTA DE PRECIOS'!F949,"")</f>
        <v/>
      </c>
      <c r="G935" s="31" t="str">
        <f>IF('LISTA DE PRECIOS'!$H949&gt;0,'LISTA DE PRECIOS'!G949,"")</f>
        <v/>
      </c>
      <c r="H935" s="67" t="str">
        <f>IF('LISTA DE PRECIOS'!$H949&gt;0,'LISTA DE PRECIOS'!H949,"")</f>
        <v/>
      </c>
      <c r="I935" s="31" t="str">
        <f t="shared" si="13"/>
        <v/>
      </c>
    </row>
    <row r="936" spans="1:9">
      <c r="A936" t="str">
        <f>IF('LISTA DE PRECIOS'!$H950&gt;0,'LISTA DE PRECIOS'!A950,"")</f>
        <v/>
      </c>
      <c r="B936" t="str">
        <f>IF('LISTA DE PRECIOS'!$H950&gt;0,'LISTA DE PRECIOS'!B950,"")</f>
        <v/>
      </c>
      <c r="C936" t="str">
        <f>IF('LISTA DE PRECIOS'!$H950&gt;0,'LISTA DE PRECIOS'!C950,"")</f>
        <v/>
      </c>
      <c r="D936" s="67" t="str">
        <f>IF('LISTA DE PRECIOS'!$H950&gt;0,'LISTA DE PRECIOS'!D950,"")</f>
        <v/>
      </c>
      <c r="E936" t="str">
        <f>IF('LISTA DE PRECIOS'!$H950&gt;0,'LISTA DE PRECIOS'!E950,"")</f>
        <v/>
      </c>
      <c r="F936" t="str">
        <f>IF('LISTA DE PRECIOS'!$H950&gt;0,'LISTA DE PRECIOS'!F950,"")</f>
        <v/>
      </c>
      <c r="G936" s="31" t="str">
        <f>IF('LISTA DE PRECIOS'!$H950&gt;0,'LISTA DE PRECIOS'!G950,"")</f>
        <v/>
      </c>
      <c r="H936" s="67" t="str">
        <f>IF('LISTA DE PRECIOS'!$H950&gt;0,'LISTA DE PRECIOS'!H950,"")</f>
        <v/>
      </c>
      <c r="I936" s="31" t="str">
        <f t="shared" si="13"/>
        <v/>
      </c>
    </row>
    <row r="937" spans="1:9">
      <c r="A937" t="str">
        <f>IF('LISTA DE PRECIOS'!$H951&gt;0,'LISTA DE PRECIOS'!A951,"")</f>
        <v/>
      </c>
      <c r="B937" t="str">
        <f>IF('LISTA DE PRECIOS'!$H951&gt;0,'LISTA DE PRECIOS'!B951,"")</f>
        <v/>
      </c>
      <c r="C937" t="str">
        <f>IF('LISTA DE PRECIOS'!$H951&gt;0,'LISTA DE PRECIOS'!C951,"")</f>
        <v/>
      </c>
      <c r="D937" s="67" t="str">
        <f>IF('LISTA DE PRECIOS'!$H951&gt;0,'LISTA DE PRECIOS'!D951,"")</f>
        <v/>
      </c>
      <c r="E937" t="str">
        <f>IF('LISTA DE PRECIOS'!$H951&gt;0,'LISTA DE PRECIOS'!E951,"")</f>
        <v/>
      </c>
      <c r="F937" t="str">
        <f>IF('LISTA DE PRECIOS'!$H951&gt;0,'LISTA DE PRECIOS'!F951,"")</f>
        <v/>
      </c>
      <c r="G937" s="31" t="str">
        <f>IF('LISTA DE PRECIOS'!$H951&gt;0,'LISTA DE PRECIOS'!G951,"")</f>
        <v/>
      </c>
      <c r="H937" s="67" t="str">
        <f>IF('LISTA DE PRECIOS'!$H951&gt;0,'LISTA DE PRECIOS'!H951,"")</f>
        <v/>
      </c>
      <c r="I937" s="31" t="str">
        <f t="shared" si="13"/>
        <v/>
      </c>
    </row>
    <row r="938" spans="1:9">
      <c r="A938" t="str">
        <f>IF('LISTA DE PRECIOS'!$H952&gt;0,'LISTA DE PRECIOS'!A952,"")</f>
        <v/>
      </c>
      <c r="B938" t="str">
        <f>IF('LISTA DE PRECIOS'!$H952&gt;0,'LISTA DE PRECIOS'!B952,"")</f>
        <v/>
      </c>
      <c r="C938" t="str">
        <f>IF('LISTA DE PRECIOS'!$H952&gt;0,'LISTA DE PRECIOS'!C952,"")</f>
        <v/>
      </c>
      <c r="D938" s="67" t="str">
        <f>IF('LISTA DE PRECIOS'!$H952&gt;0,'LISTA DE PRECIOS'!D952,"")</f>
        <v/>
      </c>
      <c r="E938" t="str">
        <f>IF('LISTA DE PRECIOS'!$H952&gt;0,'LISTA DE PRECIOS'!E952,"")</f>
        <v/>
      </c>
      <c r="F938" t="str">
        <f>IF('LISTA DE PRECIOS'!$H952&gt;0,'LISTA DE PRECIOS'!F952,"")</f>
        <v/>
      </c>
      <c r="G938" s="31" t="str">
        <f>IF('LISTA DE PRECIOS'!$H952&gt;0,'LISTA DE PRECIOS'!G952,"")</f>
        <v/>
      </c>
      <c r="H938" s="67" t="str">
        <f>IF('LISTA DE PRECIOS'!$H952&gt;0,'LISTA DE PRECIOS'!H952,"")</f>
        <v/>
      </c>
      <c r="I938" s="31" t="str">
        <f t="shared" si="13"/>
        <v/>
      </c>
    </row>
    <row r="939" spans="1:9">
      <c r="A939" t="str">
        <f>IF('LISTA DE PRECIOS'!$H953&gt;0,'LISTA DE PRECIOS'!A953,"")</f>
        <v/>
      </c>
      <c r="B939" t="str">
        <f>IF('LISTA DE PRECIOS'!$H953&gt;0,'LISTA DE PRECIOS'!B953,"")</f>
        <v/>
      </c>
      <c r="C939" t="str">
        <f>IF('LISTA DE PRECIOS'!$H953&gt;0,'LISTA DE PRECIOS'!C953,"")</f>
        <v/>
      </c>
      <c r="D939" s="67" t="str">
        <f>IF('LISTA DE PRECIOS'!$H953&gt;0,'LISTA DE PRECIOS'!D953,"")</f>
        <v/>
      </c>
      <c r="E939" t="str">
        <f>IF('LISTA DE PRECIOS'!$H953&gt;0,'LISTA DE PRECIOS'!E953,"")</f>
        <v/>
      </c>
      <c r="F939" t="str">
        <f>IF('LISTA DE PRECIOS'!$H953&gt;0,'LISTA DE PRECIOS'!F953,"")</f>
        <v/>
      </c>
      <c r="G939" s="31" t="str">
        <f>IF('LISTA DE PRECIOS'!$H953&gt;0,'LISTA DE PRECIOS'!G953,"")</f>
        <v/>
      </c>
      <c r="H939" s="67" t="str">
        <f>IF('LISTA DE PRECIOS'!$H953&gt;0,'LISTA DE PRECIOS'!H953,"")</f>
        <v/>
      </c>
      <c r="I939" s="31" t="str">
        <f t="shared" si="13"/>
        <v/>
      </c>
    </row>
    <row r="940" spans="1:9">
      <c r="A940" t="str">
        <f>IF('LISTA DE PRECIOS'!$H954&gt;0,'LISTA DE PRECIOS'!A954,"")</f>
        <v/>
      </c>
      <c r="B940" t="str">
        <f>IF('LISTA DE PRECIOS'!$H954&gt;0,'LISTA DE PRECIOS'!B954,"")</f>
        <v/>
      </c>
      <c r="C940" t="str">
        <f>IF('LISTA DE PRECIOS'!$H954&gt;0,'LISTA DE PRECIOS'!C954,"")</f>
        <v/>
      </c>
      <c r="D940" s="67" t="str">
        <f>IF('LISTA DE PRECIOS'!$H954&gt;0,'LISTA DE PRECIOS'!D954,"")</f>
        <v/>
      </c>
      <c r="E940" t="str">
        <f>IF('LISTA DE PRECIOS'!$H954&gt;0,'LISTA DE PRECIOS'!E954,"")</f>
        <v/>
      </c>
      <c r="F940" t="str">
        <f>IF('LISTA DE PRECIOS'!$H954&gt;0,'LISTA DE PRECIOS'!F954,"")</f>
        <v/>
      </c>
      <c r="G940" s="31" t="str">
        <f>IF('LISTA DE PRECIOS'!$H954&gt;0,'LISTA DE PRECIOS'!G954,"")</f>
        <v/>
      </c>
      <c r="H940" s="67" t="str">
        <f>IF('LISTA DE PRECIOS'!$H954&gt;0,'LISTA DE PRECIOS'!H954,"")</f>
        <v/>
      </c>
      <c r="I940" s="31" t="str">
        <f t="shared" si="13"/>
        <v/>
      </c>
    </row>
    <row r="941" spans="1:9">
      <c r="A941" t="str">
        <f>IF('LISTA DE PRECIOS'!$H955&gt;0,'LISTA DE PRECIOS'!A955,"")</f>
        <v/>
      </c>
      <c r="B941" t="str">
        <f>IF('LISTA DE PRECIOS'!$H955&gt;0,'LISTA DE PRECIOS'!B955,"")</f>
        <v/>
      </c>
      <c r="C941" t="str">
        <f>IF('LISTA DE PRECIOS'!$H955&gt;0,'LISTA DE PRECIOS'!C955,"")</f>
        <v/>
      </c>
      <c r="D941" s="67" t="str">
        <f>IF('LISTA DE PRECIOS'!$H955&gt;0,'LISTA DE PRECIOS'!D955,"")</f>
        <v/>
      </c>
      <c r="E941" t="str">
        <f>IF('LISTA DE PRECIOS'!$H955&gt;0,'LISTA DE PRECIOS'!E955,"")</f>
        <v/>
      </c>
      <c r="F941" t="str">
        <f>IF('LISTA DE PRECIOS'!$H955&gt;0,'LISTA DE PRECIOS'!F955,"")</f>
        <v/>
      </c>
      <c r="G941" s="31" t="str">
        <f>IF('LISTA DE PRECIOS'!$H955&gt;0,'LISTA DE PRECIOS'!G955,"")</f>
        <v/>
      </c>
      <c r="H941" s="67" t="str">
        <f>IF('LISTA DE PRECIOS'!$H955&gt;0,'LISTA DE PRECIOS'!H955,"")</f>
        <v/>
      </c>
      <c r="I941" s="31" t="str">
        <f t="shared" si="13"/>
        <v/>
      </c>
    </row>
    <row r="942" spans="1:9">
      <c r="A942" t="str">
        <f>IF('LISTA DE PRECIOS'!$H956&gt;0,'LISTA DE PRECIOS'!A956,"")</f>
        <v/>
      </c>
      <c r="B942" t="str">
        <f>IF('LISTA DE PRECIOS'!$H956&gt;0,'LISTA DE PRECIOS'!B956,"")</f>
        <v/>
      </c>
      <c r="C942" t="str">
        <f>IF('LISTA DE PRECIOS'!$H956&gt;0,'LISTA DE PRECIOS'!C956,"")</f>
        <v/>
      </c>
      <c r="D942" s="67" t="str">
        <f>IF('LISTA DE PRECIOS'!$H956&gt;0,'LISTA DE PRECIOS'!D956,"")</f>
        <v/>
      </c>
      <c r="E942" t="str">
        <f>IF('LISTA DE PRECIOS'!$H956&gt;0,'LISTA DE PRECIOS'!E956,"")</f>
        <v/>
      </c>
      <c r="F942" t="str">
        <f>IF('LISTA DE PRECIOS'!$H956&gt;0,'LISTA DE PRECIOS'!F956,"")</f>
        <v/>
      </c>
      <c r="G942" s="31" t="str">
        <f>IF('LISTA DE PRECIOS'!$H956&gt;0,'LISTA DE PRECIOS'!G956,"")</f>
        <v/>
      </c>
      <c r="H942" s="67" t="str">
        <f>IF('LISTA DE PRECIOS'!$H956&gt;0,'LISTA DE PRECIOS'!H956,"")</f>
        <v/>
      </c>
      <c r="I942" s="31" t="str">
        <f t="shared" si="13"/>
        <v/>
      </c>
    </row>
    <row r="943" spans="1:9">
      <c r="A943" t="str">
        <f>IF('LISTA DE PRECIOS'!$H957&gt;0,'LISTA DE PRECIOS'!A957,"")</f>
        <v/>
      </c>
      <c r="B943" t="str">
        <f>IF('LISTA DE PRECIOS'!$H957&gt;0,'LISTA DE PRECIOS'!B957,"")</f>
        <v/>
      </c>
      <c r="C943" t="str">
        <f>IF('LISTA DE PRECIOS'!$H957&gt;0,'LISTA DE PRECIOS'!C957,"")</f>
        <v/>
      </c>
      <c r="D943" s="67" t="str">
        <f>IF('LISTA DE PRECIOS'!$H957&gt;0,'LISTA DE PRECIOS'!D957,"")</f>
        <v/>
      </c>
      <c r="E943" t="str">
        <f>IF('LISTA DE PRECIOS'!$H957&gt;0,'LISTA DE PRECIOS'!E957,"")</f>
        <v/>
      </c>
      <c r="F943" t="str">
        <f>IF('LISTA DE PRECIOS'!$H957&gt;0,'LISTA DE PRECIOS'!F957,"")</f>
        <v/>
      </c>
      <c r="G943" s="31" t="str">
        <f>IF('LISTA DE PRECIOS'!$H957&gt;0,'LISTA DE PRECIOS'!G957,"")</f>
        <v/>
      </c>
      <c r="H943" s="67" t="str">
        <f>IF('LISTA DE PRECIOS'!$H957&gt;0,'LISTA DE PRECIOS'!H957,"")</f>
        <v/>
      </c>
      <c r="I943" s="31" t="str">
        <f t="shared" si="13"/>
        <v/>
      </c>
    </row>
    <row r="944" spans="1:9">
      <c r="A944" t="str">
        <f>IF('LISTA DE PRECIOS'!$H958&gt;0,'LISTA DE PRECIOS'!A958,"")</f>
        <v/>
      </c>
      <c r="B944" t="str">
        <f>IF('LISTA DE PRECIOS'!$H958&gt;0,'LISTA DE PRECIOS'!B958,"")</f>
        <v/>
      </c>
      <c r="C944" t="str">
        <f>IF('LISTA DE PRECIOS'!$H958&gt;0,'LISTA DE PRECIOS'!C958,"")</f>
        <v/>
      </c>
      <c r="D944" s="67" t="str">
        <f>IF('LISTA DE PRECIOS'!$H958&gt;0,'LISTA DE PRECIOS'!D958,"")</f>
        <v/>
      </c>
      <c r="E944" t="str">
        <f>IF('LISTA DE PRECIOS'!$H958&gt;0,'LISTA DE PRECIOS'!E958,"")</f>
        <v/>
      </c>
      <c r="F944" t="str">
        <f>IF('LISTA DE PRECIOS'!$H958&gt;0,'LISTA DE PRECIOS'!F958,"")</f>
        <v/>
      </c>
      <c r="G944" s="31" t="str">
        <f>IF('LISTA DE PRECIOS'!$H958&gt;0,'LISTA DE PRECIOS'!G958,"")</f>
        <v/>
      </c>
      <c r="H944" s="67" t="str">
        <f>IF('LISTA DE PRECIOS'!$H958&gt;0,'LISTA DE PRECIOS'!H958,"")</f>
        <v/>
      </c>
      <c r="I944" s="31" t="str">
        <f t="shared" si="13"/>
        <v/>
      </c>
    </row>
    <row r="945" spans="1:9">
      <c r="A945" t="str">
        <f>IF('LISTA DE PRECIOS'!$H959&gt;0,'LISTA DE PRECIOS'!A959,"")</f>
        <v/>
      </c>
      <c r="B945" t="str">
        <f>IF('LISTA DE PRECIOS'!$H959&gt;0,'LISTA DE PRECIOS'!B959,"")</f>
        <v/>
      </c>
      <c r="C945" t="str">
        <f>IF('LISTA DE PRECIOS'!$H959&gt;0,'LISTA DE PRECIOS'!C959,"")</f>
        <v/>
      </c>
      <c r="D945" s="67" t="str">
        <f>IF('LISTA DE PRECIOS'!$H959&gt;0,'LISTA DE PRECIOS'!D959,"")</f>
        <v/>
      </c>
      <c r="E945" t="str">
        <f>IF('LISTA DE PRECIOS'!$H959&gt;0,'LISTA DE PRECIOS'!E959,"")</f>
        <v/>
      </c>
      <c r="F945" t="str">
        <f>IF('LISTA DE PRECIOS'!$H959&gt;0,'LISTA DE PRECIOS'!F959,"")</f>
        <v/>
      </c>
      <c r="G945" s="31" t="str">
        <f>IF('LISTA DE PRECIOS'!$H959&gt;0,'LISTA DE PRECIOS'!G959,"")</f>
        <v/>
      </c>
      <c r="H945" s="67" t="str">
        <f>IF('LISTA DE PRECIOS'!$H959&gt;0,'LISTA DE PRECIOS'!H959,"")</f>
        <v/>
      </c>
      <c r="I945" s="31" t="str">
        <f t="shared" si="13"/>
        <v/>
      </c>
    </row>
    <row r="946" spans="1:9">
      <c r="A946" t="str">
        <f>IF('LISTA DE PRECIOS'!$H960&gt;0,'LISTA DE PRECIOS'!A960,"")</f>
        <v/>
      </c>
      <c r="B946" t="str">
        <f>IF('LISTA DE PRECIOS'!$H960&gt;0,'LISTA DE PRECIOS'!B960,"")</f>
        <v/>
      </c>
      <c r="C946" t="str">
        <f>IF('LISTA DE PRECIOS'!$H960&gt;0,'LISTA DE PRECIOS'!C960,"")</f>
        <v/>
      </c>
      <c r="D946" s="67" t="str">
        <f>IF('LISTA DE PRECIOS'!$H960&gt;0,'LISTA DE PRECIOS'!D960,"")</f>
        <v/>
      </c>
      <c r="E946" t="str">
        <f>IF('LISTA DE PRECIOS'!$H960&gt;0,'LISTA DE PRECIOS'!E960,"")</f>
        <v/>
      </c>
      <c r="F946" t="str">
        <f>IF('LISTA DE PRECIOS'!$H960&gt;0,'LISTA DE PRECIOS'!F960,"")</f>
        <v/>
      </c>
      <c r="G946" s="31" t="str">
        <f>IF('LISTA DE PRECIOS'!$H960&gt;0,'LISTA DE PRECIOS'!G960,"")</f>
        <v/>
      </c>
      <c r="H946" s="67" t="str">
        <f>IF('LISTA DE PRECIOS'!$H960&gt;0,'LISTA DE PRECIOS'!H960,"")</f>
        <v/>
      </c>
      <c r="I946" s="31" t="str">
        <f t="shared" si="13"/>
        <v/>
      </c>
    </row>
    <row r="947" spans="1:9">
      <c r="A947" t="str">
        <f>IF('LISTA DE PRECIOS'!$H961&gt;0,'LISTA DE PRECIOS'!A961,"")</f>
        <v/>
      </c>
      <c r="B947" t="str">
        <f>IF('LISTA DE PRECIOS'!$H961&gt;0,'LISTA DE PRECIOS'!B961,"")</f>
        <v/>
      </c>
      <c r="C947" t="str">
        <f>IF('LISTA DE PRECIOS'!$H961&gt;0,'LISTA DE PRECIOS'!C961,"")</f>
        <v/>
      </c>
      <c r="D947" s="67" t="str">
        <f>IF('LISTA DE PRECIOS'!$H961&gt;0,'LISTA DE PRECIOS'!D961,"")</f>
        <v/>
      </c>
      <c r="E947" t="str">
        <f>IF('LISTA DE PRECIOS'!$H961&gt;0,'LISTA DE PRECIOS'!E961,"")</f>
        <v/>
      </c>
      <c r="F947" t="str">
        <f>IF('LISTA DE PRECIOS'!$H961&gt;0,'LISTA DE PRECIOS'!F961,"")</f>
        <v/>
      </c>
      <c r="G947" s="31" t="str">
        <f>IF('LISTA DE PRECIOS'!$H961&gt;0,'LISTA DE PRECIOS'!G961,"")</f>
        <v/>
      </c>
      <c r="H947" s="67" t="str">
        <f>IF('LISTA DE PRECIOS'!$H961&gt;0,'LISTA DE PRECIOS'!H961,"")</f>
        <v/>
      </c>
      <c r="I947" s="31" t="str">
        <f t="shared" si="13"/>
        <v/>
      </c>
    </row>
    <row r="948" spans="1:9">
      <c r="A948" t="str">
        <f>IF('LISTA DE PRECIOS'!$H962&gt;0,'LISTA DE PRECIOS'!A962,"")</f>
        <v/>
      </c>
      <c r="B948" t="str">
        <f>IF('LISTA DE PRECIOS'!$H962&gt;0,'LISTA DE PRECIOS'!B962,"")</f>
        <v/>
      </c>
      <c r="C948" t="str">
        <f>IF('LISTA DE PRECIOS'!$H962&gt;0,'LISTA DE PRECIOS'!C962,"")</f>
        <v/>
      </c>
      <c r="D948" s="67" t="str">
        <f>IF('LISTA DE PRECIOS'!$H962&gt;0,'LISTA DE PRECIOS'!D962,"")</f>
        <v/>
      </c>
      <c r="E948" t="str">
        <f>IF('LISTA DE PRECIOS'!$H962&gt;0,'LISTA DE PRECIOS'!E962,"")</f>
        <v/>
      </c>
      <c r="F948" t="str">
        <f>IF('LISTA DE PRECIOS'!$H962&gt;0,'LISTA DE PRECIOS'!F962,"")</f>
        <v/>
      </c>
      <c r="G948" s="31" t="str">
        <f>IF('LISTA DE PRECIOS'!$H962&gt;0,'LISTA DE PRECIOS'!G962,"")</f>
        <v/>
      </c>
      <c r="H948" s="67" t="str">
        <f>IF('LISTA DE PRECIOS'!$H962&gt;0,'LISTA DE PRECIOS'!H962,"")</f>
        <v/>
      </c>
      <c r="I948" s="31" t="str">
        <f t="shared" si="13"/>
        <v/>
      </c>
    </row>
    <row r="949" spans="1:9">
      <c r="A949" t="str">
        <f>IF('LISTA DE PRECIOS'!$H963&gt;0,'LISTA DE PRECIOS'!A963,"")</f>
        <v/>
      </c>
      <c r="B949" t="str">
        <f>IF('LISTA DE PRECIOS'!$H963&gt;0,'LISTA DE PRECIOS'!B963,"")</f>
        <v/>
      </c>
      <c r="C949" t="str">
        <f>IF('LISTA DE PRECIOS'!$H963&gt;0,'LISTA DE PRECIOS'!C963,"")</f>
        <v/>
      </c>
      <c r="D949" s="67" t="str">
        <f>IF('LISTA DE PRECIOS'!$H963&gt;0,'LISTA DE PRECIOS'!D963,"")</f>
        <v/>
      </c>
      <c r="E949" t="str">
        <f>IF('LISTA DE PRECIOS'!$H963&gt;0,'LISTA DE PRECIOS'!E963,"")</f>
        <v/>
      </c>
      <c r="F949" t="str">
        <f>IF('LISTA DE PRECIOS'!$H963&gt;0,'LISTA DE PRECIOS'!F963,"")</f>
        <v/>
      </c>
      <c r="G949" s="31" t="str">
        <f>IF('LISTA DE PRECIOS'!$H963&gt;0,'LISTA DE PRECIOS'!G963,"")</f>
        <v/>
      </c>
      <c r="H949" s="67" t="str">
        <f>IF('LISTA DE PRECIOS'!$H963&gt;0,'LISTA DE PRECIOS'!H963,"")</f>
        <v/>
      </c>
      <c r="I949" s="31" t="str">
        <f t="shared" si="13"/>
        <v/>
      </c>
    </row>
    <row r="950" spans="1:9">
      <c r="A950" t="str">
        <f>IF('LISTA DE PRECIOS'!$H964&gt;0,'LISTA DE PRECIOS'!A964,"")</f>
        <v/>
      </c>
      <c r="B950" t="str">
        <f>IF('LISTA DE PRECIOS'!$H964&gt;0,'LISTA DE PRECIOS'!B964,"")</f>
        <v/>
      </c>
      <c r="C950" t="str">
        <f>IF('LISTA DE PRECIOS'!$H964&gt;0,'LISTA DE PRECIOS'!C964,"")</f>
        <v/>
      </c>
      <c r="D950" s="67" t="str">
        <f>IF('LISTA DE PRECIOS'!$H964&gt;0,'LISTA DE PRECIOS'!D964,"")</f>
        <v/>
      </c>
      <c r="E950" t="str">
        <f>IF('LISTA DE PRECIOS'!$H964&gt;0,'LISTA DE PRECIOS'!E964,"")</f>
        <v/>
      </c>
      <c r="F950" t="str">
        <f>IF('LISTA DE PRECIOS'!$H964&gt;0,'LISTA DE PRECIOS'!F964,"")</f>
        <v/>
      </c>
      <c r="G950" s="31" t="str">
        <f>IF('LISTA DE PRECIOS'!$H964&gt;0,'LISTA DE PRECIOS'!G964,"")</f>
        <v/>
      </c>
      <c r="H950" s="67" t="str">
        <f>IF('LISTA DE PRECIOS'!$H964&gt;0,'LISTA DE PRECIOS'!H964,"")</f>
        <v/>
      </c>
      <c r="I950" s="31" t="str">
        <f t="shared" si="13"/>
        <v/>
      </c>
    </row>
    <row r="951" spans="1:9">
      <c r="A951" t="str">
        <f>IF('LISTA DE PRECIOS'!$H965&gt;0,'LISTA DE PRECIOS'!A965,"")</f>
        <v/>
      </c>
      <c r="B951" t="str">
        <f>IF('LISTA DE PRECIOS'!$H965&gt;0,'LISTA DE PRECIOS'!B965,"")</f>
        <v/>
      </c>
      <c r="C951" t="str">
        <f>IF('LISTA DE PRECIOS'!$H965&gt;0,'LISTA DE PRECIOS'!C965,"")</f>
        <v/>
      </c>
      <c r="D951" s="67" t="str">
        <f>IF('LISTA DE PRECIOS'!$H965&gt;0,'LISTA DE PRECIOS'!D965,"")</f>
        <v/>
      </c>
      <c r="E951" t="str">
        <f>IF('LISTA DE PRECIOS'!$H965&gt;0,'LISTA DE PRECIOS'!E965,"")</f>
        <v/>
      </c>
      <c r="F951" t="str">
        <f>IF('LISTA DE PRECIOS'!$H965&gt;0,'LISTA DE PRECIOS'!F965,"")</f>
        <v/>
      </c>
      <c r="G951" s="31" t="str">
        <f>IF('LISTA DE PRECIOS'!$H965&gt;0,'LISTA DE PRECIOS'!G965,"")</f>
        <v/>
      </c>
      <c r="H951" s="67" t="str">
        <f>IF('LISTA DE PRECIOS'!$H965&gt;0,'LISTA DE PRECIOS'!H965,"")</f>
        <v/>
      </c>
      <c r="I951" s="31" t="str">
        <f t="shared" si="13"/>
        <v/>
      </c>
    </row>
    <row r="952" spans="1:9">
      <c r="A952" t="str">
        <f>IF('LISTA DE PRECIOS'!$H966&gt;0,'LISTA DE PRECIOS'!A966,"")</f>
        <v/>
      </c>
      <c r="B952" t="str">
        <f>IF('LISTA DE PRECIOS'!$H966&gt;0,'LISTA DE PRECIOS'!B966,"")</f>
        <v/>
      </c>
      <c r="C952" t="str">
        <f>IF('LISTA DE PRECIOS'!$H966&gt;0,'LISTA DE PRECIOS'!C966,"")</f>
        <v/>
      </c>
      <c r="D952" s="67" t="str">
        <f>IF('LISTA DE PRECIOS'!$H966&gt;0,'LISTA DE PRECIOS'!D966,"")</f>
        <v/>
      </c>
      <c r="E952" t="str">
        <f>IF('LISTA DE PRECIOS'!$H966&gt;0,'LISTA DE PRECIOS'!E966,"")</f>
        <v/>
      </c>
      <c r="F952" t="str">
        <f>IF('LISTA DE PRECIOS'!$H966&gt;0,'LISTA DE PRECIOS'!F966,"")</f>
        <v/>
      </c>
      <c r="G952" s="31" t="str">
        <f>IF('LISTA DE PRECIOS'!$H966&gt;0,'LISTA DE PRECIOS'!G966,"")</f>
        <v/>
      </c>
      <c r="H952" s="67" t="str">
        <f>IF('LISTA DE PRECIOS'!$H966&gt;0,'LISTA DE PRECIOS'!H966,"")</f>
        <v/>
      </c>
      <c r="I952" s="31" t="str">
        <f t="shared" si="13"/>
        <v/>
      </c>
    </row>
    <row r="953" spans="1:9">
      <c r="A953" t="str">
        <f>IF('LISTA DE PRECIOS'!$H967&gt;0,'LISTA DE PRECIOS'!A967,"")</f>
        <v/>
      </c>
      <c r="B953" t="str">
        <f>IF('LISTA DE PRECIOS'!$H967&gt;0,'LISTA DE PRECIOS'!B967,"")</f>
        <v/>
      </c>
      <c r="C953" t="str">
        <f>IF('LISTA DE PRECIOS'!$H967&gt;0,'LISTA DE PRECIOS'!C967,"")</f>
        <v/>
      </c>
      <c r="D953" s="67" t="str">
        <f>IF('LISTA DE PRECIOS'!$H967&gt;0,'LISTA DE PRECIOS'!D967,"")</f>
        <v/>
      </c>
      <c r="E953" t="str">
        <f>IF('LISTA DE PRECIOS'!$H967&gt;0,'LISTA DE PRECIOS'!E967,"")</f>
        <v/>
      </c>
      <c r="F953" t="str">
        <f>IF('LISTA DE PRECIOS'!$H967&gt;0,'LISTA DE PRECIOS'!F967,"")</f>
        <v/>
      </c>
      <c r="G953" s="31" t="str">
        <f>IF('LISTA DE PRECIOS'!$H967&gt;0,'LISTA DE PRECIOS'!G967,"")</f>
        <v/>
      </c>
      <c r="H953" s="67" t="str">
        <f>IF('LISTA DE PRECIOS'!$H967&gt;0,'LISTA DE PRECIOS'!H967,"")</f>
        <v/>
      </c>
      <c r="I953" s="31" t="str">
        <f t="shared" si="13"/>
        <v/>
      </c>
    </row>
    <row r="954" spans="1:9">
      <c r="A954" t="str">
        <f>IF('LISTA DE PRECIOS'!$H968&gt;0,'LISTA DE PRECIOS'!A968,"")</f>
        <v/>
      </c>
      <c r="B954" t="str">
        <f>IF('LISTA DE PRECIOS'!$H968&gt;0,'LISTA DE PRECIOS'!B968,"")</f>
        <v/>
      </c>
      <c r="C954" t="str">
        <f>IF('LISTA DE PRECIOS'!$H968&gt;0,'LISTA DE PRECIOS'!C968,"")</f>
        <v/>
      </c>
      <c r="D954" s="67" t="str">
        <f>IF('LISTA DE PRECIOS'!$H968&gt;0,'LISTA DE PRECIOS'!D968,"")</f>
        <v/>
      </c>
      <c r="E954" t="str">
        <f>IF('LISTA DE PRECIOS'!$H968&gt;0,'LISTA DE PRECIOS'!E968,"")</f>
        <v/>
      </c>
      <c r="F954" t="str">
        <f>IF('LISTA DE PRECIOS'!$H968&gt;0,'LISTA DE PRECIOS'!F968,"")</f>
        <v/>
      </c>
      <c r="G954" s="31" t="str">
        <f>IF('LISTA DE PRECIOS'!$H968&gt;0,'LISTA DE PRECIOS'!G968,"")</f>
        <v/>
      </c>
      <c r="H954" s="67" t="str">
        <f>IF('LISTA DE PRECIOS'!$H968&gt;0,'LISTA DE PRECIOS'!H968,"")</f>
        <v/>
      </c>
      <c r="I954" s="31" t="str">
        <f t="shared" si="13"/>
        <v/>
      </c>
    </row>
    <row r="955" spans="1:9">
      <c r="A955" t="str">
        <f>IF('LISTA DE PRECIOS'!$H969&gt;0,'LISTA DE PRECIOS'!A969,"")</f>
        <v/>
      </c>
      <c r="B955" t="str">
        <f>IF('LISTA DE PRECIOS'!$H969&gt;0,'LISTA DE PRECIOS'!B969,"")</f>
        <v/>
      </c>
      <c r="C955" t="str">
        <f>IF('LISTA DE PRECIOS'!$H969&gt;0,'LISTA DE PRECIOS'!C969,"")</f>
        <v/>
      </c>
      <c r="D955" s="67" t="str">
        <f>IF('LISTA DE PRECIOS'!$H969&gt;0,'LISTA DE PRECIOS'!D969,"")</f>
        <v/>
      </c>
      <c r="E955" t="str">
        <f>IF('LISTA DE PRECIOS'!$H969&gt;0,'LISTA DE PRECIOS'!E969,"")</f>
        <v/>
      </c>
      <c r="F955" t="str">
        <f>IF('LISTA DE PRECIOS'!$H969&gt;0,'LISTA DE PRECIOS'!F969,"")</f>
        <v/>
      </c>
      <c r="G955" s="31" t="str">
        <f>IF('LISTA DE PRECIOS'!$H969&gt;0,'LISTA DE PRECIOS'!G969,"")</f>
        <v/>
      </c>
      <c r="H955" s="67" t="str">
        <f>IF('LISTA DE PRECIOS'!$H969&gt;0,'LISTA DE PRECIOS'!H969,"")</f>
        <v/>
      </c>
      <c r="I955" s="31" t="str">
        <f t="shared" si="13"/>
        <v/>
      </c>
    </row>
    <row r="956" spans="1:9">
      <c r="A956" t="str">
        <f>IF('LISTA DE PRECIOS'!$H970&gt;0,'LISTA DE PRECIOS'!A970,"")</f>
        <v/>
      </c>
      <c r="B956" t="str">
        <f>IF('LISTA DE PRECIOS'!$H970&gt;0,'LISTA DE PRECIOS'!B970,"")</f>
        <v/>
      </c>
      <c r="C956" t="str">
        <f>IF('LISTA DE PRECIOS'!$H970&gt;0,'LISTA DE PRECIOS'!C970,"")</f>
        <v/>
      </c>
      <c r="D956" s="67" t="str">
        <f>IF('LISTA DE PRECIOS'!$H970&gt;0,'LISTA DE PRECIOS'!D970,"")</f>
        <v/>
      </c>
      <c r="E956" t="str">
        <f>IF('LISTA DE PRECIOS'!$H970&gt;0,'LISTA DE PRECIOS'!E970,"")</f>
        <v/>
      </c>
      <c r="F956" t="str">
        <f>IF('LISTA DE PRECIOS'!$H970&gt;0,'LISTA DE PRECIOS'!F970,"")</f>
        <v/>
      </c>
      <c r="G956" s="31" t="str">
        <f>IF('LISTA DE PRECIOS'!$H970&gt;0,'LISTA DE PRECIOS'!G970,"")</f>
        <v/>
      </c>
      <c r="H956" s="67" t="str">
        <f>IF('LISTA DE PRECIOS'!$H970&gt;0,'LISTA DE PRECIOS'!H970,"")</f>
        <v/>
      </c>
      <c r="I956" s="31" t="str">
        <f t="shared" si="13"/>
        <v/>
      </c>
    </row>
    <row r="957" spans="1:9">
      <c r="A957" t="str">
        <f>IF('LISTA DE PRECIOS'!$H971&gt;0,'LISTA DE PRECIOS'!A971,"")</f>
        <v/>
      </c>
      <c r="B957" t="str">
        <f>IF('LISTA DE PRECIOS'!$H971&gt;0,'LISTA DE PRECIOS'!B971,"")</f>
        <v/>
      </c>
      <c r="C957" t="str">
        <f>IF('LISTA DE PRECIOS'!$H971&gt;0,'LISTA DE PRECIOS'!C971,"")</f>
        <v/>
      </c>
      <c r="D957" s="67" t="str">
        <f>IF('LISTA DE PRECIOS'!$H971&gt;0,'LISTA DE PRECIOS'!D971,"")</f>
        <v/>
      </c>
      <c r="E957" t="str">
        <f>IF('LISTA DE PRECIOS'!$H971&gt;0,'LISTA DE PRECIOS'!E971,"")</f>
        <v/>
      </c>
      <c r="F957" t="str">
        <f>IF('LISTA DE PRECIOS'!$H971&gt;0,'LISTA DE PRECIOS'!F971,"")</f>
        <v/>
      </c>
      <c r="G957" s="31" t="str">
        <f>IF('LISTA DE PRECIOS'!$H971&gt;0,'LISTA DE PRECIOS'!G971,"")</f>
        <v/>
      </c>
      <c r="H957" s="67" t="str">
        <f>IF('LISTA DE PRECIOS'!$H971&gt;0,'LISTA DE PRECIOS'!H971,"")</f>
        <v/>
      </c>
      <c r="I957" s="31" t="str">
        <f t="shared" si="13"/>
        <v/>
      </c>
    </row>
    <row r="958" spans="1:9">
      <c r="A958" t="str">
        <f>IF('LISTA DE PRECIOS'!$H972&gt;0,'LISTA DE PRECIOS'!A972,"")</f>
        <v/>
      </c>
      <c r="B958" t="str">
        <f>IF('LISTA DE PRECIOS'!$H972&gt;0,'LISTA DE PRECIOS'!B972,"")</f>
        <v/>
      </c>
      <c r="C958" t="str">
        <f>IF('LISTA DE PRECIOS'!$H972&gt;0,'LISTA DE PRECIOS'!C972,"")</f>
        <v/>
      </c>
      <c r="D958" s="67" t="str">
        <f>IF('LISTA DE PRECIOS'!$H972&gt;0,'LISTA DE PRECIOS'!D972,"")</f>
        <v/>
      </c>
      <c r="E958" t="str">
        <f>IF('LISTA DE PRECIOS'!$H972&gt;0,'LISTA DE PRECIOS'!E972,"")</f>
        <v/>
      </c>
      <c r="F958" t="str">
        <f>IF('LISTA DE PRECIOS'!$H972&gt;0,'LISTA DE PRECIOS'!F972,"")</f>
        <v/>
      </c>
      <c r="G958" s="31" t="str">
        <f>IF('LISTA DE PRECIOS'!$H972&gt;0,'LISTA DE PRECIOS'!G972,"")</f>
        <v/>
      </c>
      <c r="H958" s="67" t="str">
        <f>IF('LISTA DE PRECIOS'!$H972&gt;0,'LISTA DE PRECIOS'!H972,"")</f>
        <v/>
      </c>
      <c r="I958" s="31" t="str">
        <f t="shared" si="13"/>
        <v/>
      </c>
    </row>
    <row r="959" spans="1:9">
      <c r="A959" t="str">
        <f>IF('LISTA DE PRECIOS'!$H973&gt;0,'LISTA DE PRECIOS'!A973,"")</f>
        <v/>
      </c>
      <c r="B959" t="str">
        <f>IF('LISTA DE PRECIOS'!$H973&gt;0,'LISTA DE PRECIOS'!B973,"")</f>
        <v/>
      </c>
      <c r="C959" t="str">
        <f>IF('LISTA DE PRECIOS'!$H973&gt;0,'LISTA DE PRECIOS'!C973,"")</f>
        <v/>
      </c>
      <c r="D959" s="67" t="str">
        <f>IF('LISTA DE PRECIOS'!$H973&gt;0,'LISTA DE PRECIOS'!D973,"")</f>
        <v/>
      </c>
      <c r="E959" t="str">
        <f>IF('LISTA DE PRECIOS'!$H973&gt;0,'LISTA DE PRECIOS'!E973,"")</f>
        <v/>
      </c>
      <c r="F959" t="str">
        <f>IF('LISTA DE PRECIOS'!$H973&gt;0,'LISTA DE PRECIOS'!F973,"")</f>
        <v/>
      </c>
      <c r="G959" s="31" t="str">
        <f>IF('LISTA DE PRECIOS'!$H973&gt;0,'LISTA DE PRECIOS'!G973,"")</f>
        <v/>
      </c>
      <c r="H959" s="67" t="str">
        <f>IF('LISTA DE PRECIOS'!$H973&gt;0,'LISTA DE PRECIOS'!H973,"")</f>
        <v/>
      </c>
      <c r="I959" s="31" t="str">
        <f t="shared" si="13"/>
        <v/>
      </c>
    </row>
    <row r="960" spans="1:9">
      <c r="A960" t="str">
        <f>IF('LISTA DE PRECIOS'!$H974&gt;0,'LISTA DE PRECIOS'!A974,"")</f>
        <v/>
      </c>
      <c r="B960" t="str">
        <f>IF('LISTA DE PRECIOS'!$H974&gt;0,'LISTA DE PRECIOS'!B974,"")</f>
        <v/>
      </c>
      <c r="C960" t="str">
        <f>IF('LISTA DE PRECIOS'!$H974&gt;0,'LISTA DE PRECIOS'!C974,"")</f>
        <v/>
      </c>
      <c r="D960" s="67" t="str">
        <f>IF('LISTA DE PRECIOS'!$H974&gt;0,'LISTA DE PRECIOS'!D974,"")</f>
        <v/>
      </c>
      <c r="E960" t="str">
        <f>IF('LISTA DE PRECIOS'!$H974&gt;0,'LISTA DE PRECIOS'!E974,"")</f>
        <v/>
      </c>
      <c r="F960" t="str">
        <f>IF('LISTA DE PRECIOS'!$H974&gt;0,'LISTA DE PRECIOS'!F974,"")</f>
        <v/>
      </c>
      <c r="G960" s="31" t="str">
        <f>IF('LISTA DE PRECIOS'!$H974&gt;0,'LISTA DE PRECIOS'!G974,"")</f>
        <v/>
      </c>
      <c r="H960" s="67" t="str">
        <f>IF('LISTA DE PRECIOS'!$H974&gt;0,'LISTA DE PRECIOS'!H974,"")</f>
        <v/>
      </c>
      <c r="I960" s="31" t="str">
        <f t="shared" si="13"/>
        <v/>
      </c>
    </row>
    <row r="961" spans="1:9">
      <c r="A961" t="str">
        <f>IF('LISTA DE PRECIOS'!$H975&gt;0,'LISTA DE PRECIOS'!A975,"")</f>
        <v/>
      </c>
      <c r="B961" t="str">
        <f>IF('LISTA DE PRECIOS'!$H975&gt;0,'LISTA DE PRECIOS'!B975,"")</f>
        <v/>
      </c>
      <c r="C961" t="str">
        <f>IF('LISTA DE PRECIOS'!$H975&gt;0,'LISTA DE PRECIOS'!C975,"")</f>
        <v/>
      </c>
      <c r="D961" s="67" t="str">
        <f>IF('LISTA DE PRECIOS'!$H975&gt;0,'LISTA DE PRECIOS'!D975,"")</f>
        <v/>
      </c>
      <c r="E961" t="str">
        <f>IF('LISTA DE PRECIOS'!$H975&gt;0,'LISTA DE PRECIOS'!E975,"")</f>
        <v/>
      </c>
      <c r="F961" t="str">
        <f>IF('LISTA DE PRECIOS'!$H975&gt;0,'LISTA DE PRECIOS'!F975,"")</f>
        <v/>
      </c>
      <c r="G961" s="31" t="str">
        <f>IF('LISTA DE PRECIOS'!$H975&gt;0,'LISTA DE PRECIOS'!G975,"")</f>
        <v/>
      </c>
      <c r="H961" s="67" t="str">
        <f>IF('LISTA DE PRECIOS'!$H975&gt;0,'LISTA DE PRECIOS'!H975,"")</f>
        <v/>
      </c>
      <c r="I961" s="31" t="str">
        <f t="shared" si="13"/>
        <v/>
      </c>
    </row>
    <row r="962" spans="1:9">
      <c r="A962" t="str">
        <f>IF('LISTA DE PRECIOS'!$H976&gt;0,'LISTA DE PRECIOS'!A976,"")</f>
        <v/>
      </c>
      <c r="B962" t="str">
        <f>IF('LISTA DE PRECIOS'!$H976&gt;0,'LISTA DE PRECIOS'!B976,"")</f>
        <v/>
      </c>
      <c r="C962" t="str">
        <f>IF('LISTA DE PRECIOS'!$H976&gt;0,'LISTA DE PRECIOS'!C976,"")</f>
        <v/>
      </c>
      <c r="D962" s="67" t="str">
        <f>IF('LISTA DE PRECIOS'!$H976&gt;0,'LISTA DE PRECIOS'!D976,"")</f>
        <v/>
      </c>
      <c r="E962" t="str">
        <f>IF('LISTA DE PRECIOS'!$H976&gt;0,'LISTA DE PRECIOS'!E976,"")</f>
        <v/>
      </c>
      <c r="F962" t="str">
        <f>IF('LISTA DE PRECIOS'!$H976&gt;0,'LISTA DE PRECIOS'!F976,"")</f>
        <v/>
      </c>
      <c r="G962" s="31" t="str">
        <f>IF('LISTA DE PRECIOS'!$H976&gt;0,'LISTA DE PRECIOS'!G976,"")</f>
        <v/>
      </c>
      <c r="H962" s="67" t="str">
        <f>IF('LISTA DE PRECIOS'!$H976&gt;0,'LISTA DE PRECIOS'!H976,"")</f>
        <v/>
      </c>
      <c r="I962" s="31" t="str">
        <f t="shared" si="13"/>
        <v/>
      </c>
    </row>
    <row r="963" spans="1:9">
      <c r="A963" t="str">
        <f>IF('LISTA DE PRECIOS'!$H977&gt;0,'LISTA DE PRECIOS'!A977,"")</f>
        <v/>
      </c>
      <c r="B963" t="str">
        <f>IF('LISTA DE PRECIOS'!$H977&gt;0,'LISTA DE PRECIOS'!B977,"")</f>
        <v/>
      </c>
      <c r="C963" t="str">
        <f>IF('LISTA DE PRECIOS'!$H977&gt;0,'LISTA DE PRECIOS'!C977,"")</f>
        <v/>
      </c>
      <c r="D963" s="67" t="str">
        <f>IF('LISTA DE PRECIOS'!$H977&gt;0,'LISTA DE PRECIOS'!D977,"")</f>
        <v/>
      </c>
      <c r="E963" t="str">
        <f>IF('LISTA DE PRECIOS'!$H977&gt;0,'LISTA DE PRECIOS'!E977,"")</f>
        <v/>
      </c>
      <c r="F963" t="str">
        <f>IF('LISTA DE PRECIOS'!$H977&gt;0,'LISTA DE PRECIOS'!F977,"")</f>
        <v/>
      </c>
      <c r="G963" s="31" t="str">
        <f>IF('LISTA DE PRECIOS'!$H977&gt;0,'LISTA DE PRECIOS'!G977,"")</f>
        <v/>
      </c>
      <c r="H963" s="67" t="str">
        <f>IF('LISTA DE PRECIOS'!$H977&gt;0,'LISTA DE PRECIOS'!H977,"")</f>
        <v/>
      </c>
      <c r="I963" s="31" t="str">
        <f t="shared" si="13"/>
        <v/>
      </c>
    </row>
    <row r="964" spans="1:9">
      <c r="A964" t="str">
        <f>IF('LISTA DE PRECIOS'!$H978&gt;0,'LISTA DE PRECIOS'!A978,"")</f>
        <v/>
      </c>
      <c r="B964" t="str">
        <f>IF('LISTA DE PRECIOS'!$H978&gt;0,'LISTA DE PRECIOS'!B978,"")</f>
        <v/>
      </c>
      <c r="C964" t="str">
        <f>IF('LISTA DE PRECIOS'!$H978&gt;0,'LISTA DE PRECIOS'!C978,"")</f>
        <v/>
      </c>
      <c r="D964" s="67" t="str">
        <f>IF('LISTA DE PRECIOS'!$H978&gt;0,'LISTA DE PRECIOS'!D978,"")</f>
        <v/>
      </c>
      <c r="E964" t="str">
        <f>IF('LISTA DE PRECIOS'!$H978&gt;0,'LISTA DE PRECIOS'!E978,"")</f>
        <v/>
      </c>
      <c r="F964" t="str">
        <f>IF('LISTA DE PRECIOS'!$H978&gt;0,'LISTA DE PRECIOS'!F978,"")</f>
        <v/>
      </c>
      <c r="G964" s="31" t="str">
        <f>IF('LISTA DE PRECIOS'!$H978&gt;0,'LISTA DE PRECIOS'!G978,"")</f>
        <v/>
      </c>
      <c r="H964" s="67" t="str">
        <f>IF('LISTA DE PRECIOS'!$H978&gt;0,'LISTA DE PRECIOS'!H978,"")</f>
        <v/>
      </c>
      <c r="I964" s="31" t="str">
        <f t="shared" si="13"/>
        <v/>
      </c>
    </row>
    <row r="965" spans="1:9">
      <c r="A965" t="str">
        <f>IF('LISTA DE PRECIOS'!$H979&gt;0,'LISTA DE PRECIOS'!A979,"")</f>
        <v/>
      </c>
      <c r="B965" t="str">
        <f>IF('LISTA DE PRECIOS'!$H979&gt;0,'LISTA DE PRECIOS'!B979,"")</f>
        <v/>
      </c>
      <c r="C965" t="str">
        <f>IF('LISTA DE PRECIOS'!$H979&gt;0,'LISTA DE PRECIOS'!C979,"")</f>
        <v/>
      </c>
      <c r="D965" s="67" t="str">
        <f>IF('LISTA DE PRECIOS'!$H979&gt;0,'LISTA DE PRECIOS'!D979,"")</f>
        <v/>
      </c>
      <c r="E965" t="str">
        <f>IF('LISTA DE PRECIOS'!$H979&gt;0,'LISTA DE PRECIOS'!E979,"")</f>
        <v/>
      </c>
      <c r="F965" t="str">
        <f>IF('LISTA DE PRECIOS'!$H979&gt;0,'LISTA DE PRECIOS'!F979,"")</f>
        <v/>
      </c>
      <c r="G965" s="31" t="str">
        <f>IF('LISTA DE PRECIOS'!$H979&gt;0,'LISTA DE PRECIOS'!G979,"")</f>
        <v/>
      </c>
      <c r="H965" s="67" t="str">
        <f>IF('LISTA DE PRECIOS'!$H979&gt;0,'LISTA DE PRECIOS'!H979,"")</f>
        <v/>
      </c>
      <c r="I965" s="31" t="str">
        <f t="shared" si="13"/>
        <v/>
      </c>
    </row>
    <row r="966" spans="1:9">
      <c r="A966" t="str">
        <f>IF('LISTA DE PRECIOS'!$H980&gt;0,'LISTA DE PRECIOS'!A980,"")</f>
        <v/>
      </c>
      <c r="B966" t="str">
        <f>IF('LISTA DE PRECIOS'!$H980&gt;0,'LISTA DE PRECIOS'!B980,"")</f>
        <v/>
      </c>
      <c r="C966" t="str">
        <f>IF('LISTA DE PRECIOS'!$H980&gt;0,'LISTA DE PRECIOS'!C980,"")</f>
        <v/>
      </c>
      <c r="D966" s="67" t="str">
        <f>IF('LISTA DE PRECIOS'!$H980&gt;0,'LISTA DE PRECIOS'!D980,"")</f>
        <v/>
      </c>
      <c r="E966" t="str">
        <f>IF('LISTA DE PRECIOS'!$H980&gt;0,'LISTA DE PRECIOS'!E980,"")</f>
        <v/>
      </c>
      <c r="F966" t="str">
        <f>IF('LISTA DE PRECIOS'!$H980&gt;0,'LISTA DE PRECIOS'!F980,"")</f>
        <v/>
      </c>
      <c r="G966" s="31" t="str">
        <f>IF('LISTA DE PRECIOS'!$H980&gt;0,'LISTA DE PRECIOS'!G980,"")</f>
        <v/>
      </c>
      <c r="H966" s="67" t="str">
        <f>IF('LISTA DE PRECIOS'!$H980&gt;0,'LISTA DE PRECIOS'!H980,"")</f>
        <v/>
      </c>
      <c r="I966" s="31" t="str">
        <f t="shared" si="13"/>
        <v/>
      </c>
    </row>
    <row r="967" spans="1:9">
      <c r="A967" t="str">
        <f>IF('LISTA DE PRECIOS'!$H981&gt;0,'LISTA DE PRECIOS'!A981,"")</f>
        <v/>
      </c>
      <c r="B967" t="str">
        <f>IF('LISTA DE PRECIOS'!$H981&gt;0,'LISTA DE PRECIOS'!B981,"")</f>
        <v/>
      </c>
      <c r="C967" t="str">
        <f>IF('LISTA DE PRECIOS'!$H981&gt;0,'LISTA DE PRECIOS'!C981,"")</f>
        <v/>
      </c>
      <c r="D967" s="67" t="str">
        <f>IF('LISTA DE PRECIOS'!$H981&gt;0,'LISTA DE PRECIOS'!D981,"")</f>
        <v/>
      </c>
      <c r="E967" t="str">
        <f>IF('LISTA DE PRECIOS'!$H981&gt;0,'LISTA DE PRECIOS'!E981,"")</f>
        <v/>
      </c>
      <c r="F967" t="str">
        <f>IF('LISTA DE PRECIOS'!$H981&gt;0,'LISTA DE PRECIOS'!F981,"")</f>
        <v/>
      </c>
      <c r="G967" s="31" t="str">
        <f>IF('LISTA DE PRECIOS'!$H981&gt;0,'LISTA DE PRECIOS'!G981,"")</f>
        <v/>
      </c>
      <c r="H967" s="67" t="str">
        <f>IF('LISTA DE PRECIOS'!$H981&gt;0,'LISTA DE PRECIOS'!H981,"")</f>
        <v/>
      </c>
      <c r="I967" s="31" t="str">
        <f t="shared" si="13"/>
        <v/>
      </c>
    </row>
    <row r="968" spans="1:9">
      <c r="A968" t="str">
        <f>IF('LISTA DE PRECIOS'!$H982&gt;0,'LISTA DE PRECIOS'!A982,"")</f>
        <v/>
      </c>
      <c r="B968" t="str">
        <f>IF('LISTA DE PRECIOS'!$H982&gt;0,'LISTA DE PRECIOS'!B982,"")</f>
        <v/>
      </c>
      <c r="C968" t="str">
        <f>IF('LISTA DE PRECIOS'!$H982&gt;0,'LISTA DE PRECIOS'!C982,"")</f>
        <v/>
      </c>
      <c r="D968" s="67" t="str">
        <f>IF('LISTA DE PRECIOS'!$H982&gt;0,'LISTA DE PRECIOS'!D982,"")</f>
        <v/>
      </c>
      <c r="E968" t="str">
        <f>IF('LISTA DE PRECIOS'!$H982&gt;0,'LISTA DE PRECIOS'!E982,"")</f>
        <v/>
      </c>
      <c r="F968" t="str">
        <f>IF('LISTA DE PRECIOS'!$H982&gt;0,'LISTA DE PRECIOS'!F982,"")</f>
        <v/>
      </c>
      <c r="G968" s="31" t="str">
        <f>IF('LISTA DE PRECIOS'!$H982&gt;0,'LISTA DE PRECIOS'!G982,"")</f>
        <v/>
      </c>
      <c r="H968" s="67" t="str">
        <f>IF('LISTA DE PRECIOS'!$H982&gt;0,'LISTA DE PRECIOS'!H982,"")</f>
        <v/>
      </c>
      <c r="I968" s="31" t="str">
        <f t="shared" si="13"/>
        <v/>
      </c>
    </row>
    <row r="969" spans="1:9">
      <c r="A969" t="str">
        <f>IF('LISTA DE PRECIOS'!$H983&gt;0,'LISTA DE PRECIOS'!A983,"")</f>
        <v/>
      </c>
      <c r="B969" t="str">
        <f>IF('LISTA DE PRECIOS'!$H983&gt;0,'LISTA DE PRECIOS'!B983,"")</f>
        <v/>
      </c>
      <c r="C969" t="str">
        <f>IF('LISTA DE PRECIOS'!$H983&gt;0,'LISTA DE PRECIOS'!C983,"")</f>
        <v/>
      </c>
      <c r="D969" s="67" t="str">
        <f>IF('LISTA DE PRECIOS'!$H983&gt;0,'LISTA DE PRECIOS'!D983,"")</f>
        <v/>
      </c>
      <c r="E969" t="str">
        <f>IF('LISTA DE PRECIOS'!$H983&gt;0,'LISTA DE PRECIOS'!E983,"")</f>
        <v/>
      </c>
      <c r="F969" t="str">
        <f>IF('LISTA DE PRECIOS'!$H983&gt;0,'LISTA DE PRECIOS'!F983,"")</f>
        <v/>
      </c>
      <c r="G969" s="31" t="str">
        <f>IF('LISTA DE PRECIOS'!$H983&gt;0,'LISTA DE PRECIOS'!G983,"")</f>
        <v/>
      </c>
      <c r="H969" s="67" t="str">
        <f>IF('LISTA DE PRECIOS'!$H983&gt;0,'LISTA DE PRECIOS'!H983,"")</f>
        <v/>
      </c>
      <c r="I969" s="31" t="str">
        <f t="shared" si="13"/>
        <v/>
      </c>
    </row>
    <row r="970" spans="1:9">
      <c r="A970" t="str">
        <f>IF('LISTA DE PRECIOS'!$H984&gt;0,'LISTA DE PRECIOS'!A984,"")</f>
        <v/>
      </c>
      <c r="B970" t="str">
        <f>IF('LISTA DE PRECIOS'!$H984&gt;0,'LISTA DE PRECIOS'!B984,"")</f>
        <v/>
      </c>
      <c r="C970" t="str">
        <f>IF('LISTA DE PRECIOS'!$H984&gt;0,'LISTA DE PRECIOS'!C984,"")</f>
        <v/>
      </c>
      <c r="D970" s="67" t="str">
        <f>IF('LISTA DE PRECIOS'!$H984&gt;0,'LISTA DE PRECIOS'!D984,"")</f>
        <v/>
      </c>
      <c r="E970" t="str">
        <f>IF('LISTA DE PRECIOS'!$H984&gt;0,'LISTA DE PRECIOS'!E984,"")</f>
        <v/>
      </c>
      <c r="F970" t="str">
        <f>IF('LISTA DE PRECIOS'!$H984&gt;0,'LISTA DE PRECIOS'!F984,"")</f>
        <v/>
      </c>
      <c r="G970" s="31" t="str">
        <f>IF('LISTA DE PRECIOS'!$H984&gt;0,'LISTA DE PRECIOS'!G984,"")</f>
        <v/>
      </c>
      <c r="H970" s="67" t="str">
        <f>IF('LISTA DE PRECIOS'!$H984&gt;0,'LISTA DE PRECIOS'!H984,"")</f>
        <v/>
      </c>
      <c r="I970" s="31" t="str">
        <f t="shared" si="13"/>
        <v/>
      </c>
    </row>
    <row r="971" spans="1:9">
      <c r="A971" t="str">
        <f>IF('LISTA DE PRECIOS'!$H985&gt;0,'LISTA DE PRECIOS'!A985,"")</f>
        <v/>
      </c>
      <c r="B971" t="str">
        <f>IF('LISTA DE PRECIOS'!$H985&gt;0,'LISTA DE PRECIOS'!B985,"")</f>
        <v/>
      </c>
      <c r="C971" t="str">
        <f>IF('LISTA DE PRECIOS'!$H985&gt;0,'LISTA DE PRECIOS'!C985,"")</f>
        <v/>
      </c>
      <c r="D971" s="67" t="str">
        <f>IF('LISTA DE PRECIOS'!$H985&gt;0,'LISTA DE PRECIOS'!D985,"")</f>
        <v/>
      </c>
      <c r="E971" t="str">
        <f>IF('LISTA DE PRECIOS'!$H985&gt;0,'LISTA DE PRECIOS'!E985,"")</f>
        <v/>
      </c>
      <c r="F971" t="str">
        <f>IF('LISTA DE PRECIOS'!$H985&gt;0,'LISTA DE PRECIOS'!F985,"")</f>
        <v/>
      </c>
      <c r="G971" s="31" t="str">
        <f>IF('LISTA DE PRECIOS'!$H985&gt;0,'LISTA DE PRECIOS'!G985,"")</f>
        <v/>
      </c>
      <c r="H971" s="67" t="str">
        <f>IF('LISTA DE PRECIOS'!$H985&gt;0,'LISTA DE PRECIOS'!H985,"")</f>
        <v/>
      </c>
      <c r="I971" s="31" t="str">
        <f t="shared" si="13"/>
        <v/>
      </c>
    </row>
    <row r="972" spans="1:9">
      <c r="A972" t="str">
        <f>IF('LISTA DE PRECIOS'!$H986&gt;0,'LISTA DE PRECIOS'!A986,"")</f>
        <v/>
      </c>
      <c r="B972" t="str">
        <f>IF('LISTA DE PRECIOS'!$H986&gt;0,'LISTA DE PRECIOS'!B986,"")</f>
        <v/>
      </c>
      <c r="C972" t="str">
        <f>IF('LISTA DE PRECIOS'!$H986&gt;0,'LISTA DE PRECIOS'!C986,"")</f>
        <v/>
      </c>
      <c r="D972" s="67" t="str">
        <f>IF('LISTA DE PRECIOS'!$H986&gt;0,'LISTA DE PRECIOS'!D986,"")</f>
        <v/>
      </c>
      <c r="E972" t="str">
        <f>IF('LISTA DE PRECIOS'!$H986&gt;0,'LISTA DE PRECIOS'!E986,"")</f>
        <v/>
      </c>
      <c r="F972" t="str">
        <f>IF('LISTA DE PRECIOS'!$H986&gt;0,'LISTA DE PRECIOS'!F986,"")</f>
        <v/>
      </c>
      <c r="G972" s="31" t="str">
        <f>IF('LISTA DE PRECIOS'!$H986&gt;0,'LISTA DE PRECIOS'!G986,"")</f>
        <v/>
      </c>
      <c r="H972" s="67" t="str">
        <f>IF('LISTA DE PRECIOS'!$H986&gt;0,'LISTA DE PRECIOS'!H986,"")</f>
        <v/>
      </c>
      <c r="I972" s="31" t="str">
        <f t="shared" si="13"/>
        <v/>
      </c>
    </row>
    <row r="973" spans="1:9">
      <c r="A973" t="str">
        <f>IF('LISTA DE PRECIOS'!$H987&gt;0,'LISTA DE PRECIOS'!A987,"")</f>
        <v/>
      </c>
      <c r="B973" t="str">
        <f>IF('LISTA DE PRECIOS'!$H987&gt;0,'LISTA DE PRECIOS'!B987,"")</f>
        <v/>
      </c>
      <c r="C973" t="str">
        <f>IF('LISTA DE PRECIOS'!$H987&gt;0,'LISTA DE PRECIOS'!C987,"")</f>
        <v/>
      </c>
      <c r="D973" s="67" t="str">
        <f>IF('LISTA DE PRECIOS'!$H987&gt;0,'LISTA DE PRECIOS'!D987,"")</f>
        <v/>
      </c>
      <c r="E973" t="str">
        <f>IF('LISTA DE PRECIOS'!$H987&gt;0,'LISTA DE PRECIOS'!E987,"")</f>
        <v/>
      </c>
      <c r="F973" t="str">
        <f>IF('LISTA DE PRECIOS'!$H987&gt;0,'LISTA DE PRECIOS'!F987,"")</f>
        <v/>
      </c>
      <c r="G973" s="31" t="str">
        <f>IF('LISTA DE PRECIOS'!$H987&gt;0,'LISTA DE PRECIOS'!G987,"")</f>
        <v/>
      </c>
      <c r="H973" s="67" t="str">
        <f>IF('LISTA DE PRECIOS'!$H987&gt;0,'LISTA DE PRECIOS'!H987,"")</f>
        <v/>
      </c>
      <c r="I973" s="31" t="str">
        <f t="shared" si="13"/>
        <v/>
      </c>
    </row>
    <row r="974" spans="1:9">
      <c r="A974" t="str">
        <f>IF('LISTA DE PRECIOS'!$H988&gt;0,'LISTA DE PRECIOS'!A988,"")</f>
        <v/>
      </c>
      <c r="B974" t="str">
        <f>IF('LISTA DE PRECIOS'!$H988&gt;0,'LISTA DE PRECIOS'!B988,"")</f>
        <v/>
      </c>
      <c r="C974" t="str">
        <f>IF('LISTA DE PRECIOS'!$H988&gt;0,'LISTA DE PRECIOS'!C988,"")</f>
        <v/>
      </c>
      <c r="D974" s="67" t="str">
        <f>IF('LISTA DE PRECIOS'!$H988&gt;0,'LISTA DE PRECIOS'!D988,"")</f>
        <v/>
      </c>
      <c r="E974" t="str">
        <f>IF('LISTA DE PRECIOS'!$H988&gt;0,'LISTA DE PRECIOS'!E988,"")</f>
        <v/>
      </c>
      <c r="F974" t="str">
        <f>IF('LISTA DE PRECIOS'!$H988&gt;0,'LISTA DE PRECIOS'!F988,"")</f>
        <v/>
      </c>
      <c r="G974" s="31" t="str">
        <f>IF('LISTA DE PRECIOS'!$H988&gt;0,'LISTA DE PRECIOS'!G988,"")</f>
        <v/>
      </c>
      <c r="H974" s="67" t="str">
        <f>IF('LISTA DE PRECIOS'!$H988&gt;0,'LISTA DE PRECIOS'!H988,"")</f>
        <v/>
      </c>
      <c r="I974" s="31" t="str">
        <f t="shared" si="13"/>
        <v/>
      </c>
    </row>
    <row r="975" spans="1:9">
      <c r="A975" t="str">
        <f>IF('LISTA DE PRECIOS'!$H989&gt;0,'LISTA DE PRECIOS'!A989,"")</f>
        <v/>
      </c>
      <c r="B975" t="str">
        <f>IF('LISTA DE PRECIOS'!$H989&gt;0,'LISTA DE PRECIOS'!B989,"")</f>
        <v/>
      </c>
      <c r="C975" t="str">
        <f>IF('LISTA DE PRECIOS'!$H989&gt;0,'LISTA DE PRECIOS'!C989,"")</f>
        <v/>
      </c>
      <c r="D975" s="67" t="str">
        <f>IF('LISTA DE PRECIOS'!$H989&gt;0,'LISTA DE PRECIOS'!D989,"")</f>
        <v/>
      </c>
      <c r="E975" t="str">
        <f>IF('LISTA DE PRECIOS'!$H989&gt;0,'LISTA DE PRECIOS'!E989,"")</f>
        <v/>
      </c>
      <c r="F975" t="str">
        <f>IF('LISTA DE PRECIOS'!$H989&gt;0,'LISTA DE PRECIOS'!F989,"")</f>
        <v/>
      </c>
      <c r="G975" s="31" t="str">
        <f>IF('LISTA DE PRECIOS'!$H989&gt;0,'LISTA DE PRECIOS'!G989,"")</f>
        <v/>
      </c>
      <c r="H975" s="67" t="str">
        <f>IF('LISTA DE PRECIOS'!$H989&gt;0,'LISTA DE PRECIOS'!H989,"")</f>
        <v/>
      </c>
      <c r="I975" s="31" t="str">
        <f t="shared" si="13"/>
        <v/>
      </c>
    </row>
    <row r="976" spans="1:9">
      <c r="A976" t="str">
        <f>IF('LISTA DE PRECIOS'!$H990&gt;0,'LISTA DE PRECIOS'!A990,"")</f>
        <v/>
      </c>
      <c r="B976" t="str">
        <f>IF('LISTA DE PRECIOS'!$H990&gt;0,'LISTA DE PRECIOS'!B990,"")</f>
        <v/>
      </c>
      <c r="C976" t="str">
        <f>IF('LISTA DE PRECIOS'!$H990&gt;0,'LISTA DE PRECIOS'!C990,"")</f>
        <v/>
      </c>
      <c r="D976" s="67" t="str">
        <f>IF('LISTA DE PRECIOS'!$H990&gt;0,'LISTA DE PRECIOS'!D990,"")</f>
        <v/>
      </c>
      <c r="E976" t="str">
        <f>IF('LISTA DE PRECIOS'!$H990&gt;0,'LISTA DE PRECIOS'!E990,"")</f>
        <v/>
      </c>
      <c r="F976" t="str">
        <f>IF('LISTA DE PRECIOS'!$H990&gt;0,'LISTA DE PRECIOS'!F990,"")</f>
        <v/>
      </c>
      <c r="G976" s="31" t="str">
        <f>IF('LISTA DE PRECIOS'!$H990&gt;0,'LISTA DE PRECIOS'!G990,"")</f>
        <v/>
      </c>
      <c r="H976" s="67" t="str">
        <f>IF('LISTA DE PRECIOS'!$H990&gt;0,'LISTA DE PRECIOS'!H990,"")</f>
        <v/>
      </c>
      <c r="I976" s="31" t="str">
        <f t="shared" si="13"/>
        <v/>
      </c>
    </row>
    <row r="977" spans="1:9">
      <c r="A977" t="str">
        <f>IF('LISTA DE PRECIOS'!$H991&gt;0,'LISTA DE PRECIOS'!A991,"")</f>
        <v/>
      </c>
      <c r="B977" t="str">
        <f>IF('LISTA DE PRECIOS'!$H991&gt;0,'LISTA DE PRECIOS'!B991,"")</f>
        <v/>
      </c>
      <c r="C977" t="str">
        <f>IF('LISTA DE PRECIOS'!$H991&gt;0,'LISTA DE PRECIOS'!C991,"")</f>
        <v/>
      </c>
      <c r="D977" s="67" t="str">
        <f>IF('LISTA DE PRECIOS'!$H991&gt;0,'LISTA DE PRECIOS'!D991,"")</f>
        <v/>
      </c>
      <c r="E977" t="str">
        <f>IF('LISTA DE PRECIOS'!$H991&gt;0,'LISTA DE PRECIOS'!E991,"")</f>
        <v/>
      </c>
      <c r="F977" t="str">
        <f>IF('LISTA DE PRECIOS'!$H991&gt;0,'LISTA DE PRECIOS'!F991,"")</f>
        <v/>
      </c>
      <c r="G977" s="31" t="str">
        <f>IF('LISTA DE PRECIOS'!$H991&gt;0,'LISTA DE PRECIOS'!G991,"")</f>
        <v/>
      </c>
      <c r="H977" s="67" t="str">
        <f>IF('LISTA DE PRECIOS'!$H991&gt;0,'LISTA DE PRECIOS'!H991,"")</f>
        <v/>
      </c>
      <c r="I977" s="31" t="str">
        <f t="shared" ref="I977:I1040" si="14">IF(OR(G977="",H977=""),"",G977*H977)</f>
        <v/>
      </c>
    </row>
    <row r="978" spans="1:9">
      <c r="A978" t="str">
        <f>IF('LISTA DE PRECIOS'!$H992&gt;0,'LISTA DE PRECIOS'!A992,"")</f>
        <v/>
      </c>
      <c r="B978" t="str">
        <f>IF('LISTA DE PRECIOS'!$H992&gt;0,'LISTA DE PRECIOS'!B992,"")</f>
        <v/>
      </c>
      <c r="C978" t="str">
        <f>IF('LISTA DE PRECIOS'!$H992&gt;0,'LISTA DE PRECIOS'!C992,"")</f>
        <v/>
      </c>
      <c r="D978" s="67" t="str">
        <f>IF('LISTA DE PRECIOS'!$H992&gt;0,'LISTA DE PRECIOS'!D992,"")</f>
        <v/>
      </c>
      <c r="E978" t="str">
        <f>IF('LISTA DE PRECIOS'!$H992&gt;0,'LISTA DE PRECIOS'!E992,"")</f>
        <v/>
      </c>
      <c r="F978" t="str">
        <f>IF('LISTA DE PRECIOS'!$H992&gt;0,'LISTA DE PRECIOS'!F992,"")</f>
        <v/>
      </c>
      <c r="G978" s="31" t="str">
        <f>IF('LISTA DE PRECIOS'!$H992&gt;0,'LISTA DE PRECIOS'!G992,"")</f>
        <v/>
      </c>
      <c r="H978" s="67" t="str">
        <f>IF('LISTA DE PRECIOS'!$H992&gt;0,'LISTA DE PRECIOS'!H992,"")</f>
        <v/>
      </c>
      <c r="I978" s="31" t="str">
        <f t="shared" si="14"/>
        <v/>
      </c>
    </row>
    <row r="979" spans="1:9">
      <c r="A979" t="str">
        <f>IF('LISTA DE PRECIOS'!$H993&gt;0,'LISTA DE PRECIOS'!A993,"")</f>
        <v/>
      </c>
      <c r="B979" t="str">
        <f>IF('LISTA DE PRECIOS'!$H993&gt;0,'LISTA DE PRECIOS'!B993,"")</f>
        <v/>
      </c>
      <c r="C979" t="str">
        <f>IF('LISTA DE PRECIOS'!$H993&gt;0,'LISTA DE PRECIOS'!C993,"")</f>
        <v/>
      </c>
      <c r="D979" s="67" t="str">
        <f>IF('LISTA DE PRECIOS'!$H993&gt;0,'LISTA DE PRECIOS'!D993,"")</f>
        <v/>
      </c>
      <c r="E979" t="str">
        <f>IF('LISTA DE PRECIOS'!$H993&gt;0,'LISTA DE PRECIOS'!E993,"")</f>
        <v/>
      </c>
      <c r="F979" t="str">
        <f>IF('LISTA DE PRECIOS'!$H993&gt;0,'LISTA DE PRECIOS'!F993,"")</f>
        <v/>
      </c>
      <c r="G979" s="31" t="str">
        <f>IF('LISTA DE PRECIOS'!$H993&gt;0,'LISTA DE PRECIOS'!G993,"")</f>
        <v/>
      </c>
      <c r="H979" s="67" t="str">
        <f>IF('LISTA DE PRECIOS'!$H993&gt;0,'LISTA DE PRECIOS'!H993,"")</f>
        <v/>
      </c>
      <c r="I979" s="31" t="str">
        <f t="shared" si="14"/>
        <v/>
      </c>
    </row>
    <row r="980" spans="1:9">
      <c r="A980" t="str">
        <f>IF('LISTA DE PRECIOS'!$H994&gt;0,'LISTA DE PRECIOS'!A994,"")</f>
        <v/>
      </c>
      <c r="B980" t="str">
        <f>IF('LISTA DE PRECIOS'!$H994&gt;0,'LISTA DE PRECIOS'!B994,"")</f>
        <v/>
      </c>
      <c r="C980" t="str">
        <f>IF('LISTA DE PRECIOS'!$H994&gt;0,'LISTA DE PRECIOS'!C994,"")</f>
        <v/>
      </c>
      <c r="D980" s="67" t="str">
        <f>IF('LISTA DE PRECIOS'!$H994&gt;0,'LISTA DE PRECIOS'!D994,"")</f>
        <v/>
      </c>
      <c r="E980" t="str">
        <f>IF('LISTA DE PRECIOS'!$H994&gt;0,'LISTA DE PRECIOS'!E994,"")</f>
        <v/>
      </c>
      <c r="F980" t="str">
        <f>IF('LISTA DE PRECIOS'!$H994&gt;0,'LISTA DE PRECIOS'!F994,"")</f>
        <v/>
      </c>
      <c r="G980" s="31" t="str">
        <f>IF('LISTA DE PRECIOS'!$H994&gt;0,'LISTA DE PRECIOS'!G994,"")</f>
        <v/>
      </c>
      <c r="H980" s="67" t="str">
        <f>IF('LISTA DE PRECIOS'!$H994&gt;0,'LISTA DE PRECIOS'!H994,"")</f>
        <v/>
      </c>
      <c r="I980" s="31" t="str">
        <f t="shared" si="14"/>
        <v/>
      </c>
    </row>
    <row r="981" spans="1:9">
      <c r="A981" t="str">
        <f>IF('LISTA DE PRECIOS'!$H995&gt;0,'LISTA DE PRECIOS'!A995,"")</f>
        <v/>
      </c>
      <c r="B981" t="str">
        <f>IF('LISTA DE PRECIOS'!$H995&gt;0,'LISTA DE PRECIOS'!B995,"")</f>
        <v/>
      </c>
      <c r="C981" t="str">
        <f>IF('LISTA DE PRECIOS'!$H995&gt;0,'LISTA DE PRECIOS'!C995,"")</f>
        <v/>
      </c>
      <c r="D981" s="67" t="str">
        <f>IF('LISTA DE PRECIOS'!$H995&gt;0,'LISTA DE PRECIOS'!D995,"")</f>
        <v/>
      </c>
      <c r="E981" t="str">
        <f>IF('LISTA DE PRECIOS'!$H995&gt;0,'LISTA DE PRECIOS'!E995,"")</f>
        <v/>
      </c>
      <c r="F981" t="str">
        <f>IF('LISTA DE PRECIOS'!$H995&gt;0,'LISTA DE PRECIOS'!F995,"")</f>
        <v/>
      </c>
      <c r="G981" s="31" t="str">
        <f>IF('LISTA DE PRECIOS'!$H995&gt;0,'LISTA DE PRECIOS'!G995,"")</f>
        <v/>
      </c>
      <c r="H981" s="67" t="str">
        <f>IF('LISTA DE PRECIOS'!$H995&gt;0,'LISTA DE PRECIOS'!H995,"")</f>
        <v/>
      </c>
      <c r="I981" s="31" t="str">
        <f t="shared" si="14"/>
        <v/>
      </c>
    </row>
    <row r="982" spans="1:9">
      <c r="A982" t="str">
        <f>IF('LISTA DE PRECIOS'!$H996&gt;0,'LISTA DE PRECIOS'!A996,"")</f>
        <v/>
      </c>
      <c r="B982" t="str">
        <f>IF('LISTA DE PRECIOS'!$H996&gt;0,'LISTA DE PRECIOS'!B996,"")</f>
        <v/>
      </c>
      <c r="C982" t="str">
        <f>IF('LISTA DE PRECIOS'!$H996&gt;0,'LISTA DE PRECIOS'!C996,"")</f>
        <v/>
      </c>
      <c r="D982" s="67" t="str">
        <f>IF('LISTA DE PRECIOS'!$H996&gt;0,'LISTA DE PRECIOS'!D996,"")</f>
        <v/>
      </c>
      <c r="E982" t="str">
        <f>IF('LISTA DE PRECIOS'!$H996&gt;0,'LISTA DE PRECIOS'!E996,"")</f>
        <v/>
      </c>
      <c r="F982" t="str">
        <f>IF('LISTA DE PRECIOS'!$H996&gt;0,'LISTA DE PRECIOS'!F996,"")</f>
        <v/>
      </c>
      <c r="G982" s="31" t="str">
        <f>IF('LISTA DE PRECIOS'!$H996&gt;0,'LISTA DE PRECIOS'!G996,"")</f>
        <v/>
      </c>
      <c r="H982" s="67" t="str">
        <f>IF('LISTA DE PRECIOS'!$H996&gt;0,'LISTA DE PRECIOS'!H996,"")</f>
        <v/>
      </c>
      <c r="I982" s="31" t="str">
        <f t="shared" si="14"/>
        <v/>
      </c>
    </row>
    <row r="983" spans="1:9">
      <c r="A983" t="str">
        <f>IF('LISTA DE PRECIOS'!$H997&gt;0,'LISTA DE PRECIOS'!A997,"")</f>
        <v/>
      </c>
      <c r="B983" t="str">
        <f>IF('LISTA DE PRECIOS'!$H997&gt;0,'LISTA DE PRECIOS'!B997,"")</f>
        <v/>
      </c>
      <c r="C983" t="str">
        <f>IF('LISTA DE PRECIOS'!$H997&gt;0,'LISTA DE PRECIOS'!C997,"")</f>
        <v/>
      </c>
      <c r="D983" s="67" t="str">
        <f>IF('LISTA DE PRECIOS'!$H997&gt;0,'LISTA DE PRECIOS'!D997,"")</f>
        <v/>
      </c>
      <c r="E983" t="str">
        <f>IF('LISTA DE PRECIOS'!$H997&gt;0,'LISTA DE PRECIOS'!E997,"")</f>
        <v/>
      </c>
      <c r="F983" t="str">
        <f>IF('LISTA DE PRECIOS'!$H997&gt;0,'LISTA DE PRECIOS'!F997,"")</f>
        <v/>
      </c>
      <c r="G983" s="31" t="str">
        <f>IF('LISTA DE PRECIOS'!$H997&gt;0,'LISTA DE PRECIOS'!G997,"")</f>
        <v/>
      </c>
      <c r="H983" s="67" t="str">
        <f>IF('LISTA DE PRECIOS'!$H997&gt;0,'LISTA DE PRECIOS'!H997,"")</f>
        <v/>
      </c>
      <c r="I983" s="31" t="str">
        <f t="shared" si="14"/>
        <v/>
      </c>
    </row>
    <row r="984" spans="1:9">
      <c r="A984" t="str">
        <f>IF('LISTA DE PRECIOS'!$H998&gt;0,'LISTA DE PRECIOS'!A998,"")</f>
        <v/>
      </c>
      <c r="B984" t="str">
        <f>IF('LISTA DE PRECIOS'!$H998&gt;0,'LISTA DE PRECIOS'!B998,"")</f>
        <v/>
      </c>
      <c r="C984" t="str">
        <f>IF('LISTA DE PRECIOS'!$H998&gt;0,'LISTA DE PRECIOS'!C998,"")</f>
        <v/>
      </c>
      <c r="D984" s="67" t="str">
        <f>IF('LISTA DE PRECIOS'!$H998&gt;0,'LISTA DE PRECIOS'!D998,"")</f>
        <v/>
      </c>
      <c r="E984" t="str">
        <f>IF('LISTA DE PRECIOS'!$H998&gt;0,'LISTA DE PRECIOS'!E998,"")</f>
        <v/>
      </c>
      <c r="F984" t="str">
        <f>IF('LISTA DE PRECIOS'!$H998&gt;0,'LISTA DE PRECIOS'!F998,"")</f>
        <v/>
      </c>
      <c r="G984" s="31" t="str">
        <f>IF('LISTA DE PRECIOS'!$H998&gt;0,'LISTA DE PRECIOS'!G998,"")</f>
        <v/>
      </c>
      <c r="H984" s="67" t="str">
        <f>IF('LISTA DE PRECIOS'!$H998&gt;0,'LISTA DE PRECIOS'!H998,"")</f>
        <v/>
      </c>
      <c r="I984" s="31" t="str">
        <f t="shared" si="14"/>
        <v/>
      </c>
    </row>
    <row r="985" spans="1:9">
      <c r="A985" t="str">
        <f>IF('LISTA DE PRECIOS'!$H999&gt;0,'LISTA DE PRECIOS'!A999,"")</f>
        <v/>
      </c>
      <c r="B985" t="str">
        <f>IF('LISTA DE PRECIOS'!$H999&gt;0,'LISTA DE PRECIOS'!B999,"")</f>
        <v/>
      </c>
      <c r="C985" t="str">
        <f>IF('LISTA DE PRECIOS'!$H999&gt;0,'LISTA DE PRECIOS'!C999,"")</f>
        <v/>
      </c>
      <c r="D985" s="67" t="str">
        <f>IF('LISTA DE PRECIOS'!$H999&gt;0,'LISTA DE PRECIOS'!D999,"")</f>
        <v/>
      </c>
      <c r="E985" t="str">
        <f>IF('LISTA DE PRECIOS'!$H999&gt;0,'LISTA DE PRECIOS'!E999,"")</f>
        <v/>
      </c>
      <c r="F985" t="str">
        <f>IF('LISTA DE PRECIOS'!$H999&gt;0,'LISTA DE PRECIOS'!F999,"")</f>
        <v/>
      </c>
      <c r="G985" s="31" t="str">
        <f>IF('LISTA DE PRECIOS'!$H999&gt;0,'LISTA DE PRECIOS'!G999,"")</f>
        <v/>
      </c>
      <c r="H985" s="67" t="str">
        <f>IF('LISTA DE PRECIOS'!$H999&gt;0,'LISTA DE PRECIOS'!H999,"")</f>
        <v/>
      </c>
      <c r="I985" s="31" t="str">
        <f t="shared" si="14"/>
        <v/>
      </c>
    </row>
    <row r="986" spans="1:9">
      <c r="A986" t="str">
        <f>IF('LISTA DE PRECIOS'!$H1000&gt;0,'LISTA DE PRECIOS'!A1000,"")</f>
        <v/>
      </c>
      <c r="B986" t="str">
        <f>IF('LISTA DE PRECIOS'!$H1000&gt;0,'LISTA DE PRECIOS'!B1000,"")</f>
        <v/>
      </c>
      <c r="C986" t="str">
        <f>IF('LISTA DE PRECIOS'!$H1000&gt;0,'LISTA DE PRECIOS'!C1000,"")</f>
        <v/>
      </c>
      <c r="D986" s="67" t="str">
        <f>IF('LISTA DE PRECIOS'!$H1000&gt;0,'LISTA DE PRECIOS'!D1000,"")</f>
        <v/>
      </c>
      <c r="E986" t="str">
        <f>IF('LISTA DE PRECIOS'!$H1000&gt;0,'LISTA DE PRECIOS'!E1000,"")</f>
        <v/>
      </c>
      <c r="F986" t="str">
        <f>IF('LISTA DE PRECIOS'!$H1000&gt;0,'LISTA DE PRECIOS'!F1000,"")</f>
        <v/>
      </c>
      <c r="G986" s="31" t="str">
        <f>IF('LISTA DE PRECIOS'!$H1000&gt;0,'LISTA DE PRECIOS'!G1000,"")</f>
        <v/>
      </c>
      <c r="H986" s="67" t="str">
        <f>IF('LISTA DE PRECIOS'!$H1000&gt;0,'LISTA DE PRECIOS'!H1000,"")</f>
        <v/>
      </c>
      <c r="I986" s="31" t="str">
        <f t="shared" si="14"/>
        <v/>
      </c>
    </row>
    <row r="987" spans="1:9">
      <c r="A987" t="str">
        <f>IF('LISTA DE PRECIOS'!$H1001&gt;0,'LISTA DE PRECIOS'!A1001,"")</f>
        <v/>
      </c>
      <c r="B987" t="str">
        <f>IF('LISTA DE PRECIOS'!$H1001&gt;0,'LISTA DE PRECIOS'!B1001,"")</f>
        <v/>
      </c>
      <c r="C987" t="str">
        <f>IF('LISTA DE PRECIOS'!$H1001&gt;0,'LISTA DE PRECIOS'!C1001,"")</f>
        <v/>
      </c>
      <c r="D987" s="67" t="str">
        <f>IF('LISTA DE PRECIOS'!$H1001&gt;0,'LISTA DE PRECIOS'!D1001,"")</f>
        <v/>
      </c>
      <c r="E987" t="str">
        <f>IF('LISTA DE PRECIOS'!$H1001&gt;0,'LISTA DE PRECIOS'!E1001,"")</f>
        <v/>
      </c>
      <c r="F987" t="str">
        <f>IF('LISTA DE PRECIOS'!$H1001&gt;0,'LISTA DE PRECIOS'!F1001,"")</f>
        <v/>
      </c>
      <c r="G987" s="31" t="str">
        <f>IF('LISTA DE PRECIOS'!$H1001&gt;0,'LISTA DE PRECIOS'!G1001,"")</f>
        <v/>
      </c>
      <c r="H987" s="67" t="str">
        <f>IF('LISTA DE PRECIOS'!$H1001&gt;0,'LISTA DE PRECIOS'!H1001,"")</f>
        <v/>
      </c>
      <c r="I987" s="31" t="str">
        <f t="shared" si="14"/>
        <v/>
      </c>
    </row>
    <row r="988" spans="1:9">
      <c r="A988" t="str">
        <f>IF('LISTA DE PRECIOS'!$H1002&gt;0,'LISTA DE PRECIOS'!A1002,"")</f>
        <v/>
      </c>
      <c r="B988" t="str">
        <f>IF('LISTA DE PRECIOS'!$H1002&gt;0,'LISTA DE PRECIOS'!B1002,"")</f>
        <v/>
      </c>
      <c r="C988" t="str">
        <f>IF('LISTA DE PRECIOS'!$H1002&gt;0,'LISTA DE PRECIOS'!C1002,"")</f>
        <v/>
      </c>
      <c r="D988" s="67" t="str">
        <f>IF('LISTA DE PRECIOS'!$H1002&gt;0,'LISTA DE PRECIOS'!D1002,"")</f>
        <v/>
      </c>
      <c r="E988" t="str">
        <f>IF('LISTA DE PRECIOS'!$H1002&gt;0,'LISTA DE PRECIOS'!E1002,"")</f>
        <v/>
      </c>
      <c r="F988" t="str">
        <f>IF('LISTA DE PRECIOS'!$H1002&gt;0,'LISTA DE PRECIOS'!F1002,"")</f>
        <v/>
      </c>
      <c r="G988" s="31" t="str">
        <f>IF('LISTA DE PRECIOS'!$H1002&gt;0,'LISTA DE PRECIOS'!G1002,"")</f>
        <v/>
      </c>
      <c r="H988" s="67" t="str">
        <f>IF('LISTA DE PRECIOS'!$H1002&gt;0,'LISTA DE PRECIOS'!H1002,"")</f>
        <v/>
      </c>
      <c r="I988" s="31" t="str">
        <f t="shared" si="14"/>
        <v/>
      </c>
    </row>
    <row r="989" spans="1:9">
      <c r="A989" t="str">
        <f>IF('LISTA DE PRECIOS'!$H1003&gt;0,'LISTA DE PRECIOS'!A1003,"")</f>
        <v/>
      </c>
      <c r="B989" t="str">
        <f>IF('LISTA DE PRECIOS'!$H1003&gt;0,'LISTA DE PRECIOS'!B1003,"")</f>
        <v/>
      </c>
      <c r="C989" t="str">
        <f>IF('LISTA DE PRECIOS'!$H1003&gt;0,'LISTA DE PRECIOS'!C1003,"")</f>
        <v/>
      </c>
      <c r="D989" s="67" t="str">
        <f>IF('LISTA DE PRECIOS'!$H1003&gt;0,'LISTA DE PRECIOS'!D1003,"")</f>
        <v/>
      </c>
      <c r="E989" t="str">
        <f>IF('LISTA DE PRECIOS'!$H1003&gt;0,'LISTA DE PRECIOS'!E1003,"")</f>
        <v/>
      </c>
      <c r="F989" t="str">
        <f>IF('LISTA DE PRECIOS'!$H1003&gt;0,'LISTA DE PRECIOS'!F1003,"")</f>
        <v/>
      </c>
      <c r="G989" s="31" t="str">
        <f>IF('LISTA DE PRECIOS'!$H1003&gt;0,'LISTA DE PRECIOS'!G1003,"")</f>
        <v/>
      </c>
      <c r="H989" s="67" t="str">
        <f>IF('LISTA DE PRECIOS'!$H1003&gt;0,'LISTA DE PRECIOS'!H1003,"")</f>
        <v/>
      </c>
      <c r="I989" s="31" t="str">
        <f t="shared" si="14"/>
        <v/>
      </c>
    </row>
    <row r="990" spans="1:9">
      <c r="A990" t="str">
        <f>IF('LISTA DE PRECIOS'!$H1004&gt;0,'LISTA DE PRECIOS'!A1004,"")</f>
        <v/>
      </c>
      <c r="B990" t="str">
        <f>IF('LISTA DE PRECIOS'!$H1004&gt;0,'LISTA DE PRECIOS'!B1004,"")</f>
        <v/>
      </c>
      <c r="C990" t="str">
        <f>IF('LISTA DE PRECIOS'!$H1004&gt;0,'LISTA DE PRECIOS'!C1004,"")</f>
        <v/>
      </c>
      <c r="D990" s="67" t="str">
        <f>IF('LISTA DE PRECIOS'!$H1004&gt;0,'LISTA DE PRECIOS'!D1004,"")</f>
        <v/>
      </c>
      <c r="E990" t="str">
        <f>IF('LISTA DE PRECIOS'!$H1004&gt;0,'LISTA DE PRECIOS'!E1004,"")</f>
        <v/>
      </c>
      <c r="F990" t="str">
        <f>IF('LISTA DE PRECIOS'!$H1004&gt;0,'LISTA DE PRECIOS'!F1004,"")</f>
        <v/>
      </c>
      <c r="G990" s="31" t="str">
        <f>IF('LISTA DE PRECIOS'!$H1004&gt;0,'LISTA DE PRECIOS'!G1004,"")</f>
        <v/>
      </c>
      <c r="H990" s="67" t="str">
        <f>IF('LISTA DE PRECIOS'!$H1004&gt;0,'LISTA DE PRECIOS'!H1004,"")</f>
        <v/>
      </c>
      <c r="I990" s="31" t="str">
        <f t="shared" si="14"/>
        <v/>
      </c>
    </row>
    <row r="991" spans="1:9">
      <c r="A991" t="str">
        <f>IF('LISTA DE PRECIOS'!$H1005&gt;0,'LISTA DE PRECIOS'!A1005,"")</f>
        <v/>
      </c>
      <c r="B991" t="str">
        <f>IF('LISTA DE PRECIOS'!$H1005&gt;0,'LISTA DE PRECIOS'!B1005,"")</f>
        <v/>
      </c>
      <c r="C991" t="str">
        <f>IF('LISTA DE PRECIOS'!$H1005&gt;0,'LISTA DE PRECIOS'!C1005,"")</f>
        <v/>
      </c>
      <c r="D991" s="67" t="str">
        <f>IF('LISTA DE PRECIOS'!$H1005&gt;0,'LISTA DE PRECIOS'!D1005,"")</f>
        <v/>
      </c>
      <c r="E991" t="str">
        <f>IF('LISTA DE PRECIOS'!$H1005&gt;0,'LISTA DE PRECIOS'!E1005,"")</f>
        <v/>
      </c>
      <c r="F991" t="str">
        <f>IF('LISTA DE PRECIOS'!$H1005&gt;0,'LISTA DE PRECIOS'!F1005,"")</f>
        <v/>
      </c>
      <c r="G991" s="31" t="str">
        <f>IF('LISTA DE PRECIOS'!$H1005&gt;0,'LISTA DE PRECIOS'!G1005,"")</f>
        <v/>
      </c>
      <c r="H991" s="67" t="str">
        <f>IF('LISTA DE PRECIOS'!$H1005&gt;0,'LISTA DE PRECIOS'!H1005,"")</f>
        <v/>
      </c>
      <c r="I991" s="31" t="str">
        <f t="shared" si="14"/>
        <v/>
      </c>
    </row>
    <row r="992" spans="1:9">
      <c r="A992" t="str">
        <f>IF('LISTA DE PRECIOS'!$H1006&gt;0,'LISTA DE PRECIOS'!A1006,"")</f>
        <v/>
      </c>
      <c r="B992" t="str">
        <f>IF('LISTA DE PRECIOS'!$H1006&gt;0,'LISTA DE PRECIOS'!B1006,"")</f>
        <v/>
      </c>
      <c r="C992" t="str">
        <f>IF('LISTA DE PRECIOS'!$H1006&gt;0,'LISTA DE PRECIOS'!C1006,"")</f>
        <v/>
      </c>
      <c r="D992" s="67" t="str">
        <f>IF('LISTA DE PRECIOS'!$H1006&gt;0,'LISTA DE PRECIOS'!D1006,"")</f>
        <v/>
      </c>
      <c r="E992" t="str">
        <f>IF('LISTA DE PRECIOS'!$H1006&gt;0,'LISTA DE PRECIOS'!E1006,"")</f>
        <v/>
      </c>
      <c r="F992" t="str">
        <f>IF('LISTA DE PRECIOS'!$H1006&gt;0,'LISTA DE PRECIOS'!F1006,"")</f>
        <v/>
      </c>
      <c r="G992" s="31" t="str">
        <f>IF('LISTA DE PRECIOS'!$H1006&gt;0,'LISTA DE PRECIOS'!G1006,"")</f>
        <v/>
      </c>
      <c r="H992" s="67" t="str">
        <f>IF('LISTA DE PRECIOS'!$H1006&gt;0,'LISTA DE PRECIOS'!H1006,"")</f>
        <v/>
      </c>
      <c r="I992" s="31" t="str">
        <f t="shared" si="14"/>
        <v/>
      </c>
    </row>
    <row r="993" spans="1:9">
      <c r="A993" t="str">
        <f>IF('LISTA DE PRECIOS'!$H1007&gt;0,'LISTA DE PRECIOS'!A1007,"")</f>
        <v/>
      </c>
      <c r="B993" t="str">
        <f>IF('LISTA DE PRECIOS'!$H1007&gt;0,'LISTA DE PRECIOS'!B1007,"")</f>
        <v/>
      </c>
      <c r="C993" t="str">
        <f>IF('LISTA DE PRECIOS'!$H1007&gt;0,'LISTA DE PRECIOS'!C1007,"")</f>
        <v/>
      </c>
      <c r="D993" s="67" t="str">
        <f>IF('LISTA DE PRECIOS'!$H1007&gt;0,'LISTA DE PRECIOS'!D1007,"")</f>
        <v/>
      </c>
      <c r="E993" t="str">
        <f>IF('LISTA DE PRECIOS'!$H1007&gt;0,'LISTA DE PRECIOS'!E1007,"")</f>
        <v/>
      </c>
      <c r="F993" t="str">
        <f>IF('LISTA DE PRECIOS'!$H1007&gt;0,'LISTA DE PRECIOS'!F1007,"")</f>
        <v/>
      </c>
      <c r="G993" s="31" t="str">
        <f>IF('LISTA DE PRECIOS'!$H1007&gt;0,'LISTA DE PRECIOS'!G1007,"")</f>
        <v/>
      </c>
      <c r="H993" s="67" t="str">
        <f>IF('LISTA DE PRECIOS'!$H1007&gt;0,'LISTA DE PRECIOS'!H1007,"")</f>
        <v/>
      </c>
      <c r="I993" s="31" t="str">
        <f t="shared" si="14"/>
        <v/>
      </c>
    </row>
    <row r="994" spans="1:9">
      <c r="A994" t="str">
        <f>IF('LISTA DE PRECIOS'!$H1008&gt;0,'LISTA DE PRECIOS'!A1008,"")</f>
        <v/>
      </c>
      <c r="B994" t="str">
        <f>IF('LISTA DE PRECIOS'!$H1008&gt;0,'LISTA DE PRECIOS'!B1008,"")</f>
        <v/>
      </c>
      <c r="C994" t="str">
        <f>IF('LISTA DE PRECIOS'!$H1008&gt;0,'LISTA DE PRECIOS'!C1008,"")</f>
        <v/>
      </c>
      <c r="D994" s="67" t="str">
        <f>IF('LISTA DE PRECIOS'!$H1008&gt;0,'LISTA DE PRECIOS'!D1008,"")</f>
        <v/>
      </c>
      <c r="E994" t="str">
        <f>IF('LISTA DE PRECIOS'!$H1008&gt;0,'LISTA DE PRECIOS'!E1008,"")</f>
        <v/>
      </c>
      <c r="F994" t="str">
        <f>IF('LISTA DE PRECIOS'!$H1008&gt;0,'LISTA DE PRECIOS'!F1008,"")</f>
        <v/>
      </c>
      <c r="G994" s="31" t="str">
        <f>IF('LISTA DE PRECIOS'!$H1008&gt;0,'LISTA DE PRECIOS'!G1008,"")</f>
        <v/>
      </c>
      <c r="H994" s="67" t="str">
        <f>IF('LISTA DE PRECIOS'!$H1008&gt;0,'LISTA DE PRECIOS'!H1008,"")</f>
        <v/>
      </c>
      <c r="I994" s="31" t="str">
        <f t="shared" si="14"/>
        <v/>
      </c>
    </row>
    <row r="995" spans="1:9">
      <c r="A995" t="str">
        <f>IF('LISTA DE PRECIOS'!$H1009&gt;0,'LISTA DE PRECIOS'!A1009,"")</f>
        <v/>
      </c>
      <c r="B995" t="str">
        <f>IF('LISTA DE PRECIOS'!$H1009&gt;0,'LISTA DE PRECIOS'!B1009,"")</f>
        <v/>
      </c>
      <c r="C995" t="str">
        <f>IF('LISTA DE PRECIOS'!$H1009&gt;0,'LISTA DE PRECIOS'!C1009,"")</f>
        <v/>
      </c>
      <c r="D995" s="67" t="str">
        <f>IF('LISTA DE PRECIOS'!$H1009&gt;0,'LISTA DE PRECIOS'!D1009,"")</f>
        <v/>
      </c>
      <c r="E995" t="str">
        <f>IF('LISTA DE PRECIOS'!$H1009&gt;0,'LISTA DE PRECIOS'!E1009,"")</f>
        <v/>
      </c>
      <c r="F995" t="str">
        <f>IF('LISTA DE PRECIOS'!$H1009&gt;0,'LISTA DE PRECIOS'!F1009,"")</f>
        <v/>
      </c>
      <c r="G995" s="31" t="str">
        <f>IF('LISTA DE PRECIOS'!$H1009&gt;0,'LISTA DE PRECIOS'!G1009,"")</f>
        <v/>
      </c>
      <c r="H995" s="67" t="str">
        <f>IF('LISTA DE PRECIOS'!$H1009&gt;0,'LISTA DE PRECIOS'!H1009,"")</f>
        <v/>
      </c>
      <c r="I995" s="31" t="str">
        <f t="shared" si="14"/>
        <v/>
      </c>
    </row>
    <row r="996" spans="1:9">
      <c r="A996" t="str">
        <f>IF('LISTA DE PRECIOS'!$H1010&gt;0,'LISTA DE PRECIOS'!A1010,"")</f>
        <v/>
      </c>
      <c r="B996" t="str">
        <f>IF('LISTA DE PRECIOS'!$H1010&gt;0,'LISTA DE PRECIOS'!B1010,"")</f>
        <v/>
      </c>
      <c r="C996" t="str">
        <f>IF('LISTA DE PRECIOS'!$H1010&gt;0,'LISTA DE PRECIOS'!C1010,"")</f>
        <v/>
      </c>
      <c r="D996" s="67" t="str">
        <f>IF('LISTA DE PRECIOS'!$H1010&gt;0,'LISTA DE PRECIOS'!D1010,"")</f>
        <v/>
      </c>
      <c r="E996" t="str">
        <f>IF('LISTA DE PRECIOS'!$H1010&gt;0,'LISTA DE PRECIOS'!E1010,"")</f>
        <v/>
      </c>
      <c r="F996" t="str">
        <f>IF('LISTA DE PRECIOS'!$H1010&gt;0,'LISTA DE PRECIOS'!F1010,"")</f>
        <v/>
      </c>
      <c r="G996" s="31" t="str">
        <f>IF('LISTA DE PRECIOS'!$H1010&gt;0,'LISTA DE PRECIOS'!G1010,"")</f>
        <v/>
      </c>
      <c r="H996" s="67" t="str">
        <f>IF('LISTA DE PRECIOS'!$H1010&gt;0,'LISTA DE PRECIOS'!H1010,"")</f>
        <v/>
      </c>
      <c r="I996" s="31" t="str">
        <f t="shared" si="14"/>
        <v/>
      </c>
    </row>
    <row r="997" spans="1:9">
      <c r="A997" t="str">
        <f>IF('LISTA DE PRECIOS'!$H1011&gt;0,'LISTA DE PRECIOS'!A1011,"")</f>
        <v/>
      </c>
      <c r="B997" t="str">
        <f>IF('LISTA DE PRECIOS'!$H1011&gt;0,'LISTA DE PRECIOS'!B1011,"")</f>
        <v/>
      </c>
      <c r="C997" t="str">
        <f>IF('LISTA DE PRECIOS'!$H1011&gt;0,'LISTA DE PRECIOS'!C1011,"")</f>
        <v/>
      </c>
      <c r="D997" s="67" t="str">
        <f>IF('LISTA DE PRECIOS'!$H1011&gt;0,'LISTA DE PRECIOS'!D1011,"")</f>
        <v/>
      </c>
      <c r="E997" t="str">
        <f>IF('LISTA DE PRECIOS'!$H1011&gt;0,'LISTA DE PRECIOS'!E1011,"")</f>
        <v/>
      </c>
      <c r="F997" t="str">
        <f>IF('LISTA DE PRECIOS'!$H1011&gt;0,'LISTA DE PRECIOS'!F1011,"")</f>
        <v/>
      </c>
      <c r="G997" s="31" t="str">
        <f>IF('LISTA DE PRECIOS'!$H1011&gt;0,'LISTA DE PRECIOS'!G1011,"")</f>
        <v/>
      </c>
      <c r="H997" s="67" t="str">
        <f>IF('LISTA DE PRECIOS'!$H1011&gt;0,'LISTA DE PRECIOS'!H1011,"")</f>
        <v/>
      </c>
      <c r="I997" s="31" t="str">
        <f t="shared" si="14"/>
        <v/>
      </c>
    </row>
    <row r="998" spans="1:9">
      <c r="A998" t="str">
        <f>IF('LISTA DE PRECIOS'!$H1012&gt;0,'LISTA DE PRECIOS'!A1012,"")</f>
        <v/>
      </c>
      <c r="B998" t="str">
        <f>IF('LISTA DE PRECIOS'!$H1012&gt;0,'LISTA DE PRECIOS'!B1012,"")</f>
        <v/>
      </c>
      <c r="C998" t="str">
        <f>IF('LISTA DE PRECIOS'!$H1012&gt;0,'LISTA DE PRECIOS'!C1012,"")</f>
        <v/>
      </c>
      <c r="D998" s="67" t="str">
        <f>IF('LISTA DE PRECIOS'!$H1012&gt;0,'LISTA DE PRECIOS'!D1012,"")</f>
        <v/>
      </c>
      <c r="E998" t="str">
        <f>IF('LISTA DE PRECIOS'!$H1012&gt;0,'LISTA DE PRECIOS'!E1012,"")</f>
        <v/>
      </c>
      <c r="F998" t="str">
        <f>IF('LISTA DE PRECIOS'!$H1012&gt;0,'LISTA DE PRECIOS'!F1012,"")</f>
        <v/>
      </c>
      <c r="G998" s="31" t="str">
        <f>IF('LISTA DE PRECIOS'!$H1012&gt;0,'LISTA DE PRECIOS'!G1012,"")</f>
        <v/>
      </c>
      <c r="H998" s="67" t="str">
        <f>IF('LISTA DE PRECIOS'!$H1012&gt;0,'LISTA DE PRECIOS'!H1012,"")</f>
        <v/>
      </c>
      <c r="I998" s="31" t="str">
        <f t="shared" si="14"/>
        <v/>
      </c>
    </row>
    <row r="999" spans="1:9">
      <c r="A999" t="str">
        <f>IF('LISTA DE PRECIOS'!$H1013&gt;0,'LISTA DE PRECIOS'!A1013,"")</f>
        <v/>
      </c>
      <c r="B999" t="str">
        <f>IF('LISTA DE PRECIOS'!$H1013&gt;0,'LISTA DE PRECIOS'!B1013,"")</f>
        <v/>
      </c>
      <c r="C999" t="str">
        <f>IF('LISTA DE PRECIOS'!$H1013&gt;0,'LISTA DE PRECIOS'!C1013,"")</f>
        <v/>
      </c>
      <c r="D999" s="67" t="str">
        <f>IF('LISTA DE PRECIOS'!$H1013&gt;0,'LISTA DE PRECIOS'!D1013,"")</f>
        <v/>
      </c>
      <c r="E999" t="str">
        <f>IF('LISTA DE PRECIOS'!$H1013&gt;0,'LISTA DE PRECIOS'!E1013,"")</f>
        <v/>
      </c>
      <c r="F999" t="str">
        <f>IF('LISTA DE PRECIOS'!$H1013&gt;0,'LISTA DE PRECIOS'!F1013,"")</f>
        <v/>
      </c>
      <c r="G999" s="31" t="str">
        <f>IF('LISTA DE PRECIOS'!$H1013&gt;0,'LISTA DE PRECIOS'!G1013,"")</f>
        <v/>
      </c>
      <c r="H999" s="67" t="str">
        <f>IF('LISTA DE PRECIOS'!$H1013&gt;0,'LISTA DE PRECIOS'!H1013,"")</f>
        <v/>
      </c>
      <c r="I999" s="31" t="str">
        <f t="shared" si="14"/>
        <v/>
      </c>
    </row>
    <row r="1000" spans="1:9">
      <c r="A1000" t="str">
        <f>IF('LISTA DE PRECIOS'!$H1014&gt;0,'LISTA DE PRECIOS'!A1014,"")</f>
        <v/>
      </c>
      <c r="B1000" t="str">
        <f>IF('LISTA DE PRECIOS'!$H1014&gt;0,'LISTA DE PRECIOS'!B1014,"")</f>
        <v/>
      </c>
      <c r="C1000" t="str">
        <f>IF('LISTA DE PRECIOS'!$H1014&gt;0,'LISTA DE PRECIOS'!C1014,"")</f>
        <v/>
      </c>
      <c r="D1000" s="67" t="str">
        <f>IF('LISTA DE PRECIOS'!$H1014&gt;0,'LISTA DE PRECIOS'!D1014,"")</f>
        <v/>
      </c>
      <c r="E1000" t="str">
        <f>IF('LISTA DE PRECIOS'!$H1014&gt;0,'LISTA DE PRECIOS'!E1014,"")</f>
        <v/>
      </c>
      <c r="F1000" t="str">
        <f>IF('LISTA DE PRECIOS'!$H1014&gt;0,'LISTA DE PRECIOS'!F1014,"")</f>
        <v/>
      </c>
      <c r="G1000" s="31" t="str">
        <f>IF('LISTA DE PRECIOS'!$H1014&gt;0,'LISTA DE PRECIOS'!G1014,"")</f>
        <v/>
      </c>
      <c r="H1000" s="67" t="str">
        <f>IF('LISTA DE PRECIOS'!$H1014&gt;0,'LISTA DE PRECIOS'!H1014,"")</f>
        <v/>
      </c>
      <c r="I1000" s="31" t="str">
        <f t="shared" si="14"/>
        <v/>
      </c>
    </row>
    <row r="1001" spans="1:9">
      <c r="A1001" t="str">
        <f>IF('LISTA DE PRECIOS'!$H1015&gt;0,'LISTA DE PRECIOS'!A1015,"")</f>
        <v/>
      </c>
      <c r="B1001" t="str">
        <f>IF('LISTA DE PRECIOS'!$H1015&gt;0,'LISTA DE PRECIOS'!B1015,"")</f>
        <v/>
      </c>
      <c r="C1001" t="str">
        <f>IF('LISTA DE PRECIOS'!$H1015&gt;0,'LISTA DE PRECIOS'!C1015,"")</f>
        <v/>
      </c>
      <c r="D1001" s="67" t="str">
        <f>IF('LISTA DE PRECIOS'!$H1015&gt;0,'LISTA DE PRECIOS'!D1015,"")</f>
        <v/>
      </c>
      <c r="E1001" t="str">
        <f>IF('LISTA DE PRECIOS'!$H1015&gt;0,'LISTA DE PRECIOS'!E1015,"")</f>
        <v/>
      </c>
      <c r="F1001" t="str">
        <f>IF('LISTA DE PRECIOS'!$H1015&gt;0,'LISTA DE PRECIOS'!F1015,"")</f>
        <v/>
      </c>
      <c r="G1001" s="31" t="str">
        <f>IF('LISTA DE PRECIOS'!$H1015&gt;0,'LISTA DE PRECIOS'!G1015,"")</f>
        <v/>
      </c>
      <c r="H1001" s="67" t="str">
        <f>IF('LISTA DE PRECIOS'!$H1015&gt;0,'LISTA DE PRECIOS'!H1015,"")</f>
        <v/>
      </c>
      <c r="I1001" s="31" t="str">
        <f t="shared" si="14"/>
        <v/>
      </c>
    </row>
    <row r="1002" spans="1:9">
      <c r="A1002" t="str">
        <f>IF('LISTA DE PRECIOS'!$H1016&gt;0,'LISTA DE PRECIOS'!A1016,"")</f>
        <v/>
      </c>
      <c r="B1002" t="str">
        <f>IF('LISTA DE PRECIOS'!$H1016&gt;0,'LISTA DE PRECIOS'!B1016,"")</f>
        <v/>
      </c>
      <c r="C1002" t="str">
        <f>IF('LISTA DE PRECIOS'!$H1016&gt;0,'LISTA DE PRECIOS'!C1016,"")</f>
        <v/>
      </c>
      <c r="D1002" s="67" t="str">
        <f>IF('LISTA DE PRECIOS'!$H1016&gt;0,'LISTA DE PRECIOS'!D1016,"")</f>
        <v/>
      </c>
      <c r="E1002" t="str">
        <f>IF('LISTA DE PRECIOS'!$H1016&gt;0,'LISTA DE PRECIOS'!E1016,"")</f>
        <v/>
      </c>
      <c r="F1002" t="str">
        <f>IF('LISTA DE PRECIOS'!$H1016&gt;0,'LISTA DE PRECIOS'!F1016,"")</f>
        <v/>
      </c>
      <c r="G1002" s="31" t="str">
        <f>IF('LISTA DE PRECIOS'!$H1016&gt;0,'LISTA DE PRECIOS'!G1016,"")</f>
        <v/>
      </c>
      <c r="H1002" s="67" t="str">
        <f>IF('LISTA DE PRECIOS'!$H1016&gt;0,'LISTA DE PRECIOS'!H1016,"")</f>
        <v/>
      </c>
      <c r="I1002" s="31" t="str">
        <f t="shared" si="14"/>
        <v/>
      </c>
    </row>
    <row r="1003" spans="1:9">
      <c r="A1003" t="str">
        <f>IF('LISTA DE PRECIOS'!$H1017&gt;0,'LISTA DE PRECIOS'!A1017,"")</f>
        <v/>
      </c>
      <c r="B1003" t="str">
        <f>IF('LISTA DE PRECIOS'!$H1017&gt;0,'LISTA DE PRECIOS'!B1017,"")</f>
        <v/>
      </c>
      <c r="C1003" t="str">
        <f>IF('LISTA DE PRECIOS'!$H1017&gt;0,'LISTA DE PRECIOS'!C1017,"")</f>
        <v/>
      </c>
      <c r="D1003" s="67" t="str">
        <f>IF('LISTA DE PRECIOS'!$H1017&gt;0,'LISTA DE PRECIOS'!D1017,"")</f>
        <v/>
      </c>
      <c r="E1003" t="str">
        <f>IF('LISTA DE PRECIOS'!$H1017&gt;0,'LISTA DE PRECIOS'!E1017,"")</f>
        <v/>
      </c>
      <c r="F1003" t="str">
        <f>IF('LISTA DE PRECIOS'!$H1017&gt;0,'LISTA DE PRECIOS'!F1017,"")</f>
        <v/>
      </c>
      <c r="G1003" s="31" t="str">
        <f>IF('LISTA DE PRECIOS'!$H1017&gt;0,'LISTA DE PRECIOS'!G1017,"")</f>
        <v/>
      </c>
      <c r="H1003" s="67" t="str">
        <f>IF('LISTA DE PRECIOS'!$H1017&gt;0,'LISTA DE PRECIOS'!H1017,"")</f>
        <v/>
      </c>
      <c r="I1003" s="31" t="str">
        <f t="shared" si="14"/>
        <v/>
      </c>
    </row>
    <row r="1004" spans="1:9">
      <c r="A1004" t="str">
        <f>IF('LISTA DE PRECIOS'!$H1018&gt;0,'LISTA DE PRECIOS'!A1018,"")</f>
        <v/>
      </c>
      <c r="B1004" t="str">
        <f>IF('LISTA DE PRECIOS'!$H1018&gt;0,'LISTA DE PRECIOS'!B1018,"")</f>
        <v/>
      </c>
      <c r="C1004" t="str">
        <f>IF('LISTA DE PRECIOS'!$H1018&gt;0,'LISTA DE PRECIOS'!C1018,"")</f>
        <v/>
      </c>
      <c r="D1004" s="67" t="str">
        <f>IF('LISTA DE PRECIOS'!$H1018&gt;0,'LISTA DE PRECIOS'!D1018,"")</f>
        <v/>
      </c>
      <c r="E1004" t="str">
        <f>IF('LISTA DE PRECIOS'!$H1018&gt;0,'LISTA DE PRECIOS'!E1018,"")</f>
        <v/>
      </c>
      <c r="F1004" t="str">
        <f>IF('LISTA DE PRECIOS'!$H1018&gt;0,'LISTA DE PRECIOS'!F1018,"")</f>
        <v/>
      </c>
      <c r="G1004" s="31" t="str">
        <f>IF('LISTA DE PRECIOS'!$H1018&gt;0,'LISTA DE PRECIOS'!G1018,"")</f>
        <v/>
      </c>
      <c r="H1004" s="67" t="str">
        <f>IF('LISTA DE PRECIOS'!$H1018&gt;0,'LISTA DE PRECIOS'!H1018,"")</f>
        <v/>
      </c>
      <c r="I1004" s="31" t="str">
        <f t="shared" si="14"/>
        <v/>
      </c>
    </row>
    <row r="1005" spans="1:9">
      <c r="A1005" t="str">
        <f>IF('LISTA DE PRECIOS'!$H1019&gt;0,'LISTA DE PRECIOS'!A1019,"")</f>
        <v/>
      </c>
      <c r="B1005" t="str">
        <f>IF('LISTA DE PRECIOS'!$H1019&gt;0,'LISTA DE PRECIOS'!B1019,"")</f>
        <v/>
      </c>
      <c r="C1005" t="str">
        <f>IF('LISTA DE PRECIOS'!$H1019&gt;0,'LISTA DE PRECIOS'!C1019,"")</f>
        <v/>
      </c>
      <c r="D1005" s="67" t="str">
        <f>IF('LISTA DE PRECIOS'!$H1019&gt;0,'LISTA DE PRECIOS'!D1019,"")</f>
        <v/>
      </c>
      <c r="E1005" t="str">
        <f>IF('LISTA DE PRECIOS'!$H1019&gt;0,'LISTA DE PRECIOS'!E1019,"")</f>
        <v/>
      </c>
      <c r="F1005" t="str">
        <f>IF('LISTA DE PRECIOS'!$H1019&gt;0,'LISTA DE PRECIOS'!F1019,"")</f>
        <v/>
      </c>
      <c r="G1005" s="31" t="str">
        <f>IF('LISTA DE PRECIOS'!$H1019&gt;0,'LISTA DE PRECIOS'!G1019,"")</f>
        <v/>
      </c>
      <c r="H1005" s="67" t="str">
        <f>IF('LISTA DE PRECIOS'!$H1019&gt;0,'LISTA DE PRECIOS'!H1019,"")</f>
        <v/>
      </c>
      <c r="I1005" s="31" t="str">
        <f t="shared" si="14"/>
        <v/>
      </c>
    </row>
    <row r="1006" spans="1:9">
      <c r="A1006" t="str">
        <f>IF('LISTA DE PRECIOS'!$H1020&gt;0,'LISTA DE PRECIOS'!A1020,"")</f>
        <v/>
      </c>
      <c r="B1006" t="str">
        <f>IF('LISTA DE PRECIOS'!$H1020&gt;0,'LISTA DE PRECIOS'!B1020,"")</f>
        <v/>
      </c>
      <c r="C1006" t="str">
        <f>IF('LISTA DE PRECIOS'!$H1020&gt;0,'LISTA DE PRECIOS'!C1020,"")</f>
        <v/>
      </c>
      <c r="D1006" s="67" t="str">
        <f>IF('LISTA DE PRECIOS'!$H1020&gt;0,'LISTA DE PRECIOS'!D1020,"")</f>
        <v/>
      </c>
      <c r="E1006" t="str">
        <f>IF('LISTA DE PRECIOS'!$H1020&gt;0,'LISTA DE PRECIOS'!E1020,"")</f>
        <v/>
      </c>
      <c r="F1006" t="str">
        <f>IF('LISTA DE PRECIOS'!$H1020&gt;0,'LISTA DE PRECIOS'!F1020,"")</f>
        <v/>
      </c>
      <c r="G1006" s="31" t="str">
        <f>IF('LISTA DE PRECIOS'!$H1020&gt;0,'LISTA DE PRECIOS'!G1020,"")</f>
        <v/>
      </c>
      <c r="H1006" s="67" t="str">
        <f>IF('LISTA DE PRECIOS'!$H1020&gt;0,'LISTA DE PRECIOS'!H1020,"")</f>
        <v/>
      </c>
      <c r="I1006" s="31" t="str">
        <f t="shared" si="14"/>
        <v/>
      </c>
    </row>
    <row r="1007" spans="1:9">
      <c r="A1007" t="str">
        <f>IF('LISTA DE PRECIOS'!$H1021&gt;0,'LISTA DE PRECIOS'!A1021,"")</f>
        <v/>
      </c>
      <c r="B1007" t="str">
        <f>IF('LISTA DE PRECIOS'!$H1021&gt;0,'LISTA DE PRECIOS'!B1021,"")</f>
        <v/>
      </c>
      <c r="C1007" t="str">
        <f>IF('LISTA DE PRECIOS'!$H1021&gt;0,'LISTA DE PRECIOS'!C1021,"")</f>
        <v/>
      </c>
      <c r="D1007" s="67" t="str">
        <f>IF('LISTA DE PRECIOS'!$H1021&gt;0,'LISTA DE PRECIOS'!D1021,"")</f>
        <v/>
      </c>
      <c r="E1007" t="str">
        <f>IF('LISTA DE PRECIOS'!$H1021&gt;0,'LISTA DE PRECIOS'!E1021,"")</f>
        <v/>
      </c>
      <c r="F1007" t="str">
        <f>IF('LISTA DE PRECIOS'!$H1021&gt;0,'LISTA DE PRECIOS'!F1021,"")</f>
        <v/>
      </c>
      <c r="G1007" s="31" t="str">
        <f>IF('LISTA DE PRECIOS'!$H1021&gt;0,'LISTA DE PRECIOS'!G1021,"")</f>
        <v/>
      </c>
      <c r="H1007" s="67" t="str">
        <f>IF('LISTA DE PRECIOS'!$H1021&gt;0,'LISTA DE PRECIOS'!H1021,"")</f>
        <v/>
      </c>
      <c r="I1007" s="31" t="str">
        <f t="shared" si="14"/>
        <v/>
      </c>
    </row>
    <row r="1008" spans="1:9">
      <c r="A1008" t="str">
        <f>IF('LISTA DE PRECIOS'!$H1022&gt;0,'LISTA DE PRECIOS'!A1022,"")</f>
        <v/>
      </c>
      <c r="B1008" t="str">
        <f>IF('LISTA DE PRECIOS'!$H1022&gt;0,'LISTA DE PRECIOS'!B1022,"")</f>
        <v/>
      </c>
      <c r="C1008" t="str">
        <f>IF('LISTA DE PRECIOS'!$H1022&gt;0,'LISTA DE PRECIOS'!C1022,"")</f>
        <v/>
      </c>
      <c r="D1008" s="67" t="str">
        <f>IF('LISTA DE PRECIOS'!$H1022&gt;0,'LISTA DE PRECIOS'!D1022,"")</f>
        <v/>
      </c>
      <c r="E1008" t="str">
        <f>IF('LISTA DE PRECIOS'!$H1022&gt;0,'LISTA DE PRECIOS'!E1022,"")</f>
        <v/>
      </c>
      <c r="F1008" t="str">
        <f>IF('LISTA DE PRECIOS'!$H1022&gt;0,'LISTA DE PRECIOS'!F1022,"")</f>
        <v/>
      </c>
      <c r="G1008" s="31" t="str">
        <f>IF('LISTA DE PRECIOS'!$H1022&gt;0,'LISTA DE PRECIOS'!G1022,"")</f>
        <v/>
      </c>
      <c r="H1008" s="67" t="str">
        <f>IF('LISTA DE PRECIOS'!$H1022&gt;0,'LISTA DE PRECIOS'!H1022,"")</f>
        <v/>
      </c>
      <c r="I1008" s="31" t="str">
        <f t="shared" si="14"/>
        <v/>
      </c>
    </row>
    <row r="1009" spans="1:9">
      <c r="A1009" t="str">
        <f>IF('LISTA DE PRECIOS'!$H1023&gt;0,'LISTA DE PRECIOS'!A1023,"")</f>
        <v/>
      </c>
      <c r="B1009" t="str">
        <f>IF('LISTA DE PRECIOS'!$H1023&gt;0,'LISTA DE PRECIOS'!B1023,"")</f>
        <v/>
      </c>
      <c r="C1009" t="str">
        <f>IF('LISTA DE PRECIOS'!$H1023&gt;0,'LISTA DE PRECIOS'!C1023,"")</f>
        <v/>
      </c>
      <c r="D1009" s="67" t="str">
        <f>IF('LISTA DE PRECIOS'!$H1023&gt;0,'LISTA DE PRECIOS'!D1023,"")</f>
        <v/>
      </c>
      <c r="E1009" t="str">
        <f>IF('LISTA DE PRECIOS'!$H1023&gt;0,'LISTA DE PRECIOS'!E1023,"")</f>
        <v/>
      </c>
      <c r="F1009" t="str">
        <f>IF('LISTA DE PRECIOS'!$H1023&gt;0,'LISTA DE PRECIOS'!F1023,"")</f>
        <v/>
      </c>
      <c r="G1009" s="31" t="str">
        <f>IF('LISTA DE PRECIOS'!$H1023&gt;0,'LISTA DE PRECIOS'!G1023,"")</f>
        <v/>
      </c>
      <c r="H1009" s="67" t="str">
        <f>IF('LISTA DE PRECIOS'!$H1023&gt;0,'LISTA DE PRECIOS'!H1023,"")</f>
        <v/>
      </c>
      <c r="I1009" s="31" t="str">
        <f t="shared" si="14"/>
        <v/>
      </c>
    </row>
    <row r="1010" spans="1:9">
      <c r="A1010" t="str">
        <f>IF('LISTA DE PRECIOS'!$H1024&gt;0,'LISTA DE PRECIOS'!A1024,"")</f>
        <v/>
      </c>
      <c r="B1010" t="str">
        <f>IF('LISTA DE PRECIOS'!$H1024&gt;0,'LISTA DE PRECIOS'!B1024,"")</f>
        <v/>
      </c>
      <c r="C1010" t="str">
        <f>IF('LISTA DE PRECIOS'!$H1024&gt;0,'LISTA DE PRECIOS'!C1024,"")</f>
        <v/>
      </c>
      <c r="D1010" s="67" t="str">
        <f>IF('LISTA DE PRECIOS'!$H1024&gt;0,'LISTA DE PRECIOS'!D1024,"")</f>
        <v/>
      </c>
      <c r="E1010" t="str">
        <f>IF('LISTA DE PRECIOS'!$H1024&gt;0,'LISTA DE PRECIOS'!E1024,"")</f>
        <v/>
      </c>
      <c r="F1010" t="str">
        <f>IF('LISTA DE PRECIOS'!$H1024&gt;0,'LISTA DE PRECIOS'!F1024,"")</f>
        <v/>
      </c>
      <c r="G1010" s="31" t="str">
        <f>IF('LISTA DE PRECIOS'!$H1024&gt;0,'LISTA DE PRECIOS'!G1024,"")</f>
        <v/>
      </c>
      <c r="H1010" s="67" t="str">
        <f>IF('LISTA DE PRECIOS'!$H1024&gt;0,'LISTA DE PRECIOS'!H1024,"")</f>
        <v/>
      </c>
      <c r="I1010" s="31" t="str">
        <f t="shared" si="14"/>
        <v/>
      </c>
    </row>
    <row r="1011" spans="1:9">
      <c r="A1011" t="str">
        <f>IF('LISTA DE PRECIOS'!$H1025&gt;0,'LISTA DE PRECIOS'!A1025,"")</f>
        <v/>
      </c>
      <c r="B1011" t="str">
        <f>IF('LISTA DE PRECIOS'!$H1025&gt;0,'LISTA DE PRECIOS'!B1025,"")</f>
        <v/>
      </c>
      <c r="C1011" t="str">
        <f>IF('LISTA DE PRECIOS'!$H1025&gt;0,'LISTA DE PRECIOS'!C1025,"")</f>
        <v/>
      </c>
      <c r="D1011" s="67" t="str">
        <f>IF('LISTA DE PRECIOS'!$H1025&gt;0,'LISTA DE PRECIOS'!D1025,"")</f>
        <v/>
      </c>
      <c r="E1011" t="str">
        <f>IF('LISTA DE PRECIOS'!$H1025&gt;0,'LISTA DE PRECIOS'!E1025,"")</f>
        <v/>
      </c>
      <c r="F1011" t="str">
        <f>IF('LISTA DE PRECIOS'!$H1025&gt;0,'LISTA DE PRECIOS'!F1025,"")</f>
        <v/>
      </c>
      <c r="G1011" s="31" t="str">
        <f>IF('LISTA DE PRECIOS'!$H1025&gt;0,'LISTA DE PRECIOS'!G1025,"")</f>
        <v/>
      </c>
      <c r="H1011" s="67" t="str">
        <f>IF('LISTA DE PRECIOS'!$H1025&gt;0,'LISTA DE PRECIOS'!H1025,"")</f>
        <v/>
      </c>
      <c r="I1011" s="31" t="str">
        <f t="shared" si="14"/>
        <v/>
      </c>
    </row>
    <row r="1012" spans="1:9">
      <c r="A1012" t="str">
        <f>IF('LISTA DE PRECIOS'!$H1026&gt;0,'LISTA DE PRECIOS'!A1026,"")</f>
        <v/>
      </c>
      <c r="B1012" t="str">
        <f>IF('LISTA DE PRECIOS'!$H1026&gt;0,'LISTA DE PRECIOS'!B1026,"")</f>
        <v/>
      </c>
      <c r="C1012" t="str">
        <f>IF('LISTA DE PRECIOS'!$H1026&gt;0,'LISTA DE PRECIOS'!C1026,"")</f>
        <v/>
      </c>
      <c r="D1012" s="67" t="str">
        <f>IF('LISTA DE PRECIOS'!$H1026&gt;0,'LISTA DE PRECIOS'!D1026,"")</f>
        <v/>
      </c>
      <c r="E1012" t="str">
        <f>IF('LISTA DE PRECIOS'!$H1026&gt;0,'LISTA DE PRECIOS'!E1026,"")</f>
        <v/>
      </c>
      <c r="F1012" t="str">
        <f>IF('LISTA DE PRECIOS'!$H1026&gt;0,'LISTA DE PRECIOS'!F1026,"")</f>
        <v/>
      </c>
      <c r="G1012" s="31" t="str">
        <f>IF('LISTA DE PRECIOS'!$H1026&gt;0,'LISTA DE PRECIOS'!G1026,"")</f>
        <v/>
      </c>
      <c r="H1012" s="67" t="str">
        <f>IF('LISTA DE PRECIOS'!$H1026&gt;0,'LISTA DE PRECIOS'!H1026,"")</f>
        <v/>
      </c>
      <c r="I1012" s="31" t="str">
        <f t="shared" si="14"/>
        <v/>
      </c>
    </row>
    <row r="1013" spans="1:9">
      <c r="A1013" t="str">
        <f>IF('LISTA DE PRECIOS'!$H1027&gt;0,'LISTA DE PRECIOS'!A1027,"")</f>
        <v/>
      </c>
      <c r="B1013" t="str">
        <f>IF('LISTA DE PRECIOS'!$H1027&gt;0,'LISTA DE PRECIOS'!B1027,"")</f>
        <v/>
      </c>
      <c r="C1013" t="str">
        <f>IF('LISTA DE PRECIOS'!$H1027&gt;0,'LISTA DE PRECIOS'!C1027,"")</f>
        <v/>
      </c>
      <c r="D1013" s="67" t="str">
        <f>IF('LISTA DE PRECIOS'!$H1027&gt;0,'LISTA DE PRECIOS'!D1027,"")</f>
        <v/>
      </c>
      <c r="E1013" t="str">
        <f>IF('LISTA DE PRECIOS'!$H1027&gt;0,'LISTA DE PRECIOS'!E1027,"")</f>
        <v/>
      </c>
      <c r="F1013" t="str">
        <f>IF('LISTA DE PRECIOS'!$H1027&gt;0,'LISTA DE PRECIOS'!F1027,"")</f>
        <v/>
      </c>
      <c r="G1013" s="31" t="str">
        <f>IF('LISTA DE PRECIOS'!$H1027&gt;0,'LISTA DE PRECIOS'!G1027,"")</f>
        <v/>
      </c>
      <c r="H1013" s="67" t="str">
        <f>IF('LISTA DE PRECIOS'!$H1027&gt;0,'LISTA DE PRECIOS'!H1027,"")</f>
        <v/>
      </c>
      <c r="I1013" s="31" t="str">
        <f t="shared" si="14"/>
        <v/>
      </c>
    </row>
    <row r="1014" spans="1:9">
      <c r="A1014" t="str">
        <f>IF('LISTA DE PRECIOS'!$H1028&gt;0,'LISTA DE PRECIOS'!A1028,"")</f>
        <v/>
      </c>
      <c r="B1014" t="str">
        <f>IF('LISTA DE PRECIOS'!$H1028&gt;0,'LISTA DE PRECIOS'!B1028,"")</f>
        <v/>
      </c>
      <c r="C1014" t="str">
        <f>IF('LISTA DE PRECIOS'!$H1028&gt;0,'LISTA DE PRECIOS'!C1028,"")</f>
        <v/>
      </c>
      <c r="D1014" s="67" t="str">
        <f>IF('LISTA DE PRECIOS'!$H1028&gt;0,'LISTA DE PRECIOS'!D1028,"")</f>
        <v/>
      </c>
      <c r="E1014" t="str">
        <f>IF('LISTA DE PRECIOS'!$H1028&gt;0,'LISTA DE PRECIOS'!E1028,"")</f>
        <v/>
      </c>
      <c r="F1014" t="str">
        <f>IF('LISTA DE PRECIOS'!$H1028&gt;0,'LISTA DE PRECIOS'!F1028,"")</f>
        <v/>
      </c>
      <c r="G1014" s="31" t="str">
        <f>IF('LISTA DE PRECIOS'!$H1028&gt;0,'LISTA DE PRECIOS'!G1028,"")</f>
        <v/>
      </c>
      <c r="H1014" s="67" t="str">
        <f>IF('LISTA DE PRECIOS'!$H1028&gt;0,'LISTA DE PRECIOS'!H1028,"")</f>
        <v/>
      </c>
      <c r="I1014" s="31" t="str">
        <f t="shared" si="14"/>
        <v/>
      </c>
    </row>
    <row r="1015" spans="1:9">
      <c r="A1015" t="str">
        <f>IF('LISTA DE PRECIOS'!$H1029&gt;0,'LISTA DE PRECIOS'!A1029,"")</f>
        <v/>
      </c>
      <c r="B1015" t="str">
        <f>IF('LISTA DE PRECIOS'!$H1029&gt;0,'LISTA DE PRECIOS'!B1029,"")</f>
        <v/>
      </c>
      <c r="C1015" t="str">
        <f>IF('LISTA DE PRECIOS'!$H1029&gt;0,'LISTA DE PRECIOS'!C1029,"")</f>
        <v/>
      </c>
      <c r="D1015" s="67" t="str">
        <f>IF('LISTA DE PRECIOS'!$H1029&gt;0,'LISTA DE PRECIOS'!D1029,"")</f>
        <v/>
      </c>
      <c r="E1015" t="str">
        <f>IF('LISTA DE PRECIOS'!$H1029&gt;0,'LISTA DE PRECIOS'!E1029,"")</f>
        <v/>
      </c>
      <c r="F1015" t="str">
        <f>IF('LISTA DE PRECIOS'!$H1029&gt;0,'LISTA DE PRECIOS'!F1029,"")</f>
        <v/>
      </c>
      <c r="G1015" s="31" t="str">
        <f>IF('LISTA DE PRECIOS'!$H1029&gt;0,'LISTA DE PRECIOS'!G1029,"")</f>
        <v/>
      </c>
      <c r="H1015" s="67" t="str">
        <f>IF('LISTA DE PRECIOS'!$H1029&gt;0,'LISTA DE PRECIOS'!H1029,"")</f>
        <v/>
      </c>
      <c r="I1015" s="31" t="str">
        <f t="shared" si="14"/>
        <v/>
      </c>
    </row>
    <row r="1016" spans="1:9">
      <c r="A1016" t="str">
        <f>IF('LISTA DE PRECIOS'!$H1030&gt;0,'LISTA DE PRECIOS'!A1030,"")</f>
        <v/>
      </c>
      <c r="B1016" t="str">
        <f>IF('LISTA DE PRECIOS'!$H1030&gt;0,'LISTA DE PRECIOS'!B1030,"")</f>
        <v/>
      </c>
      <c r="C1016" t="str">
        <f>IF('LISTA DE PRECIOS'!$H1030&gt;0,'LISTA DE PRECIOS'!C1030,"")</f>
        <v/>
      </c>
      <c r="D1016" s="67" t="str">
        <f>IF('LISTA DE PRECIOS'!$H1030&gt;0,'LISTA DE PRECIOS'!D1030,"")</f>
        <v/>
      </c>
      <c r="E1016" t="str">
        <f>IF('LISTA DE PRECIOS'!$H1030&gt;0,'LISTA DE PRECIOS'!E1030,"")</f>
        <v/>
      </c>
      <c r="F1016" t="str">
        <f>IF('LISTA DE PRECIOS'!$H1030&gt;0,'LISTA DE PRECIOS'!F1030,"")</f>
        <v/>
      </c>
      <c r="G1016" s="31" t="str">
        <f>IF('LISTA DE PRECIOS'!$H1030&gt;0,'LISTA DE PRECIOS'!G1030,"")</f>
        <v/>
      </c>
      <c r="H1016" s="67" t="str">
        <f>IF('LISTA DE PRECIOS'!$H1030&gt;0,'LISTA DE PRECIOS'!H1030,"")</f>
        <v/>
      </c>
      <c r="I1016" s="31" t="str">
        <f t="shared" si="14"/>
        <v/>
      </c>
    </row>
    <row r="1017" spans="1:9">
      <c r="A1017" t="str">
        <f>IF('LISTA DE PRECIOS'!$H1031&gt;0,'LISTA DE PRECIOS'!A1031,"")</f>
        <v/>
      </c>
      <c r="B1017" t="str">
        <f>IF('LISTA DE PRECIOS'!$H1031&gt;0,'LISTA DE PRECIOS'!B1031,"")</f>
        <v/>
      </c>
      <c r="C1017" t="str">
        <f>IF('LISTA DE PRECIOS'!$H1031&gt;0,'LISTA DE PRECIOS'!C1031,"")</f>
        <v/>
      </c>
      <c r="D1017" s="67" t="str">
        <f>IF('LISTA DE PRECIOS'!$H1031&gt;0,'LISTA DE PRECIOS'!D1031,"")</f>
        <v/>
      </c>
      <c r="E1017" t="str">
        <f>IF('LISTA DE PRECIOS'!$H1031&gt;0,'LISTA DE PRECIOS'!E1031,"")</f>
        <v/>
      </c>
      <c r="F1017" t="str">
        <f>IF('LISTA DE PRECIOS'!$H1031&gt;0,'LISTA DE PRECIOS'!F1031,"")</f>
        <v/>
      </c>
      <c r="G1017" s="31" t="str">
        <f>IF('LISTA DE PRECIOS'!$H1031&gt;0,'LISTA DE PRECIOS'!G1031,"")</f>
        <v/>
      </c>
      <c r="H1017" s="67" t="str">
        <f>IF('LISTA DE PRECIOS'!$H1031&gt;0,'LISTA DE PRECIOS'!H1031,"")</f>
        <v/>
      </c>
      <c r="I1017" s="31" t="str">
        <f t="shared" si="14"/>
        <v/>
      </c>
    </row>
    <row r="1018" spans="1:9">
      <c r="A1018" t="str">
        <f>IF('LISTA DE PRECIOS'!$H1032&gt;0,'LISTA DE PRECIOS'!A1032,"")</f>
        <v/>
      </c>
      <c r="B1018" t="str">
        <f>IF('LISTA DE PRECIOS'!$H1032&gt;0,'LISTA DE PRECIOS'!B1032,"")</f>
        <v/>
      </c>
      <c r="C1018" t="str">
        <f>IF('LISTA DE PRECIOS'!$H1032&gt;0,'LISTA DE PRECIOS'!C1032,"")</f>
        <v/>
      </c>
      <c r="D1018" s="67" t="str">
        <f>IF('LISTA DE PRECIOS'!$H1032&gt;0,'LISTA DE PRECIOS'!D1032,"")</f>
        <v/>
      </c>
      <c r="E1018" t="str">
        <f>IF('LISTA DE PRECIOS'!$H1032&gt;0,'LISTA DE PRECIOS'!E1032,"")</f>
        <v/>
      </c>
      <c r="F1018" t="str">
        <f>IF('LISTA DE PRECIOS'!$H1032&gt;0,'LISTA DE PRECIOS'!F1032,"")</f>
        <v/>
      </c>
      <c r="G1018" s="31" t="str">
        <f>IF('LISTA DE PRECIOS'!$H1032&gt;0,'LISTA DE PRECIOS'!G1032,"")</f>
        <v/>
      </c>
      <c r="H1018" s="67" t="str">
        <f>IF('LISTA DE PRECIOS'!$H1032&gt;0,'LISTA DE PRECIOS'!H1032,"")</f>
        <v/>
      </c>
      <c r="I1018" s="31" t="str">
        <f t="shared" si="14"/>
        <v/>
      </c>
    </row>
    <row r="1019" spans="1:9">
      <c r="A1019" t="str">
        <f>IF('LISTA DE PRECIOS'!$H1033&gt;0,'LISTA DE PRECIOS'!A1033,"")</f>
        <v/>
      </c>
      <c r="B1019" t="str">
        <f>IF('LISTA DE PRECIOS'!$H1033&gt;0,'LISTA DE PRECIOS'!B1033,"")</f>
        <v/>
      </c>
      <c r="C1019" t="str">
        <f>IF('LISTA DE PRECIOS'!$H1033&gt;0,'LISTA DE PRECIOS'!C1033,"")</f>
        <v/>
      </c>
      <c r="D1019" s="67" t="str">
        <f>IF('LISTA DE PRECIOS'!$H1033&gt;0,'LISTA DE PRECIOS'!D1033,"")</f>
        <v/>
      </c>
      <c r="E1019" t="str">
        <f>IF('LISTA DE PRECIOS'!$H1033&gt;0,'LISTA DE PRECIOS'!E1033,"")</f>
        <v/>
      </c>
      <c r="F1019" t="str">
        <f>IF('LISTA DE PRECIOS'!$H1033&gt;0,'LISTA DE PRECIOS'!F1033,"")</f>
        <v/>
      </c>
      <c r="G1019" s="31" t="str">
        <f>IF('LISTA DE PRECIOS'!$H1033&gt;0,'LISTA DE PRECIOS'!G1033,"")</f>
        <v/>
      </c>
      <c r="H1019" s="67" t="str">
        <f>IF('LISTA DE PRECIOS'!$H1033&gt;0,'LISTA DE PRECIOS'!H1033,"")</f>
        <v/>
      </c>
      <c r="I1019" s="31" t="str">
        <f t="shared" si="14"/>
        <v/>
      </c>
    </row>
    <row r="1020" spans="1:9">
      <c r="A1020" t="str">
        <f>IF('LISTA DE PRECIOS'!$H1034&gt;0,'LISTA DE PRECIOS'!A1034,"")</f>
        <v/>
      </c>
      <c r="B1020" t="str">
        <f>IF('LISTA DE PRECIOS'!$H1034&gt;0,'LISTA DE PRECIOS'!B1034,"")</f>
        <v/>
      </c>
      <c r="C1020" t="str">
        <f>IF('LISTA DE PRECIOS'!$H1034&gt;0,'LISTA DE PRECIOS'!C1034,"")</f>
        <v/>
      </c>
      <c r="D1020" s="67" t="str">
        <f>IF('LISTA DE PRECIOS'!$H1034&gt;0,'LISTA DE PRECIOS'!D1034,"")</f>
        <v/>
      </c>
      <c r="E1020" t="str">
        <f>IF('LISTA DE PRECIOS'!$H1034&gt;0,'LISTA DE PRECIOS'!E1034,"")</f>
        <v/>
      </c>
      <c r="F1020" t="str">
        <f>IF('LISTA DE PRECIOS'!$H1034&gt;0,'LISTA DE PRECIOS'!F1034,"")</f>
        <v/>
      </c>
      <c r="G1020" s="31" t="str">
        <f>IF('LISTA DE PRECIOS'!$H1034&gt;0,'LISTA DE PRECIOS'!G1034,"")</f>
        <v/>
      </c>
      <c r="H1020" s="67" t="str">
        <f>IF('LISTA DE PRECIOS'!$H1034&gt;0,'LISTA DE PRECIOS'!H1034,"")</f>
        <v/>
      </c>
      <c r="I1020" s="31" t="str">
        <f t="shared" si="14"/>
        <v/>
      </c>
    </row>
    <row r="1021" spans="1:9">
      <c r="A1021" t="str">
        <f>IF('LISTA DE PRECIOS'!$H1035&gt;0,'LISTA DE PRECIOS'!A1035,"")</f>
        <v/>
      </c>
      <c r="B1021" t="str">
        <f>IF('LISTA DE PRECIOS'!$H1035&gt;0,'LISTA DE PRECIOS'!B1035,"")</f>
        <v/>
      </c>
      <c r="C1021" t="str">
        <f>IF('LISTA DE PRECIOS'!$H1035&gt;0,'LISTA DE PRECIOS'!C1035,"")</f>
        <v/>
      </c>
      <c r="D1021" s="67" t="str">
        <f>IF('LISTA DE PRECIOS'!$H1035&gt;0,'LISTA DE PRECIOS'!D1035,"")</f>
        <v/>
      </c>
      <c r="E1021" t="str">
        <f>IF('LISTA DE PRECIOS'!$H1035&gt;0,'LISTA DE PRECIOS'!E1035,"")</f>
        <v/>
      </c>
      <c r="F1021" t="str">
        <f>IF('LISTA DE PRECIOS'!$H1035&gt;0,'LISTA DE PRECIOS'!F1035,"")</f>
        <v/>
      </c>
      <c r="G1021" s="31" t="str">
        <f>IF('LISTA DE PRECIOS'!$H1035&gt;0,'LISTA DE PRECIOS'!G1035,"")</f>
        <v/>
      </c>
      <c r="H1021" s="67" t="str">
        <f>IF('LISTA DE PRECIOS'!$H1035&gt;0,'LISTA DE PRECIOS'!H1035,"")</f>
        <v/>
      </c>
      <c r="I1021" s="31" t="str">
        <f t="shared" si="14"/>
        <v/>
      </c>
    </row>
    <row r="1022" spans="1:9">
      <c r="A1022" t="str">
        <f>IF('LISTA DE PRECIOS'!$H1036&gt;0,'LISTA DE PRECIOS'!A1036,"")</f>
        <v/>
      </c>
      <c r="B1022" t="str">
        <f>IF('LISTA DE PRECIOS'!$H1036&gt;0,'LISTA DE PRECIOS'!B1036,"")</f>
        <v/>
      </c>
      <c r="C1022" t="str">
        <f>IF('LISTA DE PRECIOS'!$H1036&gt;0,'LISTA DE PRECIOS'!C1036,"")</f>
        <v/>
      </c>
      <c r="D1022" s="67" t="str">
        <f>IF('LISTA DE PRECIOS'!$H1036&gt;0,'LISTA DE PRECIOS'!D1036,"")</f>
        <v/>
      </c>
      <c r="E1022" t="str">
        <f>IF('LISTA DE PRECIOS'!$H1036&gt;0,'LISTA DE PRECIOS'!E1036,"")</f>
        <v/>
      </c>
      <c r="F1022" t="str">
        <f>IF('LISTA DE PRECIOS'!$H1036&gt;0,'LISTA DE PRECIOS'!F1036,"")</f>
        <v/>
      </c>
      <c r="G1022" s="31" t="str">
        <f>IF('LISTA DE PRECIOS'!$H1036&gt;0,'LISTA DE PRECIOS'!G1036,"")</f>
        <v/>
      </c>
      <c r="H1022" s="67" t="str">
        <f>IF('LISTA DE PRECIOS'!$H1036&gt;0,'LISTA DE PRECIOS'!H1036,"")</f>
        <v/>
      </c>
      <c r="I1022" s="31" t="str">
        <f t="shared" si="14"/>
        <v/>
      </c>
    </row>
    <row r="1023" spans="1:9">
      <c r="A1023" t="str">
        <f>IF('LISTA DE PRECIOS'!$H1037&gt;0,'LISTA DE PRECIOS'!A1037,"")</f>
        <v/>
      </c>
      <c r="B1023" t="str">
        <f>IF('LISTA DE PRECIOS'!$H1037&gt;0,'LISTA DE PRECIOS'!B1037,"")</f>
        <v/>
      </c>
      <c r="C1023" t="str">
        <f>IF('LISTA DE PRECIOS'!$H1037&gt;0,'LISTA DE PRECIOS'!C1037,"")</f>
        <v/>
      </c>
      <c r="D1023" s="67" t="str">
        <f>IF('LISTA DE PRECIOS'!$H1037&gt;0,'LISTA DE PRECIOS'!D1037,"")</f>
        <v/>
      </c>
      <c r="E1023" t="str">
        <f>IF('LISTA DE PRECIOS'!$H1037&gt;0,'LISTA DE PRECIOS'!E1037,"")</f>
        <v/>
      </c>
      <c r="F1023" t="str">
        <f>IF('LISTA DE PRECIOS'!$H1037&gt;0,'LISTA DE PRECIOS'!F1037,"")</f>
        <v/>
      </c>
      <c r="G1023" s="31" t="str">
        <f>IF('LISTA DE PRECIOS'!$H1037&gt;0,'LISTA DE PRECIOS'!G1037,"")</f>
        <v/>
      </c>
      <c r="H1023" s="67" t="str">
        <f>IF('LISTA DE PRECIOS'!$H1037&gt;0,'LISTA DE PRECIOS'!H1037,"")</f>
        <v/>
      </c>
      <c r="I1023" s="31" t="str">
        <f t="shared" si="14"/>
        <v/>
      </c>
    </row>
    <row r="1024" spans="1:9">
      <c r="A1024" t="str">
        <f>IF('LISTA DE PRECIOS'!$H1038&gt;0,'LISTA DE PRECIOS'!A1038,"")</f>
        <v/>
      </c>
      <c r="B1024" t="str">
        <f>IF('LISTA DE PRECIOS'!$H1038&gt;0,'LISTA DE PRECIOS'!B1038,"")</f>
        <v/>
      </c>
      <c r="C1024" t="str">
        <f>IF('LISTA DE PRECIOS'!$H1038&gt;0,'LISTA DE PRECIOS'!C1038,"")</f>
        <v/>
      </c>
      <c r="D1024" s="67" t="str">
        <f>IF('LISTA DE PRECIOS'!$H1038&gt;0,'LISTA DE PRECIOS'!D1038,"")</f>
        <v/>
      </c>
      <c r="E1024" t="str">
        <f>IF('LISTA DE PRECIOS'!$H1038&gt;0,'LISTA DE PRECIOS'!E1038,"")</f>
        <v/>
      </c>
      <c r="F1024" t="str">
        <f>IF('LISTA DE PRECIOS'!$H1038&gt;0,'LISTA DE PRECIOS'!F1038,"")</f>
        <v/>
      </c>
      <c r="G1024" s="31" t="str">
        <f>IF('LISTA DE PRECIOS'!$H1038&gt;0,'LISTA DE PRECIOS'!G1038,"")</f>
        <v/>
      </c>
      <c r="H1024" s="67" t="str">
        <f>IF('LISTA DE PRECIOS'!$H1038&gt;0,'LISTA DE PRECIOS'!H1038,"")</f>
        <v/>
      </c>
      <c r="I1024" s="31" t="str">
        <f t="shared" si="14"/>
        <v/>
      </c>
    </row>
    <row r="1025" spans="1:9">
      <c r="A1025" t="str">
        <f>IF('LISTA DE PRECIOS'!$H1039&gt;0,'LISTA DE PRECIOS'!A1039,"")</f>
        <v/>
      </c>
      <c r="B1025" t="str">
        <f>IF('LISTA DE PRECIOS'!$H1039&gt;0,'LISTA DE PRECIOS'!B1039,"")</f>
        <v/>
      </c>
      <c r="C1025" t="str">
        <f>IF('LISTA DE PRECIOS'!$H1039&gt;0,'LISTA DE PRECIOS'!C1039,"")</f>
        <v/>
      </c>
      <c r="D1025" s="67" t="str">
        <f>IF('LISTA DE PRECIOS'!$H1039&gt;0,'LISTA DE PRECIOS'!D1039,"")</f>
        <v/>
      </c>
      <c r="E1025" t="str">
        <f>IF('LISTA DE PRECIOS'!$H1039&gt;0,'LISTA DE PRECIOS'!E1039,"")</f>
        <v/>
      </c>
      <c r="F1025" t="str">
        <f>IF('LISTA DE PRECIOS'!$H1039&gt;0,'LISTA DE PRECIOS'!F1039,"")</f>
        <v/>
      </c>
      <c r="G1025" s="31" t="str">
        <f>IF('LISTA DE PRECIOS'!$H1039&gt;0,'LISTA DE PRECIOS'!G1039,"")</f>
        <v/>
      </c>
      <c r="H1025" s="67" t="str">
        <f>IF('LISTA DE PRECIOS'!$H1039&gt;0,'LISTA DE PRECIOS'!H1039,"")</f>
        <v/>
      </c>
      <c r="I1025" s="31" t="str">
        <f t="shared" si="14"/>
        <v/>
      </c>
    </row>
    <row r="1026" spans="1:9">
      <c r="A1026" t="str">
        <f>IF('LISTA DE PRECIOS'!$H1040&gt;0,'LISTA DE PRECIOS'!A1040,"")</f>
        <v/>
      </c>
      <c r="B1026" t="str">
        <f>IF('LISTA DE PRECIOS'!$H1040&gt;0,'LISTA DE PRECIOS'!B1040,"")</f>
        <v/>
      </c>
      <c r="C1026" t="str">
        <f>IF('LISTA DE PRECIOS'!$H1040&gt;0,'LISTA DE PRECIOS'!C1040,"")</f>
        <v/>
      </c>
      <c r="D1026" s="67" t="str">
        <f>IF('LISTA DE PRECIOS'!$H1040&gt;0,'LISTA DE PRECIOS'!D1040,"")</f>
        <v/>
      </c>
      <c r="E1026" t="str">
        <f>IF('LISTA DE PRECIOS'!$H1040&gt;0,'LISTA DE PRECIOS'!E1040,"")</f>
        <v/>
      </c>
      <c r="F1026" t="str">
        <f>IF('LISTA DE PRECIOS'!$H1040&gt;0,'LISTA DE PRECIOS'!F1040,"")</f>
        <v/>
      </c>
      <c r="G1026" s="31" t="str">
        <f>IF('LISTA DE PRECIOS'!$H1040&gt;0,'LISTA DE PRECIOS'!G1040,"")</f>
        <v/>
      </c>
      <c r="H1026" s="67" t="str">
        <f>IF('LISTA DE PRECIOS'!$H1040&gt;0,'LISTA DE PRECIOS'!H1040,"")</f>
        <v/>
      </c>
      <c r="I1026" s="31" t="str">
        <f t="shared" si="14"/>
        <v/>
      </c>
    </row>
    <row r="1027" spans="1:9">
      <c r="A1027" t="str">
        <f>IF('LISTA DE PRECIOS'!$H1041&gt;0,'LISTA DE PRECIOS'!A1041,"")</f>
        <v/>
      </c>
      <c r="B1027" t="str">
        <f>IF('LISTA DE PRECIOS'!$H1041&gt;0,'LISTA DE PRECIOS'!B1041,"")</f>
        <v/>
      </c>
      <c r="C1027" t="str">
        <f>IF('LISTA DE PRECIOS'!$H1041&gt;0,'LISTA DE PRECIOS'!C1041,"")</f>
        <v/>
      </c>
      <c r="D1027" s="67" t="str">
        <f>IF('LISTA DE PRECIOS'!$H1041&gt;0,'LISTA DE PRECIOS'!D1041,"")</f>
        <v/>
      </c>
      <c r="E1027" t="str">
        <f>IF('LISTA DE PRECIOS'!$H1041&gt;0,'LISTA DE PRECIOS'!E1041,"")</f>
        <v/>
      </c>
      <c r="F1027" t="str">
        <f>IF('LISTA DE PRECIOS'!$H1041&gt;0,'LISTA DE PRECIOS'!F1041,"")</f>
        <v/>
      </c>
      <c r="G1027" s="31" t="str">
        <f>IF('LISTA DE PRECIOS'!$H1041&gt;0,'LISTA DE PRECIOS'!G1041,"")</f>
        <v/>
      </c>
      <c r="H1027" s="67" t="str">
        <f>IF('LISTA DE PRECIOS'!$H1041&gt;0,'LISTA DE PRECIOS'!H1041,"")</f>
        <v/>
      </c>
      <c r="I1027" s="31" t="str">
        <f t="shared" si="14"/>
        <v/>
      </c>
    </row>
    <row r="1028" spans="1:9">
      <c r="A1028" t="str">
        <f>IF('LISTA DE PRECIOS'!$H1042&gt;0,'LISTA DE PRECIOS'!A1042,"")</f>
        <v/>
      </c>
      <c r="B1028" t="str">
        <f>IF('LISTA DE PRECIOS'!$H1042&gt;0,'LISTA DE PRECIOS'!B1042,"")</f>
        <v/>
      </c>
      <c r="C1028" t="str">
        <f>IF('LISTA DE PRECIOS'!$H1042&gt;0,'LISTA DE PRECIOS'!C1042,"")</f>
        <v/>
      </c>
      <c r="D1028" s="67" t="str">
        <f>IF('LISTA DE PRECIOS'!$H1042&gt;0,'LISTA DE PRECIOS'!D1042,"")</f>
        <v/>
      </c>
      <c r="E1028" t="str">
        <f>IF('LISTA DE PRECIOS'!$H1042&gt;0,'LISTA DE PRECIOS'!E1042,"")</f>
        <v/>
      </c>
      <c r="F1028" t="str">
        <f>IF('LISTA DE PRECIOS'!$H1042&gt;0,'LISTA DE PRECIOS'!F1042,"")</f>
        <v/>
      </c>
      <c r="G1028" s="31" t="str">
        <f>IF('LISTA DE PRECIOS'!$H1042&gt;0,'LISTA DE PRECIOS'!G1042,"")</f>
        <v/>
      </c>
      <c r="H1028" s="67" t="str">
        <f>IF('LISTA DE PRECIOS'!$H1042&gt;0,'LISTA DE PRECIOS'!H1042,"")</f>
        <v/>
      </c>
      <c r="I1028" s="31" t="str">
        <f t="shared" si="14"/>
        <v/>
      </c>
    </row>
    <row r="1029" spans="1:9">
      <c r="A1029" t="str">
        <f>IF('LISTA DE PRECIOS'!$H1043&gt;0,'LISTA DE PRECIOS'!A1043,"")</f>
        <v/>
      </c>
      <c r="B1029" t="str">
        <f>IF('LISTA DE PRECIOS'!$H1043&gt;0,'LISTA DE PRECIOS'!B1043,"")</f>
        <v/>
      </c>
      <c r="C1029" t="str">
        <f>IF('LISTA DE PRECIOS'!$H1043&gt;0,'LISTA DE PRECIOS'!C1043,"")</f>
        <v/>
      </c>
      <c r="D1029" s="67" t="str">
        <f>IF('LISTA DE PRECIOS'!$H1043&gt;0,'LISTA DE PRECIOS'!D1043,"")</f>
        <v/>
      </c>
      <c r="E1029" t="str">
        <f>IF('LISTA DE PRECIOS'!$H1043&gt;0,'LISTA DE PRECIOS'!E1043,"")</f>
        <v/>
      </c>
      <c r="F1029" t="str">
        <f>IF('LISTA DE PRECIOS'!$H1043&gt;0,'LISTA DE PRECIOS'!F1043,"")</f>
        <v/>
      </c>
      <c r="G1029" s="31" t="str">
        <f>IF('LISTA DE PRECIOS'!$H1043&gt;0,'LISTA DE PRECIOS'!G1043,"")</f>
        <v/>
      </c>
      <c r="H1029" s="67" t="str">
        <f>IF('LISTA DE PRECIOS'!$H1043&gt;0,'LISTA DE PRECIOS'!H1043,"")</f>
        <v/>
      </c>
      <c r="I1029" s="31" t="str">
        <f t="shared" si="14"/>
        <v/>
      </c>
    </row>
    <row r="1030" spans="1:9">
      <c r="A1030" t="str">
        <f>IF('LISTA DE PRECIOS'!$H1044&gt;0,'LISTA DE PRECIOS'!A1044,"")</f>
        <v/>
      </c>
      <c r="B1030" t="str">
        <f>IF('LISTA DE PRECIOS'!$H1044&gt;0,'LISTA DE PRECIOS'!B1044,"")</f>
        <v/>
      </c>
      <c r="C1030" t="str">
        <f>IF('LISTA DE PRECIOS'!$H1044&gt;0,'LISTA DE PRECIOS'!C1044,"")</f>
        <v/>
      </c>
      <c r="D1030" s="67" t="str">
        <f>IF('LISTA DE PRECIOS'!$H1044&gt;0,'LISTA DE PRECIOS'!D1044,"")</f>
        <v/>
      </c>
      <c r="E1030" t="str">
        <f>IF('LISTA DE PRECIOS'!$H1044&gt;0,'LISTA DE PRECIOS'!E1044,"")</f>
        <v/>
      </c>
      <c r="F1030" t="str">
        <f>IF('LISTA DE PRECIOS'!$H1044&gt;0,'LISTA DE PRECIOS'!F1044,"")</f>
        <v/>
      </c>
      <c r="G1030" s="31" t="str">
        <f>IF('LISTA DE PRECIOS'!$H1044&gt;0,'LISTA DE PRECIOS'!G1044,"")</f>
        <v/>
      </c>
      <c r="H1030" s="67" t="str">
        <f>IF('LISTA DE PRECIOS'!$H1044&gt;0,'LISTA DE PRECIOS'!H1044,"")</f>
        <v/>
      </c>
      <c r="I1030" s="31" t="str">
        <f t="shared" si="14"/>
        <v/>
      </c>
    </row>
    <row r="1031" spans="1:9">
      <c r="A1031" t="str">
        <f>IF('LISTA DE PRECIOS'!$H1045&gt;0,'LISTA DE PRECIOS'!A1045,"")</f>
        <v/>
      </c>
      <c r="B1031" t="str">
        <f>IF('LISTA DE PRECIOS'!$H1045&gt;0,'LISTA DE PRECIOS'!B1045,"")</f>
        <v/>
      </c>
      <c r="C1031" t="str">
        <f>IF('LISTA DE PRECIOS'!$H1045&gt;0,'LISTA DE PRECIOS'!C1045,"")</f>
        <v/>
      </c>
      <c r="D1031" s="67" t="str">
        <f>IF('LISTA DE PRECIOS'!$H1045&gt;0,'LISTA DE PRECIOS'!D1045,"")</f>
        <v/>
      </c>
      <c r="E1031" t="str">
        <f>IF('LISTA DE PRECIOS'!$H1045&gt;0,'LISTA DE PRECIOS'!E1045,"")</f>
        <v/>
      </c>
      <c r="F1031" t="str">
        <f>IF('LISTA DE PRECIOS'!$H1045&gt;0,'LISTA DE PRECIOS'!F1045,"")</f>
        <v/>
      </c>
      <c r="G1031" s="31" t="str">
        <f>IF('LISTA DE PRECIOS'!$H1045&gt;0,'LISTA DE PRECIOS'!G1045,"")</f>
        <v/>
      </c>
      <c r="H1031" s="67" t="str">
        <f>IF('LISTA DE PRECIOS'!$H1045&gt;0,'LISTA DE PRECIOS'!H1045,"")</f>
        <v/>
      </c>
      <c r="I1031" s="31" t="str">
        <f t="shared" si="14"/>
        <v/>
      </c>
    </row>
    <row r="1032" spans="1:9">
      <c r="A1032" t="str">
        <f>IF('LISTA DE PRECIOS'!$H1046&gt;0,'LISTA DE PRECIOS'!A1046,"")</f>
        <v/>
      </c>
      <c r="B1032" t="str">
        <f>IF('LISTA DE PRECIOS'!$H1046&gt;0,'LISTA DE PRECIOS'!B1046,"")</f>
        <v/>
      </c>
      <c r="C1032" t="str">
        <f>IF('LISTA DE PRECIOS'!$H1046&gt;0,'LISTA DE PRECIOS'!C1046,"")</f>
        <v/>
      </c>
      <c r="D1032" s="67" t="str">
        <f>IF('LISTA DE PRECIOS'!$H1046&gt;0,'LISTA DE PRECIOS'!D1046,"")</f>
        <v/>
      </c>
      <c r="E1032" t="str">
        <f>IF('LISTA DE PRECIOS'!$H1046&gt;0,'LISTA DE PRECIOS'!E1046,"")</f>
        <v/>
      </c>
      <c r="F1032" t="str">
        <f>IF('LISTA DE PRECIOS'!$H1046&gt;0,'LISTA DE PRECIOS'!F1046,"")</f>
        <v/>
      </c>
      <c r="G1032" s="31" t="str">
        <f>IF('LISTA DE PRECIOS'!$H1046&gt;0,'LISTA DE PRECIOS'!G1046,"")</f>
        <v/>
      </c>
      <c r="H1032" s="67" t="str">
        <f>IF('LISTA DE PRECIOS'!$H1046&gt;0,'LISTA DE PRECIOS'!H1046,"")</f>
        <v/>
      </c>
      <c r="I1032" s="31" t="str">
        <f t="shared" si="14"/>
        <v/>
      </c>
    </row>
    <row r="1033" spans="1:9">
      <c r="A1033" t="str">
        <f>IF('LISTA DE PRECIOS'!$H1047&gt;0,'LISTA DE PRECIOS'!A1047,"")</f>
        <v/>
      </c>
      <c r="B1033" t="str">
        <f>IF('LISTA DE PRECIOS'!$H1047&gt;0,'LISTA DE PRECIOS'!B1047,"")</f>
        <v/>
      </c>
      <c r="C1033" t="str">
        <f>IF('LISTA DE PRECIOS'!$H1047&gt;0,'LISTA DE PRECIOS'!C1047,"")</f>
        <v/>
      </c>
      <c r="D1033" s="67" t="str">
        <f>IF('LISTA DE PRECIOS'!$H1047&gt;0,'LISTA DE PRECIOS'!D1047,"")</f>
        <v/>
      </c>
      <c r="E1033" t="str">
        <f>IF('LISTA DE PRECIOS'!$H1047&gt;0,'LISTA DE PRECIOS'!E1047,"")</f>
        <v/>
      </c>
      <c r="F1033" t="str">
        <f>IF('LISTA DE PRECIOS'!$H1047&gt;0,'LISTA DE PRECIOS'!F1047,"")</f>
        <v/>
      </c>
      <c r="G1033" s="31" t="str">
        <f>IF('LISTA DE PRECIOS'!$H1047&gt;0,'LISTA DE PRECIOS'!G1047,"")</f>
        <v/>
      </c>
      <c r="H1033" s="67" t="str">
        <f>IF('LISTA DE PRECIOS'!$H1047&gt;0,'LISTA DE PRECIOS'!H1047,"")</f>
        <v/>
      </c>
      <c r="I1033" s="31" t="str">
        <f t="shared" si="14"/>
        <v/>
      </c>
    </row>
    <row r="1034" spans="1:9">
      <c r="A1034" t="str">
        <f>IF('LISTA DE PRECIOS'!$H1048&gt;0,'LISTA DE PRECIOS'!A1048,"")</f>
        <v/>
      </c>
      <c r="B1034" t="str">
        <f>IF('LISTA DE PRECIOS'!$H1048&gt;0,'LISTA DE PRECIOS'!B1048,"")</f>
        <v/>
      </c>
      <c r="C1034" t="str">
        <f>IF('LISTA DE PRECIOS'!$H1048&gt;0,'LISTA DE PRECIOS'!C1048,"")</f>
        <v/>
      </c>
      <c r="D1034" s="67" t="str">
        <f>IF('LISTA DE PRECIOS'!$H1048&gt;0,'LISTA DE PRECIOS'!D1048,"")</f>
        <v/>
      </c>
      <c r="E1034" t="str">
        <f>IF('LISTA DE PRECIOS'!$H1048&gt;0,'LISTA DE PRECIOS'!E1048,"")</f>
        <v/>
      </c>
      <c r="F1034" t="str">
        <f>IF('LISTA DE PRECIOS'!$H1048&gt;0,'LISTA DE PRECIOS'!F1048,"")</f>
        <v/>
      </c>
      <c r="G1034" s="31" t="str">
        <f>IF('LISTA DE PRECIOS'!$H1048&gt;0,'LISTA DE PRECIOS'!G1048,"")</f>
        <v/>
      </c>
      <c r="H1034" s="67" t="str">
        <f>IF('LISTA DE PRECIOS'!$H1048&gt;0,'LISTA DE PRECIOS'!H1048,"")</f>
        <v/>
      </c>
      <c r="I1034" s="31" t="str">
        <f t="shared" si="14"/>
        <v/>
      </c>
    </row>
    <row r="1035" spans="1:9">
      <c r="A1035" t="str">
        <f>IF('LISTA DE PRECIOS'!$H1049&gt;0,'LISTA DE PRECIOS'!A1049,"")</f>
        <v/>
      </c>
      <c r="B1035" t="str">
        <f>IF('LISTA DE PRECIOS'!$H1049&gt;0,'LISTA DE PRECIOS'!B1049,"")</f>
        <v/>
      </c>
      <c r="C1035" t="str">
        <f>IF('LISTA DE PRECIOS'!$H1049&gt;0,'LISTA DE PRECIOS'!C1049,"")</f>
        <v/>
      </c>
      <c r="D1035" s="67" t="str">
        <f>IF('LISTA DE PRECIOS'!$H1049&gt;0,'LISTA DE PRECIOS'!D1049,"")</f>
        <v/>
      </c>
      <c r="E1035" t="str">
        <f>IF('LISTA DE PRECIOS'!$H1049&gt;0,'LISTA DE PRECIOS'!E1049,"")</f>
        <v/>
      </c>
      <c r="F1035" t="str">
        <f>IF('LISTA DE PRECIOS'!$H1049&gt;0,'LISTA DE PRECIOS'!F1049,"")</f>
        <v/>
      </c>
      <c r="G1035" s="31" t="str">
        <f>IF('LISTA DE PRECIOS'!$H1049&gt;0,'LISTA DE PRECIOS'!G1049,"")</f>
        <v/>
      </c>
      <c r="H1035" s="67" t="str">
        <f>IF('LISTA DE PRECIOS'!$H1049&gt;0,'LISTA DE PRECIOS'!H1049,"")</f>
        <v/>
      </c>
      <c r="I1035" s="31" t="str">
        <f t="shared" si="14"/>
        <v/>
      </c>
    </row>
    <row r="1036" spans="1:9">
      <c r="A1036" t="str">
        <f>IF('LISTA DE PRECIOS'!$H1050&gt;0,'LISTA DE PRECIOS'!A1050,"")</f>
        <v/>
      </c>
      <c r="B1036" t="str">
        <f>IF('LISTA DE PRECIOS'!$H1050&gt;0,'LISTA DE PRECIOS'!B1050,"")</f>
        <v/>
      </c>
      <c r="C1036" t="str">
        <f>IF('LISTA DE PRECIOS'!$H1050&gt;0,'LISTA DE PRECIOS'!C1050,"")</f>
        <v/>
      </c>
      <c r="D1036" s="67" t="str">
        <f>IF('LISTA DE PRECIOS'!$H1050&gt;0,'LISTA DE PRECIOS'!D1050,"")</f>
        <v/>
      </c>
      <c r="E1036" t="str">
        <f>IF('LISTA DE PRECIOS'!$H1050&gt;0,'LISTA DE PRECIOS'!E1050,"")</f>
        <v/>
      </c>
      <c r="F1036" t="str">
        <f>IF('LISTA DE PRECIOS'!$H1050&gt;0,'LISTA DE PRECIOS'!F1050,"")</f>
        <v/>
      </c>
      <c r="G1036" s="31" t="str">
        <f>IF('LISTA DE PRECIOS'!$H1050&gt;0,'LISTA DE PRECIOS'!G1050,"")</f>
        <v/>
      </c>
      <c r="H1036" s="67" t="str">
        <f>IF('LISTA DE PRECIOS'!$H1050&gt;0,'LISTA DE PRECIOS'!H1050,"")</f>
        <v/>
      </c>
      <c r="I1036" s="31" t="str">
        <f t="shared" si="14"/>
        <v/>
      </c>
    </row>
    <row r="1037" spans="1:9">
      <c r="A1037" t="str">
        <f>IF('LISTA DE PRECIOS'!$H1051&gt;0,'LISTA DE PRECIOS'!A1051,"")</f>
        <v/>
      </c>
      <c r="B1037" t="str">
        <f>IF('LISTA DE PRECIOS'!$H1051&gt;0,'LISTA DE PRECIOS'!B1051,"")</f>
        <v/>
      </c>
      <c r="C1037" t="str">
        <f>IF('LISTA DE PRECIOS'!$H1051&gt;0,'LISTA DE PRECIOS'!C1051,"")</f>
        <v/>
      </c>
      <c r="D1037" s="67" t="str">
        <f>IF('LISTA DE PRECIOS'!$H1051&gt;0,'LISTA DE PRECIOS'!D1051,"")</f>
        <v/>
      </c>
      <c r="E1037" t="str">
        <f>IF('LISTA DE PRECIOS'!$H1051&gt;0,'LISTA DE PRECIOS'!E1051,"")</f>
        <v/>
      </c>
      <c r="F1037" t="str">
        <f>IF('LISTA DE PRECIOS'!$H1051&gt;0,'LISTA DE PRECIOS'!F1051,"")</f>
        <v/>
      </c>
      <c r="G1037" s="31" t="str">
        <f>IF('LISTA DE PRECIOS'!$H1051&gt;0,'LISTA DE PRECIOS'!G1051,"")</f>
        <v/>
      </c>
      <c r="H1037" s="67" t="str">
        <f>IF('LISTA DE PRECIOS'!$H1051&gt;0,'LISTA DE PRECIOS'!H1051,"")</f>
        <v/>
      </c>
      <c r="I1037" s="31" t="str">
        <f t="shared" si="14"/>
        <v/>
      </c>
    </row>
    <row r="1038" spans="1:9">
      <c r="A1038" t="str">
        <f>IF('LISTA DE PRECIOS'!$H1052&gt;0,'LISTA DE PRECIOS'!A1052,"")</f>
        <v/>
      </c>
      <c r="B1038" t="str">
        <f>IF('LISTA DE PRECIOS'!$H1052&gt;0,'LISTA DE PRECIOS'!B1052,"")</f>
        <v/>
      </c>
      <c r="C1038" t="str">
        <f>IF('LISTA DE PRECIOS'!$H1052&gt;0,'LISTA DE PRECIOS'!C1052,"")</f>
        <v/>
      </c>
      <c r="D1038" s="67" t="str">
        <f>IF('LISTA DE PRECIOS'!$H1052&gt;0,'LISTA DE PRECIOS'!D1052,"")</f>
        <v/>
      </c>
      <c r="E1038" t="str">
        <f>IF('LISTA DE PRECIOS'!$H1052&gt;0,'LISTA DE PRECIOS'!E1052,"")</f>
        <v/>
      </c>
      <c r="F1038" t="str">
        <f>IF('LISTA DE PRECIOS'!$H1052&gt;0,'LISTA DE PRECIOS'!F1052,"")</f>
        <v/>
      </c>
      <c r="G1038" s="31" t="str">
        <f>IF('LISTA DE PRECIOS'!$H1052&gt;0,'LISTA DE PRECIOS'!G1052,"")</f>
        <v/>
      </c>
      <c r="H1038" s="67" t="str">
        <f>IF('LISTA DE PRECIOS'!$H1052&gt;0,'LISTA DE PRECIOS'!H1052,"")</f>
        <v/>
      </c>
      <c r="I1038" s="31" t="str">
        <f t="shared" si="14"/>
        <v/>
      </c>
    </row>
    <row r="1039" spans="1:9">
      <c r="A1039" t="str">
        <f>IF('LISTA DE PRECIOS'!$H1053&gt;0,'LISTA DE PRECIOS'!A1053,"")</f>
        <v/>
      </c>
      <c r="B1039" t="str">
        <f>IF('LISTA DE PRECIOS'!$H1053&gt;0,'LISTA DE PRECIOS'!B1053,"")</f>
        <v/>
      </c>
      <c r="C1039" t="str">
        <f>IF('LISTA DE PRECIOS'!$H1053&gt;0,'LISTA DE PRECIOS'!C1053,"")</f>
        <v/>
      </c>
      <c r="D1039" s="67" t="str">
        <f>IF('LISTA DE PRECIOS'!$H1053&gt;0,'LISTA DE PRECIOS'!D1053,"")</f>
        <v/>
      </c>
      <c r="E1039" t="str">
        <f>IF('LISTA DE PRECIOS'!$H1053&gt;0,'LISTA DE PRECIOS'!E1053,"")</f>
        <v/>
      </c>
      <c r="F1039" t="str">
        <f>IF('LISTA DE PRECIOS'!$H1053&gt;0,'LISTA DE PRECIOS'!F1053,"")</f>
        <v/>
      </c>
      <c r="G1039" s="31" t="str">
        <f>IF('LISTA DE PRECIOS'!$H1053&gt;0,'LISTA DE PRECIOS'!G1053,"")</f>
        <v/>
      </c>
      <c r="H1039" s="67" t="str">
        <f>IF('LISTA DE PRECIOS'!$H1053&gt;0,'LISTA DE PRECIOS'!H1053,"")</f>
        <v/>
      </c>
      <c r="I1039" s="31" t="str">
        <f t="shared" si="14"/>
        <v/>
      </c>
    </row>
    <row r="1040" spans="1:9">
      <c r="A1040" t="str">
        <f>IF('LISTA DE PRECIOS'!$H1054&gt;0,'LISTA DE PRECIOS'!A1054,"")</f>
        <v/>
      </c>
      <c r="B1040" t="str">
        <f>IF('LISTA DE PRECIOS'!$H1054&gt;0,'LISTA DE PRECIOS'!B1054,"")</f>
        <v/>
      </c>
      <c r="C1040" t="str">
        <f>IF('LISTA DE PRECIOS'!$H1054&gt;0,'LISTA DE PRECIOS'!C1054,"")</f>
        <v/>
      </c>
      <c r="D1040" s="67" t="str">
        <f>IF('LISTA DE PRECIOS'!$H1054&gt;0,'LISTA DE PRECIOS'!D1054,"")</f>
        <v/>
      </c>
      <c r="E1040" t="str">
        <f>IF('LISTA DE PRECIOS'!$H1054&gt;0,'LISTA DE PRECIOS'!E1054,"")</f>
        <v/>
      </c>
      <c r="F1040" t="str">
        <f>IF('LISTA DE PRECIOS'!$H1054&gt;0,'LISTA DE PRECIOS'!F1054,"")</f>
        <v/>
      </c>
      <c r="G1040" s="31" t="str">
        <f>IF('LISTA DE PRECIOS'!$H1054&gt;0,'LISTA DE PRECIOS'!G1054,"")</f>
        <v/>
      </c>
      <c r="H1040" s="67" t="str">
        <f>IF('LISTA DE PRECIOS'!$H1054&gt;0,'LISTA DE PRECIOS'!H1054,"")</f>
        <v/>
      </c>
      <c r="I1040" s="31" t="str">
        <f t="shared" si="14"/>
        <v/>
      </c>
    </row>
    <row r="1041" spans="1:9">
      <c r="A1041" t="str">
        <f>IF('LISTA DE PRECIOS'!$H1055&gt;0,'LISTA DE PRECIOS'!A1055,"")</f>
        <v/>
      </c>
      <c r="B1041" t="str">
        <f>IF('LISTA DE PRECIOS'!$H1055&gt;0,'LISTA DE PRECIOS'!B1055,"")</f>
        <v/>
      </c>
      <c r="C1041" t="str">
        <f>IF('LISTA DE PRECIOS'!$H1055&gt;0,'LISTA DE PRECIOS'!C1055,"")</f>
        <v/>
      </c>
      <c r="D1041" s="67" t="str">
        <f>IF('LISTA DE PRECIOS'!$H1055&gt;0,'LISTA DE PRECIOS'!D1055,"")</f>
        <v/>
      </c>
      <c r="E1041" t="str">
        <f>IF('LISTA DE PRECIOS'!$H1055&gt;0,'LISTA DE PRECIOS'!E1055,"")</f>
        <v/>
      </c>
      <c r="F1041" t="str">
        <f>IF('LISTA DE PRECIOS'!$H1055&gt;0,'LISTA DE PRECIOS'!F1055,"")</f>
        <v/>
      </c>
      <c r="G1041" s="31" t="str">
        <f>IF('LISTA DE PRECIOS'!$H1055&gt;0,'LISTA DE PRECIOS'!G1055,"")</f>
        <v/>
      </c>
      <c r="H1041" s="67" t="str">
        <f>IF('LISTA DE PRECIOS'!$H1055&gt;0,'LISTA DE PRECIOS'!H1055,"")</f>
        <v/>
      </c>
      <c r="I1041" s="31" t="str">
        <f t="shared" ref="I1041:I1104" si="15">IF(OR(G1041="",H1041=""),"",G1041*H1041)</f>
        <v/>
      </c>
    </row>
    <row r="1042" spans="1:9">
      <c r="A1042" t="str">
        <f>IF('LISTA DE PRECIOS'!$H1056&gt;0,'LISTA DE PRECIOS'!A1056,"")</f>
        <v/>
      </c>
      <c r="B1042" t="str">
        <f>IF('LISTA DE PRECIOS'!$H1056&gt;0,'LISTA DE PRECIOS'!B1056,"")</f>
        <v/>
      </c>
      <c r="C1042" t="str">
        <f>IF('LISTA DE PRECIOS'!$H1056&gt;0,'LISTA DE PRECIOS'!C1056,"")</f>
        <v/>
      </c>
      <c r="D1042" s="67" t="str">
        <f>IF('LISTA DE PRECIOS'!$H1056&gt;0,'LISTA DE PRECIOS'!D1056,"")</f>
        <v/>
      </c>
      <c r="E1042" t="str">
        <f>IF('LISTA DE PRECIOS'!$H1056&gt;0,'LISTA DE PRECIOS'!E1056,"")</f>
        <v/>
      </c>
      <c r="F1042" t="str">
        <f>IF('LISTA DE PRECIOS'!$H1056&gt;0,'LISTA DE PRECIOS'!F1056,"")</f>
        <v/>
      </c>
      <c r="G1042" s="31" t="str">
        <f>IF('LISTA DE PRECIOS'!$H1056&gt;0,'LISTA DE PRECIOS'!G1056,"")</f>
        <v/>
      </c>
      <c r="H1042" s="67" t="str">
        <f>IF('LISTA DE PRECIOS'!$H1056&gt;0,'LISTA DE PRECIOS'!H1056,"")</f>
        <v/>
      </c>
      <c r="I1042" s="31" t="str">
        <f t="shared" si="15"/>
        <v/>
      </c>
    </row>
    <row r="1043" spans="1:9">
      <c r="A1043" t="str">
        <f>IF('LISTA DE PRECIOS'!$H1057&gt;0,'LISTA DE PRECIOS'!A1057,"")</f>
        <v/>
      </c>
      <c r="B1043" t="str">
        <f>IF('LISTA DE PRECIOS'!$H1057&gt;0,'LISTA DE PRECIOS'!B1057,"")</f>
        <v/>
      </c>
      <c r="C1043" t="str">
        <f>IF('LISTA DE PRECIOS'!$H1057&gt;0,'LISTA DE PRECIOS'!C1057,"")</f>
        <v/>
      </c>
      <c r="D1043" s="67" t="str">
        <f>IF('LISTA DE PRECIOS'!$H1057&gt;0,'LISTA DE PRECIOS'!D1057,"")</f>
        <v/>
      </c>
      <c r="E1043" t="str">
        <f>IF('LISTA DE PRECIOS'!$H1057&gt;0,'LISTA DE PRECIOS'!E1057,"")</f>
        <v/>
      </c>
      <c r="F1043" t="str">
        <f>IF('LISTA DE PRECIOS'!$H1057&gt;0,'LISTA DE PRECIOS'!F1057,"")</f>
        <v/>
      </c>
      <c r="G1043" s="31" t="str">
        <f>IF('LISTA DE PRECIOS'!$H1057&gt;0,'LISTA DE PRECIOS'!G1057,"")</f>
        <v/>
      </c>
      <c r="H1043" s="67" t="str">
        <f>IF('LISTA DE PRECIOS'!$H1057&gt;0,'LISTA DE PRECIOS'!H1057,"")</f>
        <v/>
      </c>
      <c r="I1043" s="31" t="str">
        <f t="shared" si="15"/>
        <v/>
      </c>
    </row>
    <row r="1044" spans="1:9">
      <c r="A1044" t="str">
        <f>IF('LISTA DE PRECIOS'!$H1058&gt;0,'LISTA DE PRECIOS'!A1058,"")</f>
        <v/>
      </c>
      <c r="B1044" t="str">
        <f>IF('LISTA DE PRECIOS'!$H1058&gt;0,'LISTA DE PRECIOS'!B1058,"")</f>
        <v/>
      </c>
      <c r="C1044" t="str">
        <f>IF('LISTA DE PRECIOS'!$H1058&gt;0,'LISTA DE PRECIOS'!C1058,"")</f>
        <v/>
      </c>
      <c r="D1044" s="67" t="str">
        <f>IF('LISTA DE PRECIOS'!$H1058&gt;0,'LISTA DE PRECIOS'!D1058,"")</f>
        <v/>
      </c>
      <c r="E1044" t="str">
        <f>IF('LISTA DE PRECIOS'!$H1058&gt;0,'LISTA DE PRECIOS'!E1058,"")</f>
        <v/>
      </c>
      <c r="F1044" t="str">
        <f>IF('LISTA DE PRECIOS'!$H1058&gt;0,'LISTA DE PRECIOS'!F1058,"")</f>
        <v/>
      </c>
      <c r="G1044" s="31" t="str">
        <f>IF('LISTA DE PRECIOS'!$H1058&gt;0,'LISTA DE PRECIOS'!G1058,"")</f>
        <v/>
      </c>
      <c r="H1044" s="67" t="str">
        <f>IF('LISTA DE PRECIOS'!$H1058&gt;0,'LISTA DE PRECIOS'!H1058,"")</f>
        <v/>
      </c>
      <c r="I1044" s="31" t="str">
        <f t="shared" si="15"/>
        <v/>
      </c>
    </row>
    <row r="1045" spans="1:9">
      <c r="A1045" t="str">
        <f>IF('LISTA DE PRECIOS'!$H1059&gt;0,'LISTA DE PRECIOS'!A1059,"")</f>
        <v/>
      </c>
      <c r="B1045" t="str">
        <f>IF('LISTA DE PRECIOS'!$H1059&gt;0,'LISTA DE PRECIOS'!B1059,"")</f>
        <v/>
      </c>
      <c r="C1045" t="str">
        <f>IF('LISTA DE PRECIOS'!$H1059&gt;0,'LISTA DE PRECIOS'!C1059,"")</f>
        <v/>
      </c>
      <c r="D1045" s="67" t="str">
        <f>IF('LISTA DE PRECIOS'!$H1059&gt;0,'LISTA DE PRECIOS'!D1059,"")</f>
        <v/>
      </c>
      <c r="E1045" t="str">
        <f>IF('LISTA DE PRECIOS'!$H1059&gt;0,'LISTA DE PRECIOS'!E1059,"")</f>
        <v/>
      </c>
      <c r="F1045" t="str">
        <f>IF('LISTA DE PRECIOS'!$H1059&gt;0,'LISTA DE PRECIOS'!F1059,"")</f>
        <v/>
      </c>
      <c r="G1045" s="31" t="str">
        <f>IF('LISTA DE PRECIOS'!$H1059&gt;0,'LISTA DE PRECIOS'!G1059,"")</f>
        <v/>
      </c>
      <c r="H1045" s="67" t="str">
        <f>IF('LISTA DE PRECIOS'!$H1059&gt;0,'LISTA DE PRECIOS'!H1059,"")</f>
        <v/>
      </c>
      <c r="I1045" s="31" t="str">
        <f t="shared" si="15"/>
        <v/>
      </c>
    </row>
    <row r="1046" spans="1:9">
      <c r="A1046" t="str">
        <f>IF('LISTA DE PRECIOS'!$H1060&gt;0,'LISTA DE PRECIOS'!A1060,"")</f>
        <v/>
      </c>
      <c r="B1046" t="str">
        <f>IF('LISTA DE PRECIOS'!$H1060&gt;0,'LISTA DE PRECIOS'!B1060,"")</f>
        <v/>
      </c>
      <c r="C1046" t="str">
        <f>IF('LISTA DE PRECIOS'!$H1060&gt;0,'LISTA DE PRECIOS'!C1060,"")</f>
        <v/>
      </c>
      <c r="D1046" s="67" t="str">
        <f>IF('LISTA DE PRECIOS'!$H1060&gt;0,'LISTA DE PRECIOS'!D1060,"")</f>
        <v/>
      </c>
      <c r="E1046" t="str">
        <f>IF('LISTA DE PRECIOS'!$H1060&gt;0,'LISTA DE PRECIOS'!E1060,"")</f>
        <v/>
      </c>
      <c r="F1046" t="str">
        <f>IF('LISTA DE PRECIOS'!$H1060&gt;0,'LISTA DE PRECIOS'!F1060,"")</f>
        <v/>
      </c>
      <c r="G1046" s="31" t="str">
        <f>IF('LISTA DE PRECIOS'!$H1060&gt;0,'LISTA DE PRECIOS'!G1060,"")</f>
        <v/>
      </c>
      <c r="H1046" s="67" t="str">
        <f>IF('LISTA DE PRECIOS'!$H1060&gt;0,'LISTA DE PRECIOS'!H1060,"")</f>
        <v/>
      </c>
      <c r="I1046" s="31" t="str">
        <f t="shared" si="15"/>
        <v/>
      </c>
    </row>
    <row r="1047" spans="1:9">
      <c r="A1047" t="str">
        <f>IF('LISTA DE PRECIOS'!$H1061&gt;0,'LISTA DE PRECIOS'!A1061,"")</f>
        <v/>
      </c>
      <c r="B1047" t="str">
        <f>IF('LISTA DE PRECIOS'!$H1061&gt;0,'LISTA DE PRECIOS'!B1061,"")</f>
        <v/>
      </c>
      <c r="C1047" t="str">
        <f>IF('LISTA DE PRECIOS'!$H1061&gt;0,'LISTA DE PRECIOS'!C1061,"")</f>
        <v/>
      </c>
      <c r="D1047" s="67" t="str">
        <f>IF('LISTA DE PRECIOS'!$H1061&gt;0,'LISTA DE PRECIOS'!D1061,"")</f>
        <v/>
      </c>
      <c r="E1047" t="str">
        <f>IF('LISTA DE PRECIOS'!$H1061&gt;0,'LISTA DE PRECIOS'!E1061,"")</f>
        <v/>
      </c>
      <c r="F1047" t="str">
        <f>IF('LISTA DE PRECIOS'!$H1061&gt;0,'LISTA DE PRECIOS'!F1061,"")</f>
        <v/>
      </c>
      <c r="G1047" s="31" t="str">
        <f>IF('LISTA DE PRECIOS'!$H1061&gt;0,'LISTA DE PRECIOS'!G1061,"")</f>
        <v/>
      </c>
      <c r="H1047" s="67" t="str">
        <f>IF('LISTA DE PRECIOS'!$H1061&gt;0,'LISTA DE PRECIOS'!H1061,"")</f>
        <v/>
      </c>
      <c r="I1047" s="31" t="str">
        <f t="shared" si="15"/>
        <v/>
      </c>
    </row>
    <row r="1048" spans="1:9">
      <c r="A1048" t="str">
        <f>IF('LISTA DE PRECIOS'!$H1062&gt;0,'LISTA DE PRECIOS'!A1062,"")</f>
        <v/>
      </c>
      <c r="B1048" t="str">
        <f>IF('LISTA DE PRECIOS'!$H1062&gt;0,'LISTA DE PRECIOS'!B1062,"")</f>
        <v/>
      </c>
      <c r="C1048" t="str">
        <f>IF('LISTA DE PRECIOS'!$H1062&gt;0,'LISTA DE PRECIOS'!C1062,"")</f>
        <v/>
      </c>
      <c r="D1048" s="67" t="str">
        <f>IF('LISTA DE PRECIOS'!$H1062&gt;0,'LISTA DE PRECIOS'!D1062,"")</f>
        <v/>
      </c>
      <c r="E1048" t="str">
        <f>IF('LISTA DE PRECIOS'!$H1062&gt;0,'LISTA DE PRECIOS'!E1062,"")</f>
        <v/>
      </c>
      <c r="F1048" t="str">
        <f>IF('LISTA DE PRECIOS'!$H1062&gt;0,'LISTA DE PRECIOS'!F1062,"")</f>
        <v/>
      </c>
      <c r="G1048" s="31" t="str">
        <f>IF('LISTA DE PRECIOS'!$H1062&gt;0,'LISTA DE PRECIOS'!G1062,"")</f>
        <v/>
      </c>
      <c r="H1048" s="67" t="str">
        <f>IF('LISTA DE PRECIOS'!$H1062&gt;0,'LISTA DE PRECIOS'!H1062,"")</f>
        <v/>
      </c>
      <c r="I1048" s="31" t="str">
        <f t="shared" si="15"/>
        <v/>
      </c>
    </row>
    <row r="1049" spans="1:9">
      <c r="A1049" t="str">
        <f>IF('LISTA DE PRECIOS'!$H1063&gt;0,'LISTA DE PRECIOS'!A1063,"")</f>
        <v/>
      </c>
      <c r="B1049" t="str">
        <f>IF('LISTA DE PRECIOS'!$H1063&gt;0,'LISTA DE PRECIOS'!B1063,"")</f>
        <v/>
      </c>
      <c r="C1049" t="str">
        <f>IF('LISTA DE PRECIOS'!$H1063&gt;0,'LISTA DE PRECIOS'!C1063,"")</f>
        <v/>
      </c>
      <c r="D1049" s="67" t="str">
        <f>IF('LISTA DE PRECIOS'!$H1063&gt;0,'LISTA DE PRECIOS'!D1063,"")</f>
        <v/>
      </c>
      <c r="E1049" t="str">
        <f>IF('LISTA DE PRECIOS'!$H1063&gt;0,'LISTA DE PRECIOS'!E1063,"")</f>
        <v/>
      </c>
      <c r="F1049" t="str">
        <f>IF('LISTA DE PRECIOS'!$H1063&gt;0,'LISTA DE PRECIOS'!F1063,"")</f>
        <v/>
      </c>
      <c r="G1049" s="31" t="str">
        <f>IF('LISTA DE PRECIOS'!$H1063&gt;0,'LISTA DE PRECIOS'!G1063,"")</f>
        <v/>
      </c>
      <c r="H1049" s="67" t="str">
        <f>IF('LISTA DE PRECIOS'!$H1063&gt;0,'LISTA DE PRECIOS'!H1063,"")</f>
        <v/>
      </c>
      <c r="I1049" s="31" t="str">
        <f t="shared" si="15"/>
        <v/>
      </c>
    </row>
    <row r="1050" spans="1:9">
      <c r="A1050" t="str">
        <f>IF('LISTA DE PRECIOS'!$H1064&gt;0,'LISTA DE PRECIOS'!A1064,"")</f>
        <v/>
      </c>
      <c r="B1050" t="str">
        <f>IF('LISTA DE PRECIOS'!$H1064&gt;0,'LISTA DE PRECIOS'!B1064,"")</f>
        <v/>
      </c>
      <c r="C1050" t="str">
        <f>IF('LISTA DE PRECIOS'!$H1064&gt;0,'LISTA DE PRECIOS'!C1064,"")</f>
        <v/>
      </c>
      <c r="D1050" s="67" t="str">
        <f>IF('LISTA DE PRECIOS'!$H1064&gt;0,'LISTA DE PRECIOS'!D1064,"")</f>
        <v/>
      </c>
      <c r="E1050" t="str">
        <f>IF('LISTA DE PRECIOS'!$H1064&gt;0,'LISTA DE PRECIOS'!E1064,"")</f>
        <v/>
      </c>
      <c r="F1050" t="str">
        <f>IF('LISTA DE PRECIOS'!$H1064&gt;0,'LISTA DE PRECIOS'!F1064,"")</f>
        <v/>
      </c>
      <c r="G1050" s="31" t="str">
        <f>IF('LISTA DE PRECIOS'!$H1064&gt;0,'LISTA DE PRECIOS'!G1064,"")</f>
        <v/>
      </c>
      <c r="H1050" s="67" t="str">
        <f>IF('LISTA DE PRECIOS'!$H1064&gt;0,'LISTA DE PRECIOS'!H1064,"")</f>
        <v/>
      </c>
      <c r="I1050" s="31" t="str">
        <f t="shared" si="15"/>
        <v/>
      </c>
    </row>
    <row r="1051" spans="1:9">
      <c r="A1051" t="str">
        <f>IF('LISTA DE PRECIOS'!$H1065&gt;0,'LISTA DE PRECIOS'!A1065,"")</f>
        <v/>
      </c>
      <c r="B1051" t="str">
        <f>IF('LISTA DE PRECIOS'!$H1065&gt;0,'LISTA DE PRECIOS'!B1065,"")</f>
        <v/>
      </c>
      <c r="C1051" t="str">
        <f>IF('LISTA DE PRECIOS'!$H1065&gt;0,'LISTA DE PRECIOS'!C1065,"")</f>
        <v/>
      </c>
      <c r="D1051" s="67" t="str">
        <f>IF('LISTA DE PRECIOS'!$H1065&gt;0,'LISTA DE PRECIOS'!D1065,"")</f>
        <v/>
      </c>
      <c r="E1051" t="str">
        <f>IF('LISTA DE PRECIOS'!$H1065&gt;0,'LISTA DE PRECIOS'!E1065,"")</f>
        <v/>
      </c>
      <c r="F1051" t="str">
        <f>IF('LISTA DE PRECIOS'!$H1065&gt;0,'LISTA DE PRECIOS'!F1065,"")</f>
        <v/>
      </c>
      <c r="G1051" s="31" t="str">
        <f>IF('LISTA DE PRECIOS'!$H1065&gt;0,'LISTA DE PRECIOS'!G1065,"")</f>
        <v/>
      </c>
      <c r="H1051" s="67" t="str">
        <f>IF('LISTA DE PRECIOS'!$H1065&gt;0,'LISTA DE PRECIOS'!H1065,"")</f>
        <v/>
      </c>
      <c r="I1051" s="31" t="str">
        <f t="shared" si="15"/>
        <v/>
      </c>
    </row>
    <row r="1052" spans="1:9">
      <c r="A1052" t="str">
        <f>IF('LISTA DE PRECIOS'!$H1066&gt;0,'LISTA DE PRECIOS'!A1066,"")</f>
        <v/>
      </c>
      <c r="B1052" t="str">
        <f>IF('LISTA DE PRECIOS'!$H1066&gt;0,'LISTA DE PRECIOS'!B1066,"")</f>
        <v/>
      </c>
      <c r="C1052" t="str">
        <f>IF('LISTA DE PRECIOS'!$H1066&gt;0,'LISTA DE PRECIOS'!C1066,"")</f>
        <v/>
      </c>
      <c r="D1052" s="67" t="str">
        <f>IF('LISTA DE PRECIOS'!$H1066&gt;0,'LISTA DE PRECIOS'!D1066,"")</f>
        <v/>
      </c>
      <c r="E1052" t="str">
        <f>IF('LISTA DE PRECIOS'!$H1066&gt;0,'LISTA DE PRECIOS'!E1066,"")</f>
        <v/>
      </c>
      <c r="F1052" t="str">
        <f>IF('LISTA DE PRECIOS'!$H1066&gt;0,'LISTA DE PRECIOS'!F1066,"")</f>
        <v/>
      </c>
      <c r="G1052" s="31" t="str">
        <f>IF('LISTA DE PRECIOS'!$H1066&gt;0,'LISTA DE PRECIOS'!G1066,"")</f>
        <v/>
      </c>
      <c r="H1052" s="67" t="str">
        <f>IF('LISTA DE PRECIOS'!$H1066&gt;0,'LISTA DE PRECIOS'!H1066,"")</f>
        <v/>
      </c>
      <c r="I1052" s="31" t="str">
        <f t="shared" si="15"/>
        <v/>
      </c>
    </row>
    <row r="1053" spans="1:9">
      <c r="A1053" t="str">
        <f>IF('LISTA DE PRECIOS'!$H1067&gt;0,'LISTA DE PRECIOS'!A1067,"")</f>
        <v/>
      </c>
      <c r="B1053" t="str">
        <f>IF('LISTA DE PRECIOS'!$H1067&gt;0,'LISTA DE PRECIOS'!B1067,"")</f>
        <v/>
      </c>
      <c r="C1053" t="str">
        <f>IF('LISTA DE PRECIOS'!$H1067&gt;0,'LISTA DE PRECIOS'!C1067,"")</f>
        <v/>
      </c>
      <c r="D1053" s="67" t="str">
        <f>IF('LISTA DE PRECIOS'!$H1067&gt;0,'LISTA DE PRECIOS'!D1067,"")</f>
        <v/>
      </c>
      <c r="E1053" t="str">
        <f>IF('LISTA DE PRECIOS'!$H1067&gt;0,'LISTA DE PRECIOS'!E1067,"")</f>
        <v/>
      </c>
      <c r="F1053" t="str">
        <f>IF('LISTA DE PRECIOS'!$H1067&gt;0,'LISTA DE PRECIOS'!F1067,"")</f>
        <v/>
      </c>
      <c r="G1053" s="31" t="str">
        <f>IF('LISTA DE PRECIOS'!$H1067&gt;0,'LISTA DE PRECIOS'!G1067,"")</f>
        <v/>
      </c>
      <c r="H1053" s="67" t="str">
        <f>IF('LISTA DE PRECIOS'!$H1067&gt;0,'LISTA DE PRECIOS'!H1067,"")</f>
        <v/>
      </c>
      <c r="I1053" s="31" t="str">
        <f t="shared" si="15"/>
        <v/>
      </c>
    </row>
    <row r="1054" spans="1:9">
      <c r="A1054" t="str">
        <f>IF('LISTA DE PRECIOS'!$H1068&gt;0,'LISTA DE PRECIOS'!A1068,"")</f>
        <v/>
      </c>
      <c r="B1054" t="str">
        <f>IF('LISTA DE PRECIOS'!$H1068&gt;0,'LISTA DE PRECIOS'!B1068,"")</f>
        <v/>
      </c>
      <c r="C1054" t="str">
        <f>IF('LISTA DE PRECIOS'!$H1068&gt;0,'LISTA DE PRECIOS'!C1068,"")</f>
        <v/>
      </c>
      <c r="D1054" s="67" t="str">
        <f>IF('LISTA DE PRECIOS'!$H1068&gt;0,'LISTA DE PRECIOS'!D1068,"")</f>
        <v/>
      </c>
      <c r="E1054" t="str">
        <f>IF('LISTA DE PRECIOS'!$H1068&gt;0,'LISTA DE PRECIOS'!E1068,"")</f>
        <v/>
      </c>
      <c r="F1054" t="str">
        <f>IF('LISTA DE PRECIOS'!$H1068&gt;0,'LISTA DE PRECIOS'!F1068,"")</f>
        <v/>
      </c>
      <c r="G1054" s="31" t="str">
        <f>IF('LISTA DE PRECIOS'!$H1068&gt;0,'LISTA DE PRECIOS'!G1068,"")</f>
        <v/>
      </c>
      <c r="H1054" s="67" t="str">
        <f>IF('LISTA DE PRECIOS'!$H1068&gt;0,'LISTA DE PRECIOS'!H1068,"")</f>
        <v/>
      </c>
      <c r="I1054" s="31" t="str">
        <f t="shared" si="15"/>
        <v/>
      </c>
    </row>
    <row r="1055" spans="1:9">
      <c r="A1055" t="str">
        <f>IF('LISTA DE PRECIOS'!$H1069&gt;0,'LISTA DE PRECIOS'!A1069,"")</f>
        <v/>
      </c>
      <c r="B1055" t="str">
        <f>IF('LISTA DE PRECIOS'!$H1069&gt;0,'LISTA DE PRECIOS'!B1069,"")</f>
        <v/>
      </c>
      <c r="C1055" t="str">
        <f>IF('LISTA DE PRECIOS'!$H1069&gt;0,'LISTA DE PRECIOS'!C1069,"")</f>
        <v/>
      </c>
      <c r="D1055" s="67" t="str">
        <f>IF('LISTA DE PRECIOS'!$H1069&gt;0,'LISTA DE PRECIOS'!D1069,"")</f>
        <v/>
      </c>
      <c r="E1055" t="str">
        <f>IF('LISTA DE PRECIOS'!$H1069&gt;0,'LISTA DE PRECIOS'!E1069,"")</f>
        <v/>
      </c>
      <c r="F1055" t="str">
        <f>IF('LISTA DE PRECIOS'!$H1069&gt;0,'LISTA DE PRECIOS'!F1069,"")</f>
        <v/>
      </c>
      <c r="G1055" s="31" t="str">
        <f>IF('LISTA DE PRECIOS'!$H1069&gt;0,'LISTA DE PRECIOS'!G1069,"")</f>
        <v/>
      </c>
      <c r="H1055" s="67" t="str">
        <f>IF('LISTA DE PRECIOS'!$H1069&gt;0,'LISTA DE PRECIOS'!H1069,"")</f>
        <v/>
      </c>
      <c r="I1055" s="31" t="str">
        <f t="shared" si="15"/>
        <v/>
      </c>
    </row>
    <row r="1056" spans="1:9">
      <c r="A1056" t="str">
        <f>IF('LISTA DE PRECIOS'!$H1070&gt;0,'LISTA DE PRECIOS'!A1070,"")</f>
        <v/>
      </c>
      <c r="B1056" t="str">
        <f>IF('LISTA DE PRECIOS'!$H1070&gt;0,'LISTA DE PRECIOS'!B1070,"")</f>
        <v/>
      </c>
      <c r="C1056" t="str">
        <f>IF('LISTA DE PRECIOS'!$H1070&gt;0,'LISTA DE PRECIOS'!C1070,"")</f>
        <v/>
      </c>
      <c r="D1056" s="67" t="str">
        <f>IF('LISTA DE PRECIOS'!$H1070&gt;0,'LISTA DE PRECIOS'!D1070,"")</f>
        <v/>
      </c>
      <c r="E1056" t="str">
        <f>IF('LISTA DE PRECIOS'!$H1070&gt;0,'LISTA DE PRECIOS'!E1070,"")</f>
        <v/>
      </c>
      <c r="F1056" t="str">
        <f>IF('LISTA DE PRECIOS'!$H1070&gt;0,'LISTA DE PRECIOS'!F1070,"")</f>
        <v/>
      </c>
      <c r="G1056" s="31" t="str">
        <f>IF('LISTA DE PRECIOS'!$H1070&gt;0,'LISTA DE PRECIOS'!G1070,"")</f>
        <v/>
      </c>
      <c r="H1056" s="67" t="str">
        <f>IF('LISTA DE PRECIOS'!$H1070&gt;0,'LISTA DE PRECIOS'!H1070,"")</f>
        <v/>
      </c>
      <c r="I1056" s="31" t="str">
        <f t="shared" si="15"/>
        <v/>
      </c>
    </row>
    <row r="1057" spans="1:9">
      <c r="A1057" t="str">
        <f>IF('LISTA DE PRECIOS'!$H1071&gt;0,'LISTA DE PRECIOS'!A1071,"")</f>
        <v/>
      </c>
      <c r="B1057" t="str">
        <f>IF('LISTA DE PRECIOS'!$H1071&gt;0,'LISTA DE PRECIOS'!B1071,"")</f>
        <v/>
      </c>
      <c r="C1057" t="str">
        <f>IF('LISTA DE PRECIOS'!$H1071&gt;0,'LISTA DE PRECIOS'!C1071,"")</f>
        <v/>
      </c>
      <c r="D1057" s="67" t="str">
        <f>IF('LISTA DE PRECIOS'!$H1071&gt;0,'LISTA DE PRECIOS'!D1071,"")</f>
        <v/>
      </c>
      <c r="E1057" t="str">
        <f>IF('LISTA DE PRECIOS'!$H1071&gt;0,'LISTA DE PRECIOS'!E1071,"")</f>
        <v/>
      </c>
      <c r="F1057" t="str">
        <f>IF('LISTA DE PRECIOS'!$H1071&gt;0,'LISTA DE PRECIOS'!F1071,"")</f>
        <v/>
      </c>
      <c r="G1057" s="31" t="str">
        <f>IF('LISTA DE PRECIOS'!$H1071&gt;0,'LISTA DE PRECIOS'!G1071,"")</f>
        <v/>
      </c>
      <c r="H1057" s="67" t="str">
        <f>IF('LISTA DE PRECIOS'!$H1071&gt;0,'LISTA DE PRECIOS'!H1071,"")</f>
        <v/>
      </c>
      <c r="I1057" s="31" t="str">
        <f t="shared" si="15"/>
        <v/>
      </c>
    </row>
    <row r="1058" spans="1:9">
      <c r="A1058" t="str">
        <f>IF('LISTA DE PRECIOS'!$H1072&gt;0,'LISTA DE PRECIOS'!A1072,"")</f>
        <v/>
      </c>
      <c r="B1058" t="str">
        <f>IF('LISTA DE PRECIOS'!$H1072&gt;0,'LISTA DE PRECIOS'!B1072,"")</f>
        <v/>
      </c>
      <c r="C1058" t="str">
        <f>IF('LISTA DE PRECIOS'!$H1072&gt;0,'LISTA DE PRECIOS'!C1072,"")</f>
        <v/>
      </c>
      <c r="D1058" s="67" t="str">
        <f>IF('LISTA DE PRECIOS'!$H1072&gt;0,'LISTA DE PRECIOS'!D1072,"")</f>
        <v/>
      </c>
      <c r="E1058" t="str">
        <f>IF('LISTA DE PRECIOS'!$H1072&gt;0,'LISTA DE PRECIOS'!E1072,"")</f>
        <v/>
      </c>
      <c r="F1058" t="str">
        <f>IF('LISTA DE PRECIOS'!$H1072&gt;0,'LISTA DE PRECIOS'!F1072,"")</f>
        <v/>
      </c>
      <c r="G1058" s="31" t="str">
        <f>IF('LISTA DE PRECIOS'!$H1072&gt;0,'LISTA DE PRECIOS'!G1072,"")</f>
        <v/>
      </c>
      <c r="H1058" s="67" t="str">
        <f>IF('LISTA DE PRECIOS'!$H1072&gt;0,'LISTA DE PRECIOS'!H1072,"")</f>
        <v/>
      </c>
      <c r="I1058" s="31" t="str">
        <f t="shared" si="15"/>
        <v/>
      </c>
    </row>
    <row r="1059" spans="1:9">
      <c r="A1059" t="str">
        <f>IF('LISTA DE PRECIOS'!$H1073&gt;0,'LISTA DE PRECIOS'!A1073,"")</f>
        <v/>
      </c>
      <c r="B1059" t="str">
        <f>IF('LISTA DE PRECIOS'!$H1073&gt;0,'LISTA DE PRECIOS'!B1073,"")</f>
        <v/>
      </c>
      <c r="C1059" t="str">
        <f>IF('LISTA DE PRECIOS'!$H1073&gt;0,'LISTA DE PRECIOS'!C1073,"")</f>
        <v/>
      </c>
      <c r="D1059" s="67" t="str">
        <f>IF('LISTA DE PRECIOS'!$H1073&gt;0,'LISTA DE PRECIOS'!D1073,"")</f>
        <v/>
      </c>
      <c r="E1059" t="str">
        <f>IF('LISTA DE PRECIOS'!$H1073&gt;0,'LISTA DE PRECIOS'!E1073,"")</f>
        <v/>
      </c>
      <c r="F1059" t="str">
        <f>IF('LISTA DE PRECIOS'!$H1073&gt;0,'LISTA DE PRECIOS'!F1073,"")</f>
        <v/>
      </c>
      <c r="G1059" s="31" t="str">
        <f>IF('LISTA DE PRECIOS'!$H1073&gt;0,'LISTA DE PRECIOS'!G1073,"")</f>
        <v/>
      </c>
      <c r="H1059" s="67" t="str">
        <f>IF('LISTA DE PRECIOS'!$H1073&gt;0,'LISTA DE PRECIOS'!H1073,"")</f>
        <v/>
      </c>
      <c r="I1059" s="31" t="str">
        <f t="shared" si="15"/>
        <v/>
      </c>
    </row>
    <row r="1060" spans="1:9">
      <c r="A1060" t="str">
        <f>IF('LISTA DE PRECIOS'!$H1074&gt;0,'LISTA DE PRECIOS'!A1074,"")</f>
        <v/>
      </c>
      <c r="B1060" t="str">
        <f>IF('LISTA DE PRECIOS'!$H1074&gt;0,'LISTA DE PRECIOS'!B1074,"")</f>
        <v/>
      </c>
      <c r="C1060" t="str">
        <f>IF('LISTA DE PRECIOS'!$H1074&gt;0,'LISTA DE PRECIOS'!C1074,"")</f>
        <v/>
      </c>
      <c r="D1060" s="67" t="str">
        <f>IF('LISTA DE PRECIOS'!$H1074&gt;0,'LISTA DE PRECIOS'!D1074,"")</f>
        <v/>
      </c>
      <c r="E1060" t="str">
        <f>IF('LISTA DE PRECIOS'!$H1074&gt;0,'LISTA DE PRECIOS'!E1074,"")</f>
        <v/>
      </c>
      <c r="F1060" t="str">
        <f>IF('LISTA DE PRECIOS'!$H1074&gt;0,'LISTA DE PRECIOS'!F1074,"")</f>
        <v/>
      </c>
      <c r="G1060" s="31" t="str">
        <f>IF('LISTA DE PRECIOS'!$H1074&gt;0,'LISTA DE PRECIOS'!G1074,"")</f>
        <v/>
      </c>
      <c r="H1060" s="67" t="str">
        <f>IF('LISTA DE PRECIOS'!$H1074&gt;0,'LISTA DE PRECIOS'!H1074,"")</f>
        <v/>
      </c>
      <c r="I1060" s="31" t="str">
        <f t="shared" si="15"/>
        <v/>
      </c>
    </row>
    <row r="1061" spans="1:9">
      <c r="A1061" t="str">
        <f>IF('LISTA DE PRECIOS'!$H1075&gt;0,'LISTA DE PRECIOS'!A1075,"")</f>
        <v/>
      </c>
      <c r="B1061" t="str">
        <f>IF('LISTA DE PRECIOS'!$H1075&gt;0,'LISTA DE PRECIOS'!B1075,"")</f>
        <v/>
      </c>
      <c r="C1061" t="str">
        <f>IF('LISTA DE PRECIOS'!$H1075&gt;0,'LISTA DE PRECIOS'!C1075,"")</f>
        <v/>
      </c>
      <c r="D1061" s="67" t="str">
        <f>IF('LISTA DE PRECIOS'!$H1075&gt;0,'LISTA DE PRECIOS'!D1075,"")</f>
        <v/>
      </c>
      <c r="E1061" t="str">
        <f>IF('LISTA DE PRECIOS'!$H1075&gt;0,'LISTA DE PRECIOS'!E1075,"")</f>
        <v/>
      </c>
      <c r="F1061" t="str">
        <f>IF('LISTA DE PRECIOS'!$H1075&gt;0,'LISTA DE PRECIOS'!F1075,"")</f>
        <v/>
      </c>
      <c r="G1061" s="31" t="str">
        <f>IF('LISTA DE PRECIOS'!$H1075&gt;0,'LISTA DE PRECIOS'!G1075,"")</f>
        <v/>
      </c>
      <c r="H1061" s="67" t="str">
        <f>IF('LISTA DE PRECIOS'!$H1075&gt;0,'LISTA DE PRECIOS'!H1075,"")</f>
        <v/>
      </c>
      <c r="I1061" s="31" t="str">
        <f t="shared" si="15"/>
        <v/>
      </c>
    </row>
    <row r="1062" spans="1:9">
      <c r="A1062" t="str">
        <f>IF('LISTA DE PRECIOS'!$H1076&gt;0,'LISTA DE PRECIOS'!A1076,"")</f>
        <v/>
      </c>
      <c r="B1062" t="str">
        <f>IF('LISTA DE PRECIOS'!$H1076&gt;0,'LISTA DE PRECIOS'!B1076,"")</f>
        <v/>
      </c>
      <c r="C1062" t="str">
        <f>IF('LISTA DE PRECIOS'!$H1076&gt;0,'LISTA DE PRECIOS'!C1076,"")</f>
        <v/>
      </c>
      <c r="D1062" s="67" t="str">
        <f>IF('LISTA DE PRECIOS'!$H1076&gt;0,'LISTA DE PRECIOS'!D1076,"")</f>
        <v/>
      </c>
      <c r="E1062" t="str">
        <f>IF('LISTA DE PRECIOS'!$H1076&gt;0,'LISTA DE PRECIOS'!E1076,"")</f>
        <v/>
      </c>
      <c r="F1062" t="str">
        <f>IF('LISTA DE PRECIOS'!$H1076&gt;0,'LISTA DE PRECIOS'!F1076,"")</f>
        <v/>
      </c>
      <c r="G1062" s="31" t="str">
        <f>IF('LISTA DE PRECIOS'!$H1076&gt;0,'LISTA DE PRECIOS'!G1076,"")</f>
        <v/>
      </c>
      <c r="H1062" s="67" t="str">
        <f>IF('LISTA DE PRECIOS'!$H1076&gt;0,'LISTA DE PRECIOS'!H1076,"")</f>
        <v/>
      </c>
      <c r="I1062" s="31" t="str">
        <f t="shared" si="15"/>
        <v/>
      </c>
    </row>
    <row r="1063" spans="1:9">
      <c r="A1063" t="str">
        <f>IF('LISTA DE PRECIOS'!$H1077&gt;0,'LISTA DE PRECIOS'!A1077,"")</f>
        <v/>
      </c>
      <c r="B1063" t="str">
        <f>IF('LISTA DE PRECIOS'!$H1077&gt;0,'LISTA DE PRECIOS'!B1077,"")</f>
        <v/>
      </c>
      <c r="C1063" t="str">
        <f>IF('LISTA DE PRECIOS'!$H1077&gt;0,'LISTA DE PRECIOS'!C1077,"")</f>
        <v/>
      </c>
      <c r="D1063" s="67" t="str">
        <f>IF('LISTA DE PRECIOS'!$H1077&gt;0,'LISTA DE PRECIOS'!D1077,"")</f>
        <v/>
      </c>
      <c r="E1063" t="str">
        <f>IF('LISTA DE PRECIOS'!$H1077&gt;0,'LISTA DE PRECIOS'!E1077,"")</f>
        <v/>
      </c>
      <c r="F1063" t="str">
        <f>IF('LISTA DE PRECIOS'!$H1077&gt;0,'LISTA DE PRECIOS'!F1077,"")</f>
        <v/>
      </c>
      <c r="G1063" s="31" t="str">
        <f>IF('LISTA DE PRECIOS'!$H1077&gt;0,'LISTA DE PRECIOS'!G1077,"")</f>
        <v/>
      </c>
      <c r="H1063" s="67" t="str">
        <f>IF('LISTA DE PRECIOS'!$H1077&gt;0,'LISTA DE PRECIOS'!H1077,"")</f>
        <v/>
      </c>
      <c r="I1063" s="31" t="str">
        <f t="shared" si="15"/>
        <v/>
      </c>
    </row>
    <row r="1064" spans="1:9">
      <c r="A1064" t="str">
        <f>IF('LISTA DE PRECIOS'!$H1078&gt;0,'LISTA DE PRECIOS'!A1078,"")</f>
        <v/>
      </c>
      <c r="B1064" t="str">
        <f>IF('LISTA DE PRECIOS'!$H1078&gt;0,'LISTA DE PRECIOS'!B1078,"")</f>
        <v/>
      </c>
      <c r="C1064" t="str">
        <f>IF('LISTA DE PRECIOS'!$H1078&gt;0,'LISTA DE PRECIOS'!C1078,"")</f>
        <v/>
      </c>
      <c r="D1064" s="67" t="str">
        <f>IF('LISTA DE PRECIOS'!$H1078&gt;0,'LISTA DE PRECIOS'!D1078,"")</f>
        <v/>
      </c>
      <c r="E1064" t="str">
        <f>IF('LISTA DE PRECIOS'!$H1078&gt;0,'LISTA DE PRECIOS'!E1078,"")</f>
        <v/>
      </c>
      <c r="F1064" t="str">
        <f>IF('LISTA DE PRECIOS'!$H1078&gt;0,'LISTA DE PRECIOS'!F1078,"")</f>
        <v/>
      </c>
      <c r="G1064" s="31" t="str">
        <f>IF('LISTA DE PRECIOS'!$H1078&gt;0,'LISTA DE PRECIOS'!G1078,"")</f>
        <v/>
      </c>
      <c r="H1064" s="67" t="str">
        <f>IF('LISTA DE PRECIOS'!$H1078&gt;0,'LISTA DE PRECIOS'!H1078,"")</f>
        <v/>
      </c>
      <c r="I1064" s="31" t="str">
        <f t="shared" si="15"/>
        <v/>
      </c>
    </row>
    <row r="1065" spans="1:9">
      <c r="A1065" t="str">
        <f>IF('LISTA DE PRECIOS'!$H1079&gt;0,'LISTA DE PRECIOS'!A1079,"")</f>
        <v/>
      </c>
      <c r="B1065" t="str">
        <f>IF('LISTA DE PRECIOS'!$H1079&gt;0,'LISTA DE PRECIOS'!B1079,"")</f>
        <v/>
      </c>
      <c r="C1065" t="str">
        <f>IF('LISTA DE PRECIOS'!$H1079&gt;0,'LISTA DE PRECIOS'!C1079,"")</f>
        <v/>
      </c>
      <c r="D1065" s="67" t="str">
        <f>IF('LISTA DE PRECIOS'!$H1079&gt;0,'LISTA DE PRECIOS'!D1079,"")</f>
        <v/>
      </c>
      <c r="E1065" t="str">
        <f>IF('LISTA DE PRECIOS'!$H1079&gt;0,'LISTA DE PRECIOS'!E1079,"")</f>
        <v/>
      </c>
      <c r="F1065" t="str">
        <f>IF('LISTA DE PRECIOS'!$H1079&gt;0,'LISTA DE PRECIOS'!F1079,"")</f>
        <v/>
      </c>
      <c r="G1065" s="31" t="str">
        <f>IF('LISTA DE PRECIOS'!$H1079&gt;0,'LISTA DE PRECIOS'!G1079,"")</f>
        <v/>
      </c>
      <c r="H1065" s="67" t="str">
        <f>IF('LISTA DE PRECIOS'!$H1079&gt;0,'LISTA DE PRECIOS'!H1079,"")</f>
        <v/>
      </c>
      <c r="I1065" s="31" t="str">
        <f t="shared" si="15"/>
        <v/>
      </c>
    </row>
    <row r="1066" spans="1:9">
      <c r="A1066" t="str">
        <f>IF('LISTA DE PRECIOS'!$H1080&gt;0,'LISTA DE PRECIOS'!A1080,"")</f>
        <v/>
      </c>
      <c r="B1066" t="str">
        <f>IF('LISTA DE PRECIOS'!$H1080&gt;0,'LISTA DE PRECIOS'!B1080,"")</f>
        <v/>
      </c>
      <c r="C1066" t="str">
        <f>IF('LISTA DE PRECIOS'!$H1080&gt;0,'LISTA DE PRECIOS'!C1080,"")</f>
        <v/>
      </c>
      <c r="D1066" s="67" t="str">
        <f>IF('LISTA DE PRECIOS'!$H1080&gt;0,'LISTA DE PRECIOS'!D1080,"")</f>
        <v/>
      </c>
      <c r="E1066" t="str">
        <f>IF('LISTA DE PRECIOS'!$H1080&gt;0,'LISTA DE PRECIOS'!E1080,"")</f>
        <v/>
      </c>
      <c r="F1066" t="str">
        <f>IF('LISTA DE PRECIOS'!$H1080&gt;0,'LISTA DE PRECIOS'!F1080,"")</f>
        <v/>
      </c>
      <c r="G1066" s="31" t="str">
        <f>IF('LISTA DE PRECIOS'!$H1080&gt;0,'LISTA DE PRECIOS'!G1080,"")</f>
        <v/>
      </c>
      <c r="H1066" s="67" t="str">
        <f>IF('LISTA DE PRECIOS'!$H1080&gt;0,'LISTA DE PRECIOS'!H1080,"")</f>
        <v/>
      </c>
      <c r="I1066" s="31" t="str">
        <f t="shared" si="15"/>
        <v/>
      </c>
    </row>
    <row r="1067" spans="1:9">
      <c r="A1067" t="str">
        <f>IF('LISTA DE PRECIOS'!$H1081&gt;0,'LISTA DE PRECIOS'!A1081,"")</f>
        <v/>
      </c>
      <c r="B1067" t="str">
        <f>IF('LISTA DE PRECIOS'!$H1081&gt;0,'LISTA DE PRECIOS'!B1081,"")</f>
        <v/>
      </c>
      <c r="C1067" t="str">
        <f>IF('LISTA DE PRECIOS'!$H1081&gt;0,'LISTA DE PRECIOS'!C1081,"")</f>
        <v/>
      </c>
      <c r="D1067" s="67" t="str">
        <f>IF('LISTA DE PRECIOS'!$H1081&gt;0,'LISTA DE PRECIOS'!D1081,"")</f>
        <v/>
      </c>
      <c r="E1067" t="str">
        <f>IF('LISTA DE PRECIOS'!$H1081&gt;0,'LISTA DE PRECIOS'!E1081,"")</f>
        <v/>
      </c>
      <c r="F1067" t="str">
        <f>IF('LISTA DE PRECIOS'!$H1081&gt;0,'LISTA DE PRECIOS'!F1081,"")</f>
        <v/>
      </c>
      <c r="G1067" s="31" t="str">
        <f>IF('LISTA DE PRECIOS'!$H1081&gt;0,'LISTA DE PRECIOS'!G1081,"")</f>
        <v/>
      </c>
      <c r="H1067" s="67" t="str">
        <f>IF('LISTA DE PRECIOS'!$H1081&gt;0,'LISTA DE PRECIOS'!H1081,"")</f>
        <v/>
      </c>
      <c r="I1067" s="31" t="str">
        <f t="shared" si="15"/>
        <v/>
      </c>
    </row>
    <row r="1068" spans="1:9">
      <c r="A1068" t="str">
        <f>IF('LISTA DE PRECIOS'!$H1082&gt;0,'LISTA DE PRECIOS'!A1082,"")</f>
        <v/>
      </c>
      <c r="B1068" t="str">
        <f>IF('LISTA DE PRECIOS'!$H1082&gt;0,'LISTA DE PRECIOS'!B1082,"")</f>
        <v/>
      </c>
      <c r="C1068" t="str">
        <f>IF('LISTA DE PRECIOS'!$H1082&gt;0,'LISTA DE PRECIOS'!C1082,"")</f>
        <v/>
      </c>
      <c r="D1068" s="67" t="str">
        <f>IF('LISTA DE PRECIOS'!$H1082&gt;0,'LISTA DE PRECIOS'!D1082,"")</f>
        <v/>
      </c>
      <c r="E1068" t="str">
        <f>IF('LISTA DE PRECIOS'!$H1082&gt;0,'LISTA DE PRECIOS'!E1082,"")</f>
        <v/>
      </c>
      <c r="F1068" t="str">
        <f>IF('LISTA DE PRECIOS'!$H1082&gt;0,'LISTA DE PRECIOS'!F1082,"")</f>
        <v/>
      </c>
      <c r="G1068" s="31" t="str">
        <f>IF('LISTA DE PRECIOS'!$H1082&gt;0,'LISTA DE PRECIOS'!G1082,"")</f>
        <v/>
      </c>
      <c r="H1068" s="67" t="str">
        <f>IF('LISTA DE PRECIOS'!$H1082&gt;0,'LISTA DE PRECIOS'!H1082,"")</f>
        <v/>
      </c>
      <c r="I1068" s="31" t="str">
        <f t="shared" si="15"/>
        <v/>
      </c>
    </row>
    <row r="1069" spans="1:9">
      <c r="A1069" t="str">
        <f>IF('LISTA DE PRECIOS'!$H1083&gt;0,'LISTA DE PRECIOS'!A1083,"")</f>
        <v/>
      </c>
      <c r="B1069" t="str">
        <f>IF('LISTA DE PRECIOS'!$H1083&gt;0,'LISTA DE PRECIOS'!B1083,"")</f>
        <v/>
      </c>
      <c r="C1069" t="str">
        <f>IF('LISTA DE PRECIOS'!$H1083&gt;0,'LISTA DE PRECIOS'!C1083,"")</f>
        <v/>
      </c>
      <c r="D1069" s="67" t="str">
        <f>IF('LISTA DE PRECIOS'!$H1083&gt;0,'LISTA DE PRECIOS'!D1083,"")</f>
        <v/>
      </c>
      <c r="E1069" t="str">
        <f>IF('LISTA DE PRECIOS'!$H1083&gt;0,'LISTA DE PRECIOS'!E1083,"")</f>
        <v/>
      </c>
      <c r="F1069" t="str">
        <f>IF('LISTA DE PRECIOS'!$H1083&gt;0,'LISTA DE PRECIOS'!F1083,"")</f>
        <v/>
      </c>
      <c r="G1069" s="31" t="str">
        <f>IF('LISTA DE PRECIOS'!$H1083&gt;0,'LISTA DE PRECIOS'!G1083,"")</f>
        <v/>
      </c>
      <c r="H1069" s="67" t="str">
        <f>IF('LISTA DE PRECIOS'!$H1083&gt;0,'LISTA DE PRECIOS'!H1083,"")</f>
        <v/>
      </c>
      <c r="I1069" s="31" t="str">
        <f t="shared" si="15"/>
        <v/>
      </c>
    </row>
    <row r="1070" spans="1:9">
      <c r="A1070" t="str">
        <f>IF('LISTA DE PRECIOS'!$H1084&gt;0,'LISTA DE PRECIOS'!A1084,"")</f>
        <v/>
      </c>
      <c r="B1070" t="str">
        <f>IF('LISTA DE PRECIOS'!$H1084&gt;0,'LISTA DE PRECIOS'!B1084,"")</f>
        <v/>
      </c>
      <c r="C1070" t="str">
        <f>IF('LISTA DE PRECIOS'!$H1084&gt;0,'LISTA DE PRECIOS'!C1084,"")</f>
        <v/>
      </c>
      <c r="D1070" s="67" t="str">
        <f>IF('LISTA DE PRECIOS'!$H1084&gt;0,'LISTA DE PRECIOS'!D1084,"")</f>
        <v/>
      </c>
      <c r="E1070" t="str">
        <f>IF('LISTA DE PRECIOS'!$H1084&gt;0,'LISTA DE PRECIOS'!E1084,"")</f>
        <v/>
      </c>
      <c r="F1070" t="str">
        <f>IF('LISTA DE PRECIOS'!$H1084&gt;0,'LISTA DE PRECIOS'!F1084,"")</f>
        <v/>
      </c>
      <c r="G1070" s="31" t="str">
        <f>IF('LISTA DE PRECIOS'!$H1084&gt;0,'LISTA DE PRECIOS'!G1084,"")</f>
        <v/>
      </c>
      <c r="H1070" s="67" t="str">
        <f>IF('LISTA DE PRECIOS'!$H1084&gt;0,'LISTA DE PRECIOS'!H1084,"")</f>
        <v/>
      </c>
      <c r="I1070" s="31" t="str">
        <f t="shared" si="15"/>
        <v/>
      </c>
    </row>
    <row r="1071" spans="1:9">
      <c r="A1071" t="str">
        <f>IF('LISTA DE PRECIOS'!$H1085&gt;0,'LISTA DE PRECIOS'!A1085,"")</f>
        <v/>
      </c>
      <c r="B1071" t="str">
        <f>IF('LISTA DE PRECIOS'!$H1085&gt;0,'LISTA DE PRECIOS'!B1085,"")</f>
        <v/>
      </c>
      <c r="C1071" t="str">
        <f>IF('LISTA DE PRECIOS'!$H1085&gt;0,'LISTA DE PRECIOS'!C1085,"")</f>
        <v/>
      </c>
      <c r="D1071" s="67" t="str">
        <f>IF('LISTA DE PRECIOS'!$H1085&gt;0,'LISTA DE PRECIOS'!D1085,"")</f>
        <v/>
      </c>
      <c r="E1071" t="str">
        <f>IF('LISTA DE PRECIOS'!$H1085&gt;0,'LISTA DE PRECIOS'!E1085,"")</f>
        <v/>
      </c>
      <c r="F1071" t="str">
        <f>IF('LISTA DE PRECIOS'!$H1085&gt;0,'LISTA DE PRECIOS'!F1085,"")</f>
        <v/>
      </c>
      <c r="G1071" s="31" t="str">
        <f>IF('LISTA DE PRECIOS'!$H1085&gt;0,'LISTA DE PRECIOS'!G1085,"")</f>
        <v/>
      </c>
      <c r="H1071" s="67" t="str">
        <f>IF('LISTA DE PRECIOS'!$H1085&gt;0,'LISTA DE PRECIOS'!H1085,"")</f>
        <v/>
      </c>
      <c r="I1071" s="31" t="str">
        <f t="shared" si="15"/>
        <v/>
      </c>
    </row>
    <row r="1072" spans="1:9">
      <c r="A1072" t="str">
        <f>IF('LISTA DE PRECIOS'!$H1086&gt;0,'LISTA DE PRECIOS'!A1086,"")</f>
        <v/>
      </c>
      <c r="B1072" t="str">
        <f>IF('LISTA DE PRECIOS'!$H1086&gt;0,'LISTA DE PRECIOS'!B1086,"")</f>
        <v/>
      </c>
      <c r="C1072" t="str">
        <f>IF('LISTA DE PRECIOS'!$H1086&gt;0,'LISTA DE PRECIOS'!C1086,"")</f>
        <v/>
      </c>
      <c r="D1072" s="67" t="str">
        <f>IF('LISTA DE PRECIOS'!$H1086&gt;0,'LISTA DE PRECIOS'!D1086,"")</f>
        <v/>
      </c>
      <c r="E1072" t="str">
        <f>IF('LISTA DE PRECIOS'!$H1086&gt;0,'LISTA DE PRECIOS'!E1086,"")</f>
        <v/>
      </c>
      <c r="F1072" t="str">
        <f>IF('LISTA DE PRECIOS'!$H1086&gt;0,'LISTA DE PRECIOS'!F1086,"")</f>
        <v/>
      </c>
      <c r="G1072" s="31" t="str">
        <f>IF('LISTA DE PRECIOS'!$H1086&gt;0,'LISTA DE PRECIOS'!G1086,"")</f>
        <v/>
      </c>
      <c r="H1072" s="67" t="str">
        <f>IF('LISTA DE PRECIOS'!$H1086&gt;0,'LISTA DE PRECIOS'!H1086,"")</f>
        <v/>
      </c>
      <c r="I1072" s="31" t="str">
        <f t="shared" si="15"/>
        <v/>
      </c>
    </row>
    <row r="1073" spans="1:9">
      <c r="A1073" t="str">
        <f>IF('LISTA DE PRECIOS'!$H1087&gt;0,'LISTA DE PRECIOS'!A1087,"")</f>
        <v/>
      </c>
      <c r="B1073" t="str">
        <f>IF('LISTA DE PRECIOS'!$H1087&gt;0,'LISTA DE PRECIOS'!B1087,"")</f>
        <v/>
      </c>
      <c r="C1073" t="str">
        <f>IF('LISTA DE PRECIOS'!$H1087&gt;0,'LISTA DE PRECIOS'!C1087,"")</f>
        <v/>
      </c>
      <c r="D1073" s="67" t="str">
        <f>IF('LISTA DE PRECIOS'!$H1087&gt;0,'LISTA DE PRECIOS'!D1087,"")</f>
        <v/>
      </c>
      <c r="E1073" t="str">
        <f>IF('LISTA DE PRECIOS'!$H1087&gt;0,'LISTA DE PRECIOS'!E1087,"")</f>
        <v/>
      </c>
      <c r="F1073" t="str">
        <f>IF('LISTA DE PRECIOS'!$H1087&gt;0,'LISTA DE PRECIOS'!F1087,"")</f>
        <v/>
      </c>
      <c r="G1073" s="31" t="str">
        <f>IF('LISTA DE PRECIOS'!$H1087&gt;0,'LISTA DE PRECIOS'!G1087,"")</f>
        <v/>
      </c>
      <c r="H1073" s="67" t="str">
        <f>IF('LISTA DE PRECIOS'!$H1087&gt;0,'LISTA DE PRECIOS'!H1087,"")</f>
        <v/>
      </c>
      <c r="I1073" s="31" t="str">
        <f t="shared" si="15"/>
        <v/>
      </c>
    </row>
    <row r="1074" spans="1:9">
      <c r="A1074" t="str">
        <f>IF('LISTA DE PRECIOS'!$H1088&gt;0,'LISTA DE PRECIOS'!A1088,"")</f>
        <v/>
      </c>
      <c r="B1074" t="str">
        <f>IF('LISTA DE PRECIOS'!$H1088&gt;0,'LISTA DE PRECIOS'!B1088,"")</f>
        <v/>
      </c>
      <c r="C1074" t="str">
        <f>IF('LISTA DE PRECIOS'!$H1088&gt;0,'LISTA DE PRECIOS'!C1088,"")</f>
        <v/>
      </c>
      <c r="D1074" s="67" t="str">
        <f>IF('LISTA DE PRECIOS'!$H1088&gt;0,'LISTA DE PRECIOS'!D1088,"")</f>
        <v/>
      </c>
      <c r="E1074" t="str">
        <f>IF('LISTA DE PRECIOS'!$H1088&gt;0,'LISTA DE PRECIOS'!E1088,"")</f>
        <v/>
      </c>
      <c r="F1074" t="str">
        <f>IF('LISTA DE PRECIOS'!$H1088&gt;0,'LISTA DE PRECIOS'!F1088,"")</f>
        <v/>
      </c>
      <c r="G1074" s="31" t="str">
        <f>IF('LISTA DE PRECIOS'!$H1088&gt;0,'LISTA DE PRECIOS'!G1088,"")</f>
        <v/>
      </c>
      <c r="H1074" s="67" t="str">
        <f>IF('LISTA DE PRECIOS'!$H1088&gt;0,'LISTA DE PRECIOS'!H1088,"")</f>
        <v/>
      </c>
      <c r="I1074" s="31" t="str">
        <f t="shared" si="15"/>
        <v/>
      </c>
    </row>
    <row r="1075" spans="1:9">
      <c r="A1075" t="str">
        <f>IF('LISTA DE PRECIOS'!$H1089&gt;0,'LISTA DE PRECIOS'!A1089,"")</f>
        <v/>
      </c>
      <c r="B1075" t="str">
        <f>IF('LISTA DE PRECIOS'!$H1089&gt;0,'LISTA DE PRECIOS'!B1089,"")</f>
        <v/>
      </c>
      <c r="C1075" t="str">
        <f>IF('LISTA DE PRECIOS'!$H1089&gt;0,'LISTA DE PRECIOS'!C1089,"")</f>
        <v/>
      </c>
      <c r="D1075" s="67" t="str">
        <f>IF('LISTA DE PRECIOS'!$H1089&gt;0,'LISTA DE PRECIOS'!D1089,"")</f>
        <v/>
      </c>
      <c r="E1075" t="str">
        <f>IF('LISTA DE PRECIOS'!$H1089&gt;0,'LISTA DE PRECIOS'!E1089,"")</f>
        <v/>
      </c>
      <c r="F1075" t="str">
        <f>IF('LISTA DE PRECIOS'!$H1089&gt;0,'LISTA DE PRECIOS'!F1089,"")</f>
        <v/>
      </c>
      <c r="G1075" s="31" t="str">
        <f>IF('LISTA DE PRECIOS'!$H1089&gt;0,'LISTA DE PRECIOS'!G1089,"")</f>
        <v/>
      </c>
      <c r="H1075" s="67" t="str">
        <f>IF('LISTA DE PRECIOS'!$H1089&gt;0,'LISTA DE PRECIOS'!H1089,"")</f>
        <v/>
      </c>
      <c r="I1075" s="31" t="str">
        <f t="shared" si="15"/>
        <v/>
      </c>
    </row>
    <row r="1076" spans="1:9">
      <c r="A1076" t="str">
        <f>IF('LISTA DE PRECIOS'!$H1090&gt;0,'LISTA DE PRECIOS'!A1090,"")</f>
        <v/>
      </c>
      <c r="B1076" t="str">
        <f>IF('LISTA DE PRECIOS'!$H1090&gt;0,'LISTA DE PRECIOS'!B1090,"")</f>
        <v/>
      </c>
      <c r="C1076" t="str">
        <f>IF('LISTA DE PRECIOS'!$H1090&gt;0,'LISTA DE PRECIOS'!C1090,"")</f>
        <v/>
      </c>
      <c r="D1076" s="67" t="str">
        <f>IF('LISTA DE PRECIOS'!$H1090&gt;0,'LISTA DE PRECIOS'!D1090,"")</f>
        <v/>
      </c>
      <c r="E1076" t="str">
        <f>IF('LISTA DE PRECIOS'!$H1090&gt;0,'LISTA DE PRECIOS'!E1090,"")</f>
        <v/>
      </c>
      <c r="F1076" t="str">
        <f>IF('LISTA DE PRECIOS'!$H1090&gt;0,'LISTA DE PRECIOS'!F1090,"")</f>
        <v/>
      </c>
      <c r="G1076" s="31" t="str">
        <f>IF('LISTA DE PRECIOS'!$H1090&gt;0,'LISTA DE PRECIOS'!G1090,"")</f>
        <v/>
      </c>
      <c r="H1076" s="67" t="str">
        <f>IF('LISTA DE PRECIOS'!$H1090&gt;0,'LISTA DE PRECIOS'!H1090,"")</f>
        <v/>
      </c>
      <c r="I1076" s="31" t="str">
        <f t="shared" si="15"/>
        <v/>
      </c>
    </row>
    <row r="1077" spans="1:9">
      <c r="A1077" t="str">
        <f>IF('LISTA DE PRECIOS'!$H1091&gt;0,'LISTA DE PRECIOS'!A1091,"")</f>
        <v/>
      </c>
      <c r="B1077" t="str">
        <f>IF('LISTA DE PRECIOS'!$H1091&gt;0,'LISTA DE PRECIOS'!B1091,"")</f>
        <v/>
      </c>
      <c r="C1077" t="str">
        <f>IF('LISTA DE PRECIOS'!$H1091&gt;0,'LISTA DE PRECIOS'!C1091,"")</f>
        <v/>
      </c>
      <c r="D1077" s="67" t="str">
        <f>IF('LISTA DE PRECIOS'!$H1091&gt;0,'LISTA DE PRECIOS'!D1091,"")</f>
        <v/>
      </c>
      <c r="E1077" t="str">
        <f>IF('LISTA DE PRECIOS'!$H1091&gt;0,'LISTA DE PRECIOS'!E1091,"")</f>
        <v/>
      </c>
      <c r="F1077" t="str">
        <f>IF('LISTA DE PRECIOS'!$H1091&gt;0,'LISTA DE PRECIOS'!F1091,"")</f>
        <v/>
      </c>
      <c r="G1077" s="31" t="str">
        <f>IF('LISTA DE PRECIOS'!$H1091&gt;0,'LISTA DE PRECIOS'!G1091,"")</f>
        <v/>
      </c>
      <c r="H1077" s="67" t="str">
        <f>IF('LISTA DE PRECIOS'!$H1091&gt;0,'LISTA DE PRECIOS'!H1091,"")</f>
        <v/>
      </c>
      <c r="I1077" s="31" t="str">
        <f t="shared" si="15"/>
        <v/>
      </c>
    </row>
    <row r="1078" spans="1:9">
      <c r="A1078" t="str">
        <f>IF('LISTA DE PRECIOS'!$H1092&gt;0,'LISTA DE PRECIOS'!A1092,"")</f>
        <v/>
      </c>
      <c r="B1078" t="str">
        <f>IF('LISTA DE PRECIOS'!$H1092&gt;0,'LISTA DE PRECIOS'!B1092,"")</f>
        <v/>
      </c>
      <c r="C1078" t="str">
        <f>IF('LISTA DE PRECIOS'!$H1092&gt;0,'LISTA DE PRECIOS'!C1092,"")</f>
        <v/>
      </c>
      <c r="D1078" s="67" t="str">
        <f>IF('LISTA DE PRECIOS'!$H1092&gt;0,'LISTA DE PRECIOS'!D1092,"")</f>
        <v/>
      </c>
      <c r="E1078" t="str">
        <f>IF('LISTA DE PRECIOS'!$H1092&gt;0,'LISTA DE PRECIOS'!E1092,"")</f>
        <v/>
      </c>
      <c r="F1078" t="str">
        <f>IF('LISTA DE PRECIOS'!$H1092&gt;0,'LISTA DE PRECIOS'!F1092,"")</f>
        <v/>
      </c>
      <c r="G1078" s="31" t="str">
        <f>IF('LISTA DE PRECIOS'!$H1092&gt;0,'LISTA DE PRECIOS'!G1092,"")</f>
        <v/>
      </c>
      <c r="H1078" s="67" t="str">
        <f>IF('LISTA DE PRECIOS'!$H1092&gt;0,'LISTA DE PRECIOS'!H1092,"")</f>
        <v/>
      </c>
      <c r="I1078" s="31" t="str">
        <f t="shared" si="15"/>
        <v/>
      </c>
    </row>
    <row r="1079" spans="1:9">
      <c r="A1079" t="str">
        <f>IF('LISTA DE PRECIOS'!$H1093&gt;0,'LISTA DE PRECIOS'!A1093,"")</f>
        <v/>
      </c>
      <c r="B1079" t="str">
        <f>IF('LISTA DE PRECIOS'!$H1093&gt;0,'LISTA DE PRECIOS'!B1093,"")</f>
        <v/>
      </c>
      <c r="C1079" t="str">
        <f>IF('LISTA DE PRECIOS'!$H1093&gt;0,'LISTA DE PRECIOS'!C1093,"")</f>
        <v/>
      </c>
      <c r="D1079" s="67" t="str">
        <f>IF('LISTA DE PRECIOS'!$H1093&gt;0,'LISTA DE PRECIOS'!D1093,"")</f>
        <v/>
      </c>
      <c r="E1079" t="str">
        <f>IF('LISTA DE PRECIOS'!$H1093&gt;0,'LISTA DE PRECIOS'!E1093,"")</f>
        <v/>
      </c>
      <c r="F1079" t="str">
        <f>IF('LISTA DE PRECIOS'!$H1093&gt;0,'LISTA DE PRECIOS'!F1093,"")</f>
        <v/>
      </c>
      <c r="G1079" s="31" t="str">
        <f>IF('LISTA DE PRECIOS'!$H1093&gt;0,'LISTA DE PRECIOS'!G1093,"")</f>
        <v/>
      </c>
      <c r="H1079" s="67" t="str">
        <f>IF('LISTA DE PRECIOS'!$H1093&gt;0,'LISTA DE PRECIOS'!H1093,"")</f>
        <v/>
      </c>
      <c r="I1079" s="31" t="str">
        <f t="shared" si="15"/>
        <v/>
      </c>
    </row>
    <row r="1080" spans="1:9">
      <c r="A1080" t="str">
        <f>IF('LISTA DE PRECIOS'!$H1094&gt;0,'LISTA DE PRECIOS'!A1094,"")</f>
        <v/>
      </c>
      <c r="B1080" t="str">
        <f>IF('LISTA DE PRECIOS'!$H1094&gt;0,'LISTA DE PRECIOS'!B1094,"")</f>
        <v/>
      </c>
      <c r="C1080" t="str">
        <f>IF('LISTA DE PRECIOS'!$H1094&gt;0,'LISTA DE PRECIOS'!C1094,"")</f>
        <v/>
      </c>
      <c r="D1080" s="67" t="str">
        <f>IF('LISTA DE PRECIOS'!$H1094&gt;0,'LISTA DE PRECIOS'!D1094,"")</f>
        <v/>
      </c>
      <c r="E1080" t="str">
        <f>IF('LISTA DE PRECIOS'!$H1094&gt;0,'LISTA DE PRECIOS'!E1094,"")</f>
        <v/>
      </c>
      <c r="F1080" t="str">
        <f>IF('LISTA DE PRECIOS'!$H1094&gt;0,'LISTA DE PRECIOS'!F1094,"")</f>
        <v/>
      </c>
      <c r="G1080" s="31" t="str">
        <f>IF('LISTA DE PRECIOS'!$H1094&gt;0,'LISTA DE PRECIOS'!G1094,"")</f>
        <v/>
      </c>
      <c r="H1080" s="67" t="str">
        <f>IF('LISTA DE PRECIOS'!$H1094&gt;0,'LISTA DE PRECIOS'!H1094,"")</f>
        <v/>
      </c>
      <c r="I1080" s="31" t="str">
        <f t="shared" si="15"/>
        <v/>
      </c>
    </row>
    <row r="1081" spans="1:9">
      <c r="A1081" t="str">
        <f>IF('LISTA DE PRECIOS'!$H1095&gt;0,'LISTA DE PRECIOS'!A1095,"")</f>
        <v/>
      </c>
      <c r="B1081" t="str">
        <f>IF('LISTA DE PRECIOS'!$H1095&gt;0,'LISTA DE PRECIOS'!B1095,"")</f>
        <v/>
      </c>
      <c r="C1081" t="str">
        <f>IF('LISTA DE PRECIOS'!$H1095&gt;0,'LISTA DE PRECIOS'!C1095,"")</f>
        <v/>
      </c>
      <c r="D1081" s="67" t="str">
        <f>IF('LISTA DE PRECIOS'!$H1095&gt;0,'LISTA DE PRECIOS'!D1095,"")</f>
        <v/>
      </c>
      <c r="E1081" t="str">
        <f>IF('LISTA DE PRECIOS'!$H1095&gt;0,'LISTA DE PRECIOS'!E1095,"")</f>
        <v/>
      </c>
      <c r="F1081" t="str">
        <f>IF('LISTA DE PRECIOS'!$H1095&gt;0,'LISTA DE PRECIOS'!F1095,"")</f>
        <v/>
      </c>
      <c r="G1081" s="31" t="str">
        <f>IF('LISTA DE PRECIOS'!$H1095&gt;0,'LISTA DE PRECIOS'!G1095,"")</f>
        <v/>
      </c>
      <c r="H1081" s="67" t="str">
        <f>IF('LISTA DE PRECIOS'!$H1095&gt;0,'LISTA DE PRECIOS'!H1095,"")</f>
        <v/>
      </c>
      <c r="I1081" s="31" t="str">
        <f t="shared" si="15"/>
        <v/>
      </c>
    </row>
    <row r="1082" spans="1:9">
      <c r="A1082" t="str">
        <f>IF('LISTA DE PRECIOS'!$H1096&gt;0,'LISTA DE PRECIOS'!A1096,"")</f>
        <v/>
      </c>
      <c r="B1082" t="str">
        <f>IF('LISTA DE PRECIOS'!$H1096&gt;0,'LISTA DE PRECIOS'!B1096,"")</f>
        <v/>
      </c>
      <c r="C1082" t="str">
        <f>IF('LISTA DE PRECIOS'!$H1096&gt;0,'LISTA DE PRECIOS'!C1096,"")</f>
        <v/>
      </c>
      <c r="D1082" s="67" t="str">
        <f>IF('LISTA DE PRECIOS'!$H1096&gt;0,'LISTA DE PRECIOS'!D1096,"")</f>
        <v/>
      </c>
      <c r="E1082" t="str">
        <f>IF('LISTA DE PRECIOS'!$H1096&gt;0,'LISTA DE PRECIOS'!E1096,"")</f>
        <v/>
      </c>
      <c r="F1082" t="str">
        <f>IF('LISTA DE PRECIOS'!$H1096&gt;0,'LISTA DE PRECIOS'!F1096,"")</f>
        <v/>
      </c>
      <c r="G1082" s="31" t="str">
        <f>IF('LISTA DE PRECIOS'!$H1096&gt;0,'LISTA DE PRECIOS'!G1096,"")</f>
        <v/>
      </c>
      <c r="H1082" s="67" t="str">
        <f>IF('LISTA DE PRECIOS'!$H1096&gt;0,'LISTA DE PRECIOS'!H1096,"")</f>
        <v/>
      </c>
      <c r="I1082" s="31" t="str">
        <f t="shared" si="15"/>
        <v/>
      </c>
    </row>
    <row r="1083" spans="1:9">
      <c r="A1083" t="str">
        <f>IF('LISTA DE PRECIOS'!$H1097&gt;0,'LISTA DE PRECIOS'!A1097,"")</f>
        <v/>
      </c>
      <c r="B1083" t="str">
        <f>IF('LISTA DE PRECIOS'!$H1097&gt;0,'LISTA DE PRECIOS'!B1097,"")</f>
        <v/>
      </c>
      <c r="C1083" t="str">
        <f>IF('LISTA DE PRECIOS'!$H1097&gt;0,'LISTA DE PRECIOS'!C1097,"")</f>
        <v/>
      </c>
      <c r="D1083" s="67" t="str">
        <f>IF('LISTA DE PRECIOS'!$H1097&gt;0,'LISTA DE PRECIOS'!D1097,"")</f>
        <v/>
      </c>
      <c r="E1083" t="str">
        <f>IF('LISTA DE PRECIOS'!$H1097&gt;0,'LISTA DE PRECIOS'!E1097,"")</f>
        <v/>
      </c>
      <c r="F1083" t="str">
        <f>IF('LISTA DE PRECIOS'!$H1097&gt;0,'LISTA DE PRECIOS'!F1097,"")</f>
        <v/>
      </c>
      <c r="G1083" s="31" t="str">
        <f>IF('LISTA DE PRECIOS'!$H1097&gt;0,'LISTA DE PRECIOS'!G1097,"")</f>
        <v/>
      </c>
      <c r="H1083" s="67" t="str">
        <f>IF('LISTA DE PRECIOS'!$H1097&gt;0,'LISTA DE PRECIOS'!H1097,"")</f>
        <v/>
      </c>
      <c r="I1083" s="31" t="str">
        <f t="shared" si="15"/>
        <v/>
      </c>
    </row>
    <row r="1084" spans="1:9">
      <c r="A1084" t="str">
        <f>IF('LISTA DE PRECIOS'!$H1098&gt;0,'LISTA DE PRECIOS'!A1098,"")</f>
        <v/>
      </c>
      <c r="B1084" t="str">
        <f>IF('LISTA DE PRECIOS'!$H1098&gt;0,'LISTA DE PRECIOS'!B1098,"")</f>
        <v/>
      </c>
      <c r="C1084" t="str">
        <f>IF('LISTA DE PRECIOS'!$H1098&gt;0,'LISTA DE PRECIOS'!C1098,"")</f>
        <v/>
      </c>
      <c r="D1084" s="67" t="str">
        <f>IF('LISTA DE PRECIOS'!$H1098&gt;0,'LISTA DE PRECIOS'!D1098,"")</f>
        <v/>
      </c>
      <c r="E1084" t="str">
        <f>IF('LISTA DE PRECIOS'!$H1098&gt;0,'LISTA DE PRECIOS'!E1098,"")</f>
        <v/>
      </c>
      <c r="F1084" t="str">
        <f>IF('LISTA DE PRECIOS'!$H1098&gt;0,'LISTA DE PRECIOS'!F1098,"")</f>
        <v/>
      </c>
      <c r="G1084" s="31" t="str">
        <f>IF('LISTA DE PRECIOS'!$H1098&gt;0,'LISTA DE PRECIOS'!G1098,"")</f>
        <v/>
      </c>
      <c r="H1084" s="67" t="str">
        <f>IF('LISTA DE PRECIOS'!$H1098&gt;0,'LISTA DE PRECIOS'!H1098,"")</f>
        <v/>
      </c>
      <c r="I1084" s="31" t="str">
        <f t="shared" si="15"/>
        <v/>
      </c>
    </row>
    <row r="1085" spans="1:9">
      <c r="A1085" t="str">
        <f>IF('LISTA DE PRECIOS'!$H1099&gt;0,'LISTA DE PRECIOS'!A1099,"")</f>
        <v/>
      </c>
      <c r="B1085" t="str">
        <f>IF('LISTA DE PRECIOS'!$H1099&gt;0,'LISTA DE PRECIOS'!B1099,"")</f>
        <v/>
      </c>
      <c r="C1085" t="str">
        <f>IF('LISTA DE PRECIOS'!$H1099&gt;0,'LISTA DE PRECIOS'!C1099,"")</f>
        <v/>
      </c>
      <c r="D1085" s="67" t="str">
        <f>IF('LISTA DE PRECIOS'!$H1099&gt;0,'LISTA DE PRECIOS'!D1099,"")</f>
        <v/>
      </c>
      <c r="E1085" t="str">
        <f>IF('LISTA DE PRECIOS'!$H1099&gt;0,'LISTA DE PRECIOS'!E1099,"")</f>
        <v/>
      </c>
      <c r="F1085" t="str">
        <f>IF('LISTA DE PRECIOS'!$H1099&gt;0,'LISTA DE PRECIOS'!F1099,"")</f>
        <v/>
      </c>
      <c r="G1085" s="31" t="str">
        <f>IF('LISTA DE PRECIOS'!$H1099&gt;0,'LISTA DE PRECIOS'!G1099,"")</f>
        <v/>
      </c>
      <c r="H1085" s="67" t="str">
        <f>IF('LISTA DE PRECIOS'!$H1099&gt;0,'LISTA DE PRECIOS'!H1099,"")</f>
        <v/>
      </c>
      <c r="I1085" s="31" t="str">
        <f t="shared" si="15"/>
        <v/>
      </c>
    </row>
    <row r="1086" spans="1:9">
      <c r="A1086" t="str">
        <f>IF('LISTA DE PRECIOS'!$H1100&gt;0,'LISTA DE PRECIOS'!A1100,"")</f>
        <v/>
      </c>
      <c r="B1086" t="str">
        <f>IF('LISTA DE PRECIOS'!$H1100&gt;0,'LISTA DE PRECIOS'!B1100,"")</f>
        <v/>
      </c>
      <c r="C1086" t="str">
        <f>IF('LISTA DE PRECIOS'!$H1100&gt;0,'LISTA DE PRECIOS'!C1100,"")</f>
        <v/>
      </c>
      <c r="D1086" s="67" t="str">
        <f>IF('LISTA DE PRECIOS'!$H1100&gt;0,'LISTA DE PRECIOS'!D1100,"")</f>
        <v/>
      </c>
      <c r="E1086" t="str">
        <f>IF('LISTA DE PRECIOS'!$H1100&gt;0,'LISTA DE PRECIOS'!E1100,"")</f>
        <v/>
      </c>
      <c r="F1086" t="str">
        <f>IF('LISTA DE PRECIOS'!$H1100&gt;0,'LISTA DE PRECIOS'!F1100,"")</f>
        <v/>
      </c>
      <c r="G1086" s="31" t="str">
        <f>IF('LISTA DE PRECIOS'!$H1100&gt;0,'LISTA DE PRECIOS'!G1100,"")</f>
        <v/>
      </c>
      <c r="H1086" s="67" t="str">
        <f>IF('LISTA DE PRECIOS'!$H1100&gt;0,'LISTA DE PRECIOS'!H1100,"")</f>
        <v/>
      </c>
      <c r="I1086" s="31" t="str">
        <f t="shared" si="15"/>
        <v/>
      </c>
    </row>
    <row r="1087" spans="1:9">
      <c r="A1087" t="str">
        <f>IF('LISTA DE PRECIOS'!$H1101&gt;0,'LISTA DE PRECIOS'!A1101,"")</f>
        <v/>
      </c>
      <c r="B1087" t="str">
        <f>IF('LISTA DE PRECIOS'!$H1101&gt;0,'LISTA DE PRECIOS'!B1101,"")</f>
        <v/>
      </c>
      <c r="C1087" t="str">
        <f>IF('LISTA DE PRECIOS'!$H1101&gt;0,'LISTA DE PRECIOS'!C1101,"")</f>
        <v/>
      </c>
      <c r="D1087" s="67" t="str">
        <f>IF('LISTA DE PRECIOS'!$H1101&gt;0,'LISTA DE PRECIOS'!D1101,"")</f>
        <v/>
      </c>
      <c r="E1087" t="str">
        <f>IF('LISTA DE PRECIOS'!$H1101&gt;0,'LISTA DE PRECIOS'!E1101,"")</f>
        <v/>
      </c>
      <c r="F1087" t="str">
        <f>IF('LISTA DE PRECIOS'!$H1101&gt;0,'LISTA DE PRECIOS'!F1101,"")</f>
        <v/>
      </c>
      <c r="G1087" s="31" t="str">
        <f>IF('LISTA DE PRECIOS'!$H1101&gt;0,'LISTA DE PRECIOS'!G1101,"")</f>
        <v/>
      </c>
      <c r="H1087" s="67" t="str">
        <f>IF('LISTA DE PRECIOS'!$H1101&gt;0,'LISTA DE PRECIOS'!H1101,"")</f>
        <v/>
      </c>
      <c r="I1087" s="31" t="str">
        <f t="shared" si="15"/>
        <v/>
      </c>
    </row>
    <row r="1088" spans="1:9">
      <c r="A1088" t="str">
        <f>IF('LISTA DE PRECIOS'!$H1102&gt;0,'LISTA DE PRECIOS'!A1102,"")</f>
        <v/>
      </c>
      <c r="B1088" t="str">
        <f>IF('LISTA DE PRECIOS'!$H1102&gt;0,'LISTA DE PRECIOS'!B1102,"")</f>
        <v/>
      </c>
      <c r="C1088" t="str">
        <f>IF('LISTA DE PRECIOS'!$H1102&gt;0,'LISTA DE PRECIOS'!C1102,"")</f>
        <v/>
      </c>
      <c r="D1088" s="67" t="str">
        <f>IF('LISTA DE PRECIOS'!$H1102&gt;0,'LISTA DE PRECIOS'!D1102,"")</f>
        <v/>
      </c>
      <c r="E1088" t="str">
        <f>IF('LISTA DE PRECIOS'!$H1102&gt;0,'LISTA DE PRECIOS'!E1102,"")</f>
        <v/>
      </c>
      <c r="F1088" t="str">
        <f>IF('LISTA DE PRECIOS'!$H1102&gt;0,'LISTA DE PRECIOS'!F1102,"")</f>
        <v/>
      </c>
      <c r="G1088" s="31" t="str">
        <f>IF('LISTA DE PRECIOS'!$H1102&gt;0,'LISTA DE PRECIOS'!G1102,"")</f>
        <v/>
      </c>
      <c r="H1088" s="67" t="str">
        <f>IF('LISTA DE PRECIOS'!$H1102&gt;0,'LISTA DE PRECIOS'!H1102,"")</f>
        <v/>
      </c>
      <c r="I1088" s="31" t="str">
        <f t="shared" si="15"/>
        <v/>
      </c>
    </row>
    <row r="1089" spans="1:9">
      <c r="A1089" t="str">
        <f>IF('LISTA DE PRECIOS'!$H1103&gt;0,'LISTA DE PRECIOS'!A1103,"")</f>
        <v/>
      </c>
      <c r="B1089" t="str">
        <f>IF('LISTA DE PRECIOS'!$H1103&gt;0,'LISTA DE PRECIOS'!B1103,"")</f>
        <v/>
      </c>
      <c r="C1089" t="str">
        <f>IF('LISTA DE PRECIOS'!$H1103&gt;0,'LISTA DE PRECIOS'!C1103,"")</f>
        <v/>
      </c>
      <c r="D1089" s="67" t="str">
        <f>IF('LISTA DE PRECIOS'!$H1103&gt;0,'LISTA DE PRECIOS'!D1103,"")</f>
        <v/>
      </c>
      <c r="E1089" t="str">
        <f>IF('LISTA DE PRECIOS'!$H1103&gt;0,'LISTA DE PRECIOS'!E1103,"")</f>
        <v/>
      </c>
      <c r="F1089" t="str">
        <f>IF('LISTA DE PRECIOS'!$H1103&gt;0,'LISTA DE PRECIOS'!F1103,"")</f>
        <v/>
      </c>
      <c r="G1089" s="31" t="str">
        <f>IF('LISTA DE PRECIOS'!$H1103&gt;0,'LISTA DE PRECIOS'!G1103,"")</f>
        <v/>
      </c>
      <c r="H1089" s="67" t="str">
        <f>IF('LISTA DE PRECIOS'!$H1103&gt;0,'LISTA DE PRECIOS'!H1103,"")</f>
        <v/>
      </c>
      <c r="I1089" s="31" t="str">
        <f t="shared" si="15"/>
        <v/>
      </c>
    </row>
    <row r="1090" spans="1:9">
      <c r="A1090" t="str">
        <f>IF('LISTA DE PRECIOS'!$H1104&gt;0,'LISTA DE PRECIOS'!A1104,"")</f>
        <v/>
      </c>
      <c r="B1090" t="str">
        <f>IF('LISTA DE PRECIOS'!$H1104&gt;0,'LISTA DE PRECIOS'!B1104,"")</f>
        <v/>
      </c>
      <c r="C1090" t="str">
        <f>IF('LISTA DE PRECIOS'!$H1104&gt;0,'LISTA DE PRECIOS'!C1104,"")</f>
        <v/>
      </c>
      <c r="D1090" s="67" t="str">
        <f>IF('LISTA DE PRECIOS'!$H1104&gt;0,'LISTA DE PRECIOS'!D1104,"")</f>
        <v/>
      </c>
      <c r="E1090" t="str">
        <f>IF('LISTA DE PRECIOS'!$H1104&gt;0,'LISTA DE PRECIOS'!E1104,"")</f>
        <v/>
      </c>
      <c r="F1090" t="str">
        <f>IF('LISTA DE PRECIOS'!$H1104&gt;0,'LISTA DE PRECIOS'!F1104,"")</f>
        <v/>
      </c>
      <c r="G1090" s="31" t="str">
        <f>IF('LISTA DE PRECIOS'!$H1104&gt;0,'LISTA DE PRECIOS'!G1104,"")</f>
        <v/>
      </c>
      <c r="H1090" s="67" t="str">
        <f>IF('LISTA DE PRECIOS'!$H1104&gt;0,'LISTA DE PRECIOS'!H1104,"")</f>
        <v/>
      </c>
      <c r="I1090" s="31" t="str">
        <f t="shared" si="15"/>
        <v/>
      </c>
    </row>
    <row r="1091" spans="1:9">
      <c r="A1091" t="str">
        <f>IF('LISTA DE PRECIOS'!$H1105&gt;0,'LISTA DE PRECIOS'!A1105,"")</f>
        <v/>
      </c>
      <c r="B1091" t="str">
        <f>IF('LISTA DE PRECIOS'!$H1105&gt;0,'LISTA DE PRECIOS'!B1105,"")</f>
        <v/>
      </c>
      <c r="C1091" t="str">
        <f>IF('LISTA DE PRECIOS'!$H1105&gt;0,'LISTA DE PRECIOS'!C1105,"")</f>
        <v/>
      </c>
      <c r="D1091" s="67" t="str">
        <f>IF('LISTA DE PRECIOS'!$H1105&gt;0,'LISTA DE PRECIOS'!D1105,"")</f>
        <v/>
      </c>
      <c r="E1091" t="str">
        <f>IF('LISTA DE PRECIOS'!$H1105&gt;0,'LISTA DE PRECIOS'!E1105,"")</f>
        <v/>
      </c>
      <c r="F1091" t="str">
        <f>IF('LISTA DE PRECIOS'!$H1105&gt;0,'LISTA DE PRECIOS'!F1105,"")</f>
        <v/>
      </c>
      <c r="G1091" s="31" t="str">
        <f>IF('LISTA DE PRECIOS'!$H1105&gt;0,'LISTA DE PRECIOS'!G1105,"")</f>
        <v/>
      </c>
      <c r="H1091" s="67" t="str">
        <f>IF('LISTA DE PRECIOS'!$H1105&gt;0,'LISTA DE PRECIOS'!H1105,"")</f>
        <v/>
      </c>
      <c r="I1091" s="31" t="str">
        <f t="shared" si="15"/>
        <v/>
      </c>
    </row>
    <row r="1092" spans="1:9">
      <c r="A1092" t="str">
        <f>IF('LISTA DE PRECIOS'!$H1106&gt;0,'LISTA DE PRECIOS'!A1106,"")</f>
        <v/>
      </c>
      <c r="B1092" t="str">
        <f>IF('LISTA DE PRECIOS'!$H1106&gt;0,'LISTA DE PRECIOS'!B1106,"")</f>
        <v/>
      </c>
      <c r="C1092" t="str">
        <f>IF('LISTA DE PRECIOS'!$H1106&gt;0,'LISTA DE PRECIOS'!C1106,"")</f>
        <v/>
      </c>
      <c r="D1092" s="67" t="str">
        <f>IF('LISTA DE PRECIOS'!$H1106&gt;0,'LISTA DE PRECIOS'!D1106,"")</f>
        <v/>
      </c>
      <c r="E1092" t="str">
        <f>IF('LISTA DE PRECIOS'!$H1106&gt;0,'LISTA DE PRECIOS'!E1106,"")</f>
        <v/>
      </c>
      <c r="F1092" t="str">
        <f>IF('LISTA DE PRECIOS'!$H1106&gt;0,'LISTA DE PRECIOS'!F1106,"")</f>
        <v/>
      </c>
      <c r="G1092" s="31" t="str">
        <f>IF('LISTA DE PRECIOS'!$H1106&gt;0,'LISTA DE PRECIOS'!G1106,"")</f>
        <v/>
      </c>
      <c r="H1092" s="67" t="str">
        <f>IF('LISTA DE PRECIOS'!$H1106&gt;0,'LISTA DE PRECIOS'!H1106,"")</f>
        <v/>
      </c>
      <c r="I1092" s="31" t="str">
        <f t="shared" si="15"/>
        <v/>
      </c>
    </row>
    <row r="1093" spans="1:9">
      <c r="A1093" t="str">
        <f>IF('LISTA DE PRECIOS'!$H1107&gt;0,'LISTA DE PRECIOS'!A1107,"")</f>
        <v/>
      </c>
      <c r="B1093" t="str">
        <f>IF('LISTA DE PRECIOS'!$H1107&gt;0,'LISTA DE PRECIOS'!B1107,"")</f>
        <v/>
      </c>
      <c r="C1093" t="str">
        <f>IF('LISTA DE PRECIOS'!$H1107&gt;0,'LISTA DE PRECIOS'!C1107,"")</f>
        <v/>
      </c>
      <c r="D1093" s="67" t="str">
        <f>IF('LISTA DE PRECIOS'!$H1107&gt;0,'LISTA DE PRECIOS'!D1107,"")</f>
        <v/>
      </c>
      <c r="E1093" t="str">
        <f>IF('LISTA DE PRECIOS'!$H1107&gt;0,'LISTA DE PRECIOS'!E1107,"")</f>
        <v/>
      </c>
      <c r="F1093" t="str">
        <f>IF('LISTA DE PRECIOS'!$H1107&gt;0,'LISTA DE PRECIOS'!F1107,"")</f>
        <v/>
      </c>
      <c r="G1093" s="31" t="str">
        <f>IF('LISTA DE PRECIOS'!$H1107&gt;0,'LISTA DE PRECIOS'!G1107,"")</f>
        <v/>
      </c>
      <c r="H1093" s="67" t="str">
        <f>IF('LISTA DE PRECIOS'!$H1107&gt;0,'LISTA DE PRECIOS'!H1107,"")</f>
        <v/>
      </c>
      <c r="I1093" s="31" t="str">
        <f t="shared" si="15"/>
        <v/>
      </c>
    </row>
    <row r="1094" spans="1:9">
      <c r="A1094" t="str">
        <f>IF('LISTA DE PRECIOS'!$H1108&gt;0,'LISTA DE PRECIOS'!A1108,"")</f>
        <v/>
      </c>
      <c r="B1094" t="str">
        <f>IF('LISTA DE PRECIOS'!$H1108&gt;0,'LISTA DE PRECIOS'!B1108,"")</f>
        <v/>
      </c>
      <c r="C1094" t="str">
        <f>IF('LISTA DE PRECIOS'!$H1108&gt;0,'LISTA DE PRECIOS'!C1108,"")</f>
        <v/>
      </c>
      <c r="D1094" s="67" t="str">
        <f>IF('LISTA DE PRECIOS'!$H1108&gt;0,'LISTA DE PRECIOS'!D1108,"")</f>
        <v/>
      </c>
      <c r="E1094" t="str">
        <f>IF('LISTA DE PRECIOS'!$H1108&gt;0,'LISTA DE PRECIOS'!E1108,"")</f>
        <v/>
      </c>
      <c r="F1094" t="str">
        <f>IF('LISTA DE PRECIOS'!$H1108&gt;0,'LISTA DE PRECIOS'!F1108,"")</f>
        <v/>
      </c>
      <c r="G1094" s="31" t="str">
        <f>IF('LISTA DE PRECIOS'!$H1108&gt;0,'LISTA DE PRECIOS'!G1108,"")</f>
        <v/>
      </c>
      <c r="H1094" s="67" t="str">
        <f>IF('LISTA DE PRECIOS'!$H1108&gt;0,'LISTA DE PRECIOS'!H1108,"")</f>
        <v/>
      </c>
      <c r="I1094" s="31" t="str">
        <f t="shared" si="15"/>
        <v/>
      </c>
    </row>
    <row r="1095" spans="1:9">
      <c r="A1095" t="str">
        <f>IF('LISTA DE PRECIOS'!$H1109&gt;0,'LISTA DE PRECIOS'!A1109,"")</f>
        <v/>
      </c>
      <c r="B1095" t="str">
        <f>IF('LISTA DE PRECIOS'!$H1109&gt;0,'LISTA DE PRECIOS'!B1109,"")</f>
        <v/>
      </c>
      <c r="C1095" t="str">
        <f>IF('LISTA DE PRECIOS'!$H1109&gt;0,'LISTA DE PRECIOS'!C1109,"")</f>
        <v/>
      </c>
      <c r="D1095" s="67" t="str">
        <f>IF('LISTA DE PRECIOS'!$H1109&gt;0,'LISTA DE PRECIOS'!D1109,"")</f>
        <v/>
      </c>
      <c r="E1095" t="str">
        <f>IF('LISTA DE PRECIOS'!$H1109&gt;0,'LISTA DE PRECIOS'!E1109,"")</f>
        <v/>
      </c>
      <c r="F1095" t="str">
        <f>IF('LISTA DE PRECIOS'!$H1109&gt;0,'LISTA DE PRECIOS'!F1109,"")</f>
        <v/>
      </c>
      <c r="G1095" s="31" t="str">
        <f>IF('LISTA DE PRECIOS'!$H1109&gt;0,'LISTA DE PRECIOS'!G1109,"")</f>
        <v/>
      </c>
      <c r="H1095" s="67" t="str">
        <f>IF('LISTA DE PRECIOS'!$H1109&gt;0,'LISTA DE PRECIOS'!H1109,"")</f>
        <v/>
      </c>
      <c r="I1095" s="31" t="str">
        <f t="shared" si="15"/>
        <v/>
      </c>
    </row>
    <row r="1096" spans="1:9">
      <c r="A1096" t="str">
        <f>IF('LISTA DE PRECIOS'!$H1110&gt;0,'LISTA DE PRECIOS'!A1110,"")</f>
        <v/>
      </c>
      <c r="B1096" t="str">
        <f>IF('LISTA DE PRECIOS'!$H1110&gt;0,'LISTA DE PRECIOS'!B1110,"")</f>
        <v/>
      </c>
      <c r="C1096" t="str">
        <f>IF('LISTA DE PRECIOS'!$H1110&gt;0,'LISTA DE PRECIOS'!C1110,"")</f>
        <v/>
      </c>
      <c r="D1096" s="67" t="str">
        <f>IF('LISTA DE PRECIOS'!$H1110&gt;0,'LISTA DE PRECIOS'!D1110,"")</f>
        <v/>
      </c>
      <c r="E1096" t="str">
        <f>IF('LISTA DE PRECIOS'!$H1110&gt;0,'LISTA DE PRECIOS'!E1110,"")</f>
        <v/>
      </c>
      <c r="F1096" t="str">
        <f>IF('LISTA DE PRECIOS'!$H1110&gt;0,'LISTA DE PRECIOS'!F1110,"")</f>
        <v/>
      </c>
      <c r="G1096" s="31" t="str">
        <f>IF('LISTA DE PRECIOS'!$H1110&gt;0,'LISTA DE PRECIOS'!G1110,"")</f>
        <v/>
      </c>
      <c r="H1096" s="67" t="str">
        <f>IF('LISTA DE PRECIOS'!$H1110&gt;0,'LISTA DE PRECIOS'!H1110,"")</f>
        <v/>
      </c>
      <c r="I1096" s="31" t="str">
        <f t="shared" si="15"/>
        <v/>
      </c>
    </row>
    <row r="1097" spans="1:9">
      <c r="A1097" t="str">
        <f>IF('LISTA DE PRECIOS'!$H1111&gt;0,'LISTA DE PRECIOS'!A1111,"")</f>
        <v/>
      </c>
      <c r="B1097" t="str">
        <f>IF('LISTA DE PRECIOS'!$H1111&gt;0,'LISTA DE PRECIOS'!B1111,"")</f>
        <v/>
      </c>
      <c r="C1097" t="str">
        <f>IF('LISTA DE PRECIOS'!$H1111&gt;0,'LISTA DE PRECIOS'!C1111,"")</f>
        <v/>
      </c>
      <c r="D1097" s="67" t="str">
        <f>IF('LISTA DE PRECIOS'!$H1111&gt;0,'LISTA DE PRECIOS'!D1111,"")</f>
        <v/>
      </c>
      <c r="E1097" t="str">
        <f>IF('LISTA DE PRECIOS'!$H1111&gt;0,'LISTA DE PRECIOS'!E1111,"")</f>
        <v/>
      </c>
      <c r="F1097" t="str">
        <f>IF('LISTA DE PRECIOS'!$H1111&gt;0,'LISTA DE PRECIOS'!F1111,"")</f>
        <v/>
      </c>
      <c r="G1097" s="31" t="str">
        <f>IF('LISTA DE PRECIOS'!$H1111&gt;0,'LISTA DE PRECIOS'!G1111,"")</f>
        <v/>
      </c>
      <c r="H1097" s="67" t="str">
        <f>IF('LISTA DE PRECIOS'!$H1111&gt;0,'LISTA DE PRECIOS'!H1111,"")</f>
        <v/>
      </c>
      <c r="I1097" s="31" t="str">
        <f t="shared" si="15"/>
        <v/>
      </c>
    </row>
    <row r="1098" spans="1:9">
      <c r="A1098" t="str">
        <f>IF('LISTA DE PRECIOS'!$H1112&gt;0,'LISTA DE PRECIOS'!A1112,"")</f>
        <v/>
      </c>
      <c r="B1098" t="str">
        <f>IF('LISTA DE PRECIOS'!$H1112&gt;0,'LISTA DE PRECIOS'!B1112,"")</f>
        <v/>
      </c>
      <c r="C1098" t="str">
        <f>IF('LISTA DE PRECIOS'!$H1112&gt;0,'LISTA DE PRECIOS'!C1112,"")</f>
        <v/>
      </c>
      <c r="D1098" s="67" t="str">
        <f>IF('LISTA DE PRECIOS'!$H1112&gt;0,'LISTA DE PRECIOS'!D1112,"")</f>
        <v/>
      </c>
      <c r="E1098" t="str">
        <f>IF('LISTA DE PRECIOS'!$H1112&gt;0,'LISTA DE PRECIOS'!E1112,"")</f>
        <v/>
      </c>
      <c r="F1098" t="str">
        <f>IF('LISTA DE PRECIOS'!$H1112&gt;0,'LISTA DE PRECIOS'!F1112,"")</f>
        <v/>
      </c>
      <c r="G1098" s="31" t="str">
        <f>IF('LISTA DE PRECIOS'!$H1112&gt;0,'LISTA DE PRECIOS'!G1112,"")</f>
        <v/>
      </c>
      <c r="H1098" s="67" t="str">
        <f>IF('LISTA DE PRECIOS'!$H1112&gt;0,'LISTA DE PRECIOS'!H1112,"")</f>
        <v/>
      </c>
      <c r="I1098" s="31" t="str">
        <f t="shared" si="15"/>
        <v/>
      </c>
    </row>
    <row r="1099" spans="1:9">
      <c r="A1099" t="str">
        <f>IF('LISTA DE PRECIOS'!$H1113&gt;0,'LISTA DE PRECIOS'!A1113,"")</f>
        <v/>
      </c>
      <c r="B1099" t="str">
        <f>IF('LISTA DE PRECIOS'!$H1113&gt;0,'LISTA DE PRECIOS'!B1113,"")</f>
        <v/>
      </c>
      <c r="C1099" t="str">
        <f>IF('LISTA DE PRECIOS'!$H1113&gt;0,'LISTA DE PRECIOS'!C1113,"")</f>
        <v/>
      </c>
      <c r="D1099" s="67" t="str">
        <f>IF('LISTA DE PRECIOS'!$H1113&gt;0,'LISTA DE PRECIOS'!D1113,"")</f>
        <v/>
      </c>
      <c r="E1099" t="str">
        <f>IF('LISTA DE PRECIOS'!$H1113&gt;0,'LISTA DE PRECIOS'!E1113,"")</f>
        <v/>
      </c>
      <c r="F1099" t="str">
        <f>IF('LISTA DE PRECIOS'!$H1113&gt;0,'LISTA DE PRECIOS'!F1113,"")</f>
        <v/>
      </c>
      <c r="G1099" s="31" t="str">
        <f>IF('LISTA DE PRECIOS'!$H1113&gt;0,'LISTA DE PRECIOS'!G1113,"")</f>
        <v/>
      </c>
      <c r="H1099" s="67" t="str">
        <f>IF('LISTA DE PRECIOS'!$H1113&gt;0,'LISTA DE PRECIOS'!H1113,"")</f>
        <v/>
      </c>
      <c r="I1099" s="31" t="str">
        <f t="shared" si="15"/>
        <v/>
      </c>
    </row>
    <row r="1100" spans="1:9">
      <c r="A1100" t="str">
        <f>IF('LISTA DE PRECIOS'!$H1114&gt;0,'LISTA DE PRECIOS'!A1114,"")</f>
        <v/>
      </c>
      <c r="B1100" t="str">
        <f>IF('LISTA DE PRECIOS'!$H1114&gt;0,'LISTA DE PRECIOS'!B1114,"")</f>
        <v/>
      </c>
      <c r="C1100" t="str">
        <f>IF('LISTA DE PRECIOS'!$H1114&gt;0,'LISTA DE PRECIOS'!C1114,"")</f>
        <v/>
      </c>
      <c r="D1100" s="67" t="str">
        <f>IF('LISTA DE PRECIOS'!$H1114&gt;0,'LISTA DE PRECIOS'!D1114,"")</f>
        <v/>
      </c>
      <c r="E1100" t="str">
        <f>IF('LISTA DE PRECIOS'!$H1114&gt;0,'LISTA DE PRECIOS'!E1114,"")</f>
        <v/>
      </c>
      <c r="F1100" t="str">
        <f>IF('LISTA DE PRECIOS'!$H1114&gt;0,'LISTA DE PRECIOS'!F1114,"")</f>
        <v/>
      </c>
      <c r="G1100" s="31" t="str">
        <f>IF('LISTA DE PRECIOS'!$H1114&gt;0,'LISTA DE PRECIOS'!G1114,"")</f>
        <v/>
      </c>
      <c r="H1100" s="67" t="str">
        <f>IF('LISTA DE PRECIOS'!$H1114&gt;0,'LISTA DE PRECIOS'!H1114,"")</f>
        <v/>
      </c>
      <c r="I1100" s="31" t="str">
        <f t="shared" si="15"/>
        <v/>
      </c>
    </row>
    <row r="1101" spans="1:9">
      <c r="A1101" t="str">
        <f>IF('LISTA DE PRECIOS'!$H1115&gt;0,'LISTA DE PRECIOS'!A1115,"")</f>
        <v/>
      </c>
      <c r="B1101" t="str">
        <f>IF('LISTA DE PRECIOS'!$H1115&gt;0,'LISTA DE PRECIOS'!B1115,"")</f>
        <v/>
      </c>
      <c r="C1101" t="str">
        <f>IF('LISTA DE PRECIOS'!$H1115&gt;0,'LISTA DE PRECIOS'!C1115,"")</f>
        <v/>
      </c>
      <c r="D1101" s="67" t="str">
        <f>IF('LISTA DE PRECIOS'!$H1115&gt;0,'LISTA DE PRECIOS'!D1115,"")</f>
        <v/>
      </c>
      <c r="E1101" t="str">
        <f>IF('LISTA DE PRECIOS'!$H1115&gt;0,'LISTA DE PRECIOS'!E1115,"")</f>
        <v/>
      </c>
      <c r="F1101" t="str">
        <f>IF('LISTA DE PRECIOS'!$H1115&gt;0,'LISTA DE PRECIOS'!F1115,"")</f>
        <v/>
      </c>
      <c r="G1101" s="31" t="str">
        <f>IF('LISTA DE PRECIOS'!$H1115&gt;0,'LISTA DE PRECIOS'!G1115,"")</f>
        <v/>
      </c>
      <c r="H1101" s="67" t="str">
        <f>IF('LISTA DE PRECIOS'!$H1115&gt;0,'LISTA DE PRECIOS'!H1115,"")</f>
        <v/>
      </c>
      <c r="I1101" s="31" t="str">
        <f t="shared" si="15"/>
        <v/>
      </c>
    </row>
    <row r="1102" spans="1:9">
      <c r="A1102" t="str">
        <f>IF('LISTA DE PRECIOS'!$H1116&gt;0,'LISTA DE PRECIOS'!A1116,"")</f>
        <v/>
      </c>
      <c r="B1102" t="str">
        <f>IF('LISTA DE PRECIOS'!$H1116&gt;0,'LISTA DE PRECIOS'!B1116,"")</f>
        <v/>
      </c>
      <c r="C1102" t="str">
        <f>IF('LISTA DE PRECIOS'!$H1116&gt;0,'LISTA DE PRECIOS'!C1116,"")</f>
        <v/>
      </c>
      <c r="D1102" s="67" t="str">
        <f>IF('LISTA DE PRECIOS'!$H1116&gt;0,'LISTA DE PRECIOS'!D1116,"")</f>
        <v/>
      </c>
      <c r="E1102" t="str">
        <f>IF('LISTA DE PRECIOS'!$H1116&gt;0,'LISTA DE PRECIOS'!E1116,"")</f>
        <v/>
      </c>
      <c r="F1102" t="str">
        <f>IF('LISTA DE PRECIOS'!$H1116&gt;0,'LISTA DE PRECIOS'!F1116,"")</f>
        <v/>
      </c>
      <c r="G1102" s="31" t="str">
        <f>IF('LISTA DE PRECIOS'!$H1116&gt;0,'LISTA DE PRECIOS'!G1116,"")</f>
        <v/>
      </c>
      <c r="H1102" s="67" t="str">
        <f>IF('LISTA DE PRECIOS'!$H1116&gt;0,'LISTA DE PRECIOS'!H1116,"")</f>
        <v/>
      </c>
      <c r="I1102" s="31" t="str">
        <f t="shared" si="15"/>
        <v/>
      </c>
    </row>
    <row r="1103" spans="1:9">
      <c r="A1103" t="str">
        <f>IF('LISTA DE PRECIOS'!$H1117&gt;0,'LISTA DE PRECIOS'!A1117,"")</f>
        <v/>
      </c>
      <c r="B1103" t="str">
        <f>IF('LISTA DE PRECIOS'!$H1117&gt;0,'LISTA DE PRECIOS'!B1117,"")</f>
        <v/>
      </c>
      <c r="C1103" t="str">
        <f>IF('LISTA DE PRECIOS'!$H1117&gt;0,'LISTA DE PRECIOS'!C1117,"")</f>
        <v/>
      </c>
      <c r="D1103" s="67" t="str">
        <f>IF('LISTA DE PRECIOS'!$H1117&gt;0,'LISTA DE PRECIOS'!D1117,"")</f>
        <v/>
      </c>
      <c r="E1103" t="str">
        <f>IF('LISTA DE PRECIOS'!$H1117&gt;0,'LISTA DE PRECIOS'!E1117,"")</f>
        <v/>
      </c>
      <c r="F1103" t="str">
        <f>IF('LISTA DE PRECIOS'!$H1117&gt;0,'LISTA DE PRECIOS'!F1117,"")</f>
        <v/>
      </c>
      <c r="G1103" s="31" t="str">
        <f>IF('LISTA DE PRECIOS'!$H1117&gt;0,'LISTA DE PRECIOS'!G1117,"")</f>
        <v/>
      </c>
      <c r="H1103" s="67" t="str">
        <f>IF('LISTA DE PRECIOS'!$H1117&gt;0,'LISTA DE PRECIOS'!H1117,"")</f>
        <v/>
      </c>
      <c r="I1103" s="31" t="str">
        <f t="shared" si="15"/>
        <v/>
      </c>
    </row>
    <row r="1104" spans="1:9">
      <c r="A1104" t="str">
        <f>IF('LISTA DE PRECIOS'!$H1118&gt;0,'LISTA DE PRECIOS'!A1118,"")</f>
        <v/>
      </c>
      <c r="B1104" t="str">
        <f>IF('LISTA DE PRECIOS'!$H1118&gt;0,'LISTA DE PRECIOS'!B1118,"")</f>
        <v/>
      </c>
      <c r="C1104" t="str">
        <f>IF('LISTA DE PRECIOS'!$H1118&gt;0,'LISTA DE PRECIOS'!C1118,"")</f>
        <v/>
      </c>
      <c r="D1104" s="67" t="str">
        <f>IF('LISTA DE PRECIOS'!$H1118&gt;0,'LISTA DE PRECIOS'!D1118,"")</f>
        <v/>
      </c>
      <c r="E1104" t="str">
        <f>IF('LISTA DE PRECIOS'!$H1118&gt;0,'LISTA DE PRECIOS'!E1118,"")</f>
        <v/>
      </c>
      <c r="F1104" t="str">
        <f>IF('LISTA DE PRECIOS'!$H1118&gt;0,'LISTA DE PRECIOS'!F1118,"")</f>
        <v/>
      </c>
      <c r="G1104" s="31" t="str">
        <f>IF('LISTA DE PRECIOS'!$H1118&gt;0,'LISTA DE PRECIOS'!G1118,"")</f>
        <v/>
      </c>
      <c r="H1104" s="67" t="str">
        <f>IF('LISTA DE PRECIOS'!$H1118&gt;0,'LISTA DE PRECIOS'!H1118,"")</f>
        <v/>
      </c>
      <c r="I1104" s="31" t="str">
        <f t="shared" si="15"/>
        <v/>
      </c>
    </row>
    <row r="1105" spans="1:9">
      <c r="A1105" t="str">
        <f>IF('LISTA DE PRECIOS'!$H1119&gt;0,'LISTA DE PRECIOS'!A1119,"")</f>
        <v/>
      </c>
      <c r="B1105" t="str">
        <f>IF('LISTA DE PRECIOS'!$H1119&gt;0,'LISTA DE PRECIOS'!B1119,"")</f>
        <v/>
      </c>
      <c r="C1105" t="str">
        <f>IF('LISTA DE PRECIOS'!$H1119&gt;0,'LISTA DE PRECIOS'!C1119,"")</f>
        <v/>
      </c>
      <c r="D1105" s="67" t="str">
        <f>IF('LISTA DE PRECIOS'!$H1119&gt;0,'LISTA DE PRECIOS'!D1119,"")</f>
        <v/>
      </c>
      <c r="E1105" t="str">
        <f>IF('LISTA DE PRECIOS'!$H1119&gt;0,'LISTA DE PRECIOS'!E1119,"")</f>
        <v/>
      </c>
      <c r="F1105" t="str">
        <f>IF('LISTA DE PRECIOS'!$H1119&gt;0,'LISTA DE PRECIOS'!F1119,"")</f>
        <v/>
      </c>
      <c r="G1105" s="31" t="str">
        <f>IF('LISTA DE PRECIOS'!$H1119&gt;0,'LISTA DE PRECIOS'!G1119,"")</f>
        <v/>
      </c>
      <c r="H1105" s="67" t="str">
        <f>IF('LISTA DE PRECIOS'!$H1119&gt;0,'LISTA DE PRECIOS'!H1119,"")</f>
        <v/>
      </c>
      <c r="I1105" s="31" t="str">
        <f t="shared" ref="I1105:I1168" si="16">IF(OR(G1105="",H1105=""),"",G1105*H1105)</f>
        <v/>
      </c>
    </row>
    <row r="1106" spans="1:9">
      <c r="A1106" t="str">
        <f>IF('LISTA DE PRECIOS'!$H1120&gt;0,'LISTA DE PRECIOS'!A1120,"")</f>
        <v/>
      </c>
      <c r="B1106" t="str">
        <f>IF('LISTA DE PRECIOS'!$H1120&gt;0,'LISTA DE PRECIOS'!B1120,"")</f>
        <v/>
      </c>
      <c r="C1106" t="str">
        <f>IF('LISTA DE PRECIOS'!$H1120&gt;0,'LISTA DE PRECIOS'!C1120,"")</f>
        <v/>
      </c>
      <c r="D1106" s="67" t="str">
        <f>IF('LISTA DE PRECIOS'!$H1120&gt;0,'LISTA DE PRECIOS'!D1120,"")</f>
        <v/>
      </c>
      <c r="E1106" t="str">
        <f>IF('LISTA DE PRECIOS'!$H1120&gt;0,'LISTA DE PRECIOS'!E1120,"")</f>
        <v/>
      </c>
      <c r="F1106" t="str">
        <f>IF('LISTA DE PRECIOS'!$H1120&gt;0,'LISTA DE PRECIOS'!F1120,"")</f>
        <v/>
      </c>
      <c r="G1106" s="31" t="str">
        <f>IF('LISTA DE PRECIOS'!$H1120&gt;0,'LISTA DE PRECIOS'!G1120,"")</f>
        <v/>
      </c>
      <c r="H1106" s="67" t="str">
        <f>IF('LISTA DE PRECIOS'!$H1120&gt;0,'LISTA DE PRECIOS'!H1120,"")</f>
        <v/>
      </c>
      <c r="I1106" s="31" t="str">
        <f t="shared" si="16"/>
        <v/>
      </c>
    </row>
    <row r="1107" spans="1:9">
      <c r="A1107" t="str">
        <f>IF('LISTA DE PRECIOS'!$H1121&gt;0,'LISTA DE PRECIOS'!A1121,"")</f>
        <v/>
      </c>
      <c r="B1107" t="str">
        <f>IF('LISTA DE PRECIOS'!$H1121&gt;0,'LISTA DE PRECIOS'!B1121,"")</f>
        <v/>
      </c>
      <c r="C1107" t="str">
        <f>IF('LISTA DE PRECIOS'!$H1121&gt;0,'LISTA DE PRECIOS'!C1121,"")</f>
        <v/>
      </c>
      <c r="D1107" s="67" t="str">
        <f>IF('LISTA DE PRECIOS'!$H1121&gt;0,'LISTA DE PRECIOS'!D1121,"")</f>
        <v/>
      </c>
      <c r="E1107" t="str">
        <f>IF('LISTA DE PRECIOS'!$H1121&gt;0,'LISTA DE PRECIOS'!E1121,"")</f>
        <v/>
      </c>
      <c r="F1107" t="str">
        <f>IF('LISTA DE PRECIOS'!$H1121&gt;0,'LISTA DE PRECIOS'!F1121,"")</f>
        <v/>
      </c>
      <c r="G1107" s="31" t="str">
        <f>IF('LISTA DE PRECIOS'!$H1121&gt;0,'LISTA DE PRECIOS'!G1121,"")</f>
        <v/>
      </c>
      <c r="H1107" s="67" t="str">
        <f>IF('LISTA DE PRECIOS'!$H1121&gt;0,'LISTA DE PRECIOS'!H1121,"")</f>
        <v/>
      </c>
      <c r="I1107" s="31" t="str">
        <f t="shared" si="16"/>
        <v/>
      </c>
    </row>
    <row r="1108" spans="1:9">
      <c r="A1108" t="str">
        <f>IF('LISTA DE PRECIOS'!$H1122&gt;0,'LISTA DE PRECIOS'!A1122,"")</f>
        <v/>
      </c>
      <c r="B1108" t="str">
        <f>IF('LISTA DE PRECIOS'!$H1122&gt;0,'LISTA DE PRECIOS'!B1122,"")</f>
        <v/>
      </c>
      <c r="C1108" t="str">
        <f>IF('LISTA DE PRECIOS'!$H1122&gt;0,'LISTA DE PRECIOS'!C1122,"")</f>
        <v/>
      </c>
      <c r="D1108" s="67" t="str">
        <f>IF('LISTA DE PRECIOS'!$H1122&gt;0,'LISTA DE PRECIOS'!D1122,"")</f>
        <v/>
      </c>
      <c r="E1108" t="str">
        <f>IF('LISTA DE PRECIOS'!$H1122&gt;0,'LISTA DE PRECIOS'!E1122,"")</f>
        <v/>
      </c>
      <c r="F1108" t="str">
        <f>IF('LISTA DE PRECIOS'!$H1122&gt;0,'LISTA DE PRECIOS'!F1122,"")</f>
        <v/>
      </c>
      <c r="G1108" s="31" t="str">
        <f>IF('LISTA DE PRECIOS'!$H1122&gt;0,'LISTA DE PRECIOS'!G1122,"")</f>
        <v/>
      </c>
      <c r="H1108" s="67" t="str">
        <f>IF('LISTA DE PRECIOS'!$H1122&gt;0,'LISTA DE PRECIOS'!H1122,"")</f>
        <v/>
      </c>
      <c r="I1108" s="31" t="str">
        <f t="shared" si="16"/>
        <v/>
      </c>
    </row>
    <row r="1109" spans="1:9">
      <c r="A1109" t="str">
        <f>IF('LISTA DE PRECIOS'!$H1123&gt;0,'LISTA DE PRECIOS'!A1123,"")</f>
        <v/>
      </c>
      <c r="B1109" t="str">
        <f>IF('LISTA DE PRECIOS'!$H1123&gt;0,'LISTA DE PRECIOS'!B1123,"")</f>
        <v/>
      </c>
      <c r="C1109" t="str">
        <f>IF('LISTA DE PRECIOS'!$H1123&gt;0,'LISTA DE PRECIOS'!C1123,"")</f>
        <v/>
      </c>
      <c r="D1109" s="67" t="str">
        <f>IF('LISTA DE PRECIOS'!$H1123&gt;0,'LISTA DE PRECIOS'!D1123,"")</f>
        <v/>
      </c>
      <c r="E1109" t="str">
        <f>IF('LISTA DE PRECIOS'!$H1123&gt;0,'LISTA DE PRECIOS'!E1123,"")</f>
        <v/>
      </c>
      <c r="F1109" t="str">
        <f>IF('LISTA DE PRECIOS'!$H1123&gt;0,'LISTA DE PRECIOS'!F1123,"")</f>
        <v/>
      </c>
      <c r="G1109" s="31" t="str">
        <f>IF('LISTA DE PRECIOS'!$H1123&gt;0,'LISTA DE PRECIOS'!G1123,"")</f>
        <v/>
      </c>
      <c r="H1109" s="67" t="str">
        <f>IF('LISTA DE PRECIOS'!$H1123&gt;0,'LISTA DE PRECIOS'!H1123,"")</f>
        <v/>
      </c>
      <c r="I1109" s="31" t="str">
        <f t="shared" si="16"/>
        <v/>
      </c>
    </row>
    <row r="1110" spans="1:9">
      <c r="A1110" t="str">
        <f>IF('LISTA DE PRECIOS'!$H1124&gt;0,'LISTA DE PRECIOS'!A1124,"")</f>
        <v/>
      </c>
      <c r="B1110" t="str">
        <f>IF('LISTA DE PRECIOS'!$H1124&gt;0,'LISTA DE PRECIOS'!B1124,"")</f>
        <v/>
      </c>
      <c r="C1110" t="str">
        <f>IF('LISTA DE PRECIOS'!$H1124&gt;0,'LISTA DE PRECIOS'!C1124,"")</f>
        <v/>
      </c>
      <c r="D1110" s="67" t="str">
        <f>IF('LISTA DE PRECIOS'!$H1124&gt;0,'LISTA DE PRECIOS'!D1124,"")</f>
        <v/>
      </c>
      <c r="E1110" t="str">
        <f>IF('LISTA DE PRECIOS'!$H1124&gt;0,'LISTA DE PRECIOS'!E1124,"")</f>
        <v/>
      </c>
      <c r="F1110" t="str">
        <f>IF('LISTA DE PRECIOS'!$H1124&gt;0,'LISTA DE PRECIOS'!F1124,"")</f>
        <v/>
      </c>
      <c r="G1110" s="31" t="str">
        <f>IF('LISTA DE PRECIOS'!$H1124&gt;0,'LISTA DE PRECIOS'!G1124,"")</f>
        <v/>
      </c>
      <c r="H1110" s="67" t="str">
        <f>IF('LISTA DE PRECIOS'!$H1124&gt;0,'LISTA DE PRECIOS'!H1124,"")</f>
        <v/>
      </c>
      <c r="I1110" s="31" t="str">
        <f t="shared" si="16"/>
        <v/>
      </c>
    </row>
    <row r="1111" spans="1:9">
      <c r="A1111" t="str">
        <f>IF('LISTA DE PRECIOS'!$H1125&gt;0,'LISTA DE PRECIOS'!A1125,"")</f>
        <v/>
      </c>
      <c r="B1111" t="str">
        <f>IF('LISTA DE PRECIOS'!$H1125&gt;0,'LISTA DE PRECIOS'!B1125,"")</f>
        <v/>
      </c>
      <c r="C1111" t="str">
        <f>IF('LISTA DE PRECIOS'!$H1125&gt;0,'LISTA DE PRECIOS'!C1125,"")</f>
        <v/>
      </c>
      <c r="D1111" s="67" t="str">
        <f>IF('LISTA DE PRECIOS'!$H1125&gt;0,'LISTA DE PRECIOS'!D1125,"")</f>
        <v/>
      </c>
      <c r="E1111" t="str">
        <f>IF('LISTA DE PRECIOS'!$H1125&gt;0,'LISTA DE PRECIOS'!E1125,"")</f>
        <v/>
      </c>
      <c r="F1111" t="str">
        <f>IF('LISTA DE PRECIOS'!$H1125&gt;0,'LISTA DE PRECIOS'!F1125,"")</f>
        <v/>
      </c>
      <c r="G1111" s="31" t="str">
        <f>IF('LISTA DE PRECIOS'!$H1125&gt;0,'LISTA DE PRECIOS'!G1125,"")</f>
        <v/>
      </c>
      <c r="H1111" s="67" t="str">
        <f>IF('LISTA DE PRECIOS'!$H1125&gt;0,'LISTA DE PRECIOS'!H1125,"")</f>
        <v/>
      </c>
      <c r="I1111" s="31" t="str">
        <f t="shared" si="16"/>
        <v/>
      </c>
    </row>
    <row r="1112" spans="1:9">
      <c r="A1112" t="str">
        <f>IF('LISTA DE PRECIOS'!$H1126&gt;0,'LISTA DE PRECIOS'!A1126,"")</f>
        <v/>
      </c>
      <c r="B1112" t="str">
        <f>IF('LISTA DE PRECIOS'!$H1126&gt;0,'LISTA DE PRECIOS'!B1126,"")</f>
        <v/>
      </c>
      <c r="C1112" t="str">
        <f>IF('LISTA DE PRECIOS'!$H1126&gt;0,'LISTA DE PRECIOS'!C1126,"")</f>
        <v/>
      </c>
      <c r="D1112" s="67" t="str">
        <f>IF('LISTA DE PRECIOS'!$H1126&gt;0,'LISTA DE PRECIOS'!D1126,"")</f>
        <v/>
      </c>
      <c r="E1112" t="str">
        <f>IF('LISTA DE PRECIOS'!$H1126&gt;0,'LISTA DE PRECIOS'!E1126,"")</f>
        <v/>
      </c>
      <c r="F1112" t="str">
        <f>IF('LISTA DE PRECIOS'!$H1126&gt;0,'LISTA DE PRECIOS'!F1126,"")</f>
        <v/>
      </c>
      <c r="G1112" s="31" t="str">
        <f>IF('LISTA DE PRECIOS'!$H1126&gt;0,'LISTA DE PRECIOS'!G1126,"")</f>
        <v/>
      </c>
      <c r="H1112" s="67" t="str">
        <f>IF('LISTA DE PRECIOS'!$H1126&gt;0,'LISTA DE PRECIOS'!H1126,"")</f>
        <v/>
      </c>
      <c r="I1112" s="31" t="str">
        <f t="shared" si="16"/>
        <v/>
      </c>
    </row>
    <row r="1113" spans="1:9">
      <c r="A1113" t="str">
        <f>IF('LISTA DE PRECIOS'!$H1127&gt;0,'LISTA DE PRECIOS'!A1127,"")</f>
        <v/>
      </c>
      <c r="B1113" t="str">
        <f>IF('LISTA DE PRECIOS'!$H1127&gt;0,'LISTA DE PRECIOS'!B1127,"")</f>
        <v/>
      </c>
      <c r="C1113" t="str">
        <f>IF('LISTA DE PRECIOS'!$H1127&gt;0,'LISTA DE PRECIOS'!C1127,"")</f>
        <v/>
      </c>
      <c r="D1113" s="67" t="str">
        <f>IF('LISTA DE PRECIOS'!$H1127&gt;0,'LISTA DE PRECIOS'!D1127,"")</f>
        <v/>
      </c>
      <c r="E1113" t="str">
        <f>IF('LISTA DE PRECIOS'!$H1127&gt;0,'LISTA DE PRECIOS'!E1127,"")</f>
        <v/>
      </c>
      <c r="F1113" t="str">
        <f>IF('LISTA DE PRECIOS'!$H1127&gt;0,'LISTA DE PRECIOS'!F1127,"")</f>
        <v/>
      </c>
      <c r="G1113" s="31" t="str">
        <f>IF('LISTA DE PRECIOS'!$H1127&gt;0,'LISTA DE PRECIOS'!G1127,"")</f>
        <v/>
      </c>
      <c r="H1113" s="67" t="str">
        <f>IF('LISTA DE PRECIOS'!$H1127&gt;0,'LISTA DE PRECIOS'!H1127,"")</f>
        <v/>
      </c>
      <c r="I1113" s="31" t="str">
        <f t="shared" si="16"/>
        <v/>
      </c>
    </row>
    <row r="1114" spans="1:9">
      <c r="A1114" t="str">
        <f>IF('LISTA DE PRECIOS'!$H1128&gt;0,'LISTA DE PRECIOS'!A1128,"")</f>
        <v/>
      </c>
      <c r="B1114" t="str">
        <f>IF('LISTA DE PRECIOS'!$H1128&gt;0,'LISTA DE PRECIOS'!B1128,"")</f>
        <v/>
      </c>
      <c r="C1114" t="str">
        <f>IF('LISTA DE PRECIOS'!$H1128&gt;0,'LISTA DE PRECIOS'!C1128,"")</f>
        <v/>
      </c>
      <c r="D1114" s="67" t="str">
        <f>IF('LISTA DE PRECIOS'!$H1128&gt;0,'LISTA DE PRECIOS'!D1128,"")</f>
        <v/>
      </c>
      <c r="E1114" t="str">
        <f>IF('LISTA DE PRECIOS'!$H1128&gt;0,'LISTA DE PRECIOS'!E1128,"")</f>
        <v/>
      </c>
      <c r="F1114" t="str">
        <f>IF('LISTA DE PRECIOS'!$H1128&gt;0,'LISTA DE PRECIOS'!F1128,"")</f>
        <v/>
      </c>
      <c r="G1114" s="31" t="str">
        <f>IF('LISTA DE PRECIOS'!$H1128&gt;0,'LISTA DE PRECIOS'!G1128,"")</f>
        <v/>
      </c>
      <c r="H1114" s="67" t="str">
        <f>IF('LISTA DE PRECIOS'!$H1128&gt;0,'LISTA DE PRECIOS'!H1128,"")</f>
        <v/>
      </c>
      <c r="I1114" s="31" t="str">
        <f t="shared" si="16"/>
        <v/>
      </c>
    </row>
    <row r="1115" spans="1:9">
      <c r="A1115" t="str">
        <f>IF('LISTA DE PRECIOS'!$H1129&gt;0,'LISTA DE PRECIOS'!A1129,"")</f>
        <v/>
      </c>
      <c r="B1115" t="str">
        <f>IF('LISTA DE PRECIOS'!$H1129&gt;0,'LISTA DE PRECIOS'!B1129,"")</f>
        <v/>
      </c>
      <c r="C1115" t="str">
        <f>IF('LISTA DE PRECIOS'!$H1129&gt;0,'LISTA DE PRECIOS'!C1129,"")</f>
        <v/>
      </c>
      <c r="D1115" s="67" t="str">
        <f>IF('LISTA DE PRECIOS'!$H1129&gt;0,'LISTA DE PRECIOS'!D1129,"")</f>
        <v/>
      </c>
      <c r="E1115" t="str">
        <f>IF('LISTA DE PRECIOS'!$H1129&gt;0,'LISTA DE PRECIOS'!E1129,"")</f>
        <v/>
      </c>
      <c r="F1115" t="str">
        <f>IF('LISTA DE PRECIOS'!$H1129&gt;0,'LISTA DE PRECIOS'!F1129,"")</f>
        <v/>
      </c>
      <c r="G1115" s="31" t="str">
        <f>IF('LISTA DE PRECIOS'!$H1129&gt;0,'LISTA DE PRECIOS'!G1129,"")</f>
        <v/>
      </c>
      <c r="H1115" s="67" t="str">
        <f>IF('LISTA DE PRECIOS'!$H1129&gt;0,'LISTA DE PRECIOS'!H1129,"")</f>
        <v/>
      </c>
      <c r="I1115" s="31" t="str">
        <f t="shared" si="16"/>
        <v/>
      </c>
    </row>
    <row r="1116" spans="1:9">
      <c r="A1116" t="str">
        <f>IF('LISTA DE PRECIOS'!$H1130&gt;0,'LISTA DE PRECIOS'!A1130,"")</f>
        <v/>
      </c>
      <c r="B1116" t="str">
        <f>IF('LISTA DE PRECIOS'!$H1130&gt;0,'LISTA DE PRECIOS'!B1130,"")</f>
        <v/>
      </c>
      <c r="C1116" t="str">
        <f>IF('LISTA DE PRECIOS'!$H1130&gt;0,'LISTA DE PRECIOS'!C1130,"")</f>
        <v/>
      </c>
      <c r="D1116" s="67" t="str">
        <f>IF('LISTA DE PRECIOS'!$H1130&gt;0,'LISTA DE PRECIOS'!D1130,"")</f>
        <v/>
      </c>
      <c r="E1116" t="str">
        <f>IF('LISTA DE PRECIOS'!$H1130&gt;0,'LISTA DE PRECIOS'!E1130,"")</f>
        <v/>
      </c>
      <c r="F1116" t="str">
        <f>IF('LISTA DE PRECIOS'!$H1130&gt;0,'LISTA DE PRECIOS'!F1130,"")</f>
        <v/>
      </c>
      <c r="G1116" s="31" t="str">
        <f>IF('LISTA DE PRECIOS'!$H1130&gt;0,'LISTA DE PRECIOS'!G1130,"")</f>
        <v/>
      </c>
      <c r="H1116" s="67" t="str">
        <f>IF('LISTA DE PRECIOS'!$H1130&gt;0,'LISTA DE PRECIOS'!H1130,"")</f>
        <v/>
      </c>
      <c r="I1116" s="31" t="str">
        <f t="shared" si="16"/>
        <v/>
      </c>
    </row>
    <row r="1117" spans="1:9">
      <c r="A1117" t="str">
        <f>IF('LISTA DE PRECIOS'!$H1131&gt;0,'LISTA DE PRECIOS'!A1131,"")</f>
        <v/>
      </c>
      <c r="B1117" t="str">
        <f>IF('LISTA DE PRECIOS'!$H1131&gt;0,'LISTA DE PRECIOS'!B1131,"")</f>
        <v/>
      </c>
      <c r="C1117" t="str">
        <f>IF('LISTA DE PRECIOS'!$H1131&gt;0,'LISTA DE PRECIOS'!C1131,"")</f>
        <v/>
      </c>
      <c r="D1117" s="67" t="str">
        <f>IF('LISTA DE PRECIOS'!$H1131&gt;0,'LISTA DE PRECIOS'!D1131,"")</f>
        <v/>
      </c>
      <c r="E1117" t="str">
        <f>IF('LISTA DE PRECIOS'!$H1131&gt;0,'LISTA DE PRECIOS'!E1131,"")</f>
        <v/>
      </c>
      <c r="F1117" t="str">
        <f>IF('LISTA DE PRECIOS'!$H1131&gt;0,'LISTA DE PRECIOS'!F1131,"")</f>
        <v/>
      </c>
      <c r="G1117" s="31" t="str">
        <f>IF('LISTA DE PRECIOS'!$H1131&gt;0,'LISTA DE PRECIOS'!G1131,"")</f>
        <v/>
      </c>
      <c r="H1117" s="67" t="str">
        <f>IF('LISTA DE PRECIOS'!$H1131&gt;0,'LISTA DE PRECIOS'!H1131,"")</f>
        <v/>
      </c>
      <c r="I1117" s="31" t="str">
        <f t="shared" si="16"/>
        <v/>
      </c>
    </row>
    <row r="1118" spans="1:9">
      <c r="A1118" t="str">
        <f>IF('LISTA DE PRECIOS'!$H1132&gt;0,'LISTA DE PRECIOS'!A1132,"")</f>
        <v/>
      </c>
      <c r="B1118" t="str">
        <f>IF('LISTA DE PRECIOS'!$H1132&gt;0,'LISTA DE PRECIOS'!B1132,"")</f>
        <v/>
      </c>
      <c r="C1118" t="str">
        <f>IF('LISTA DE PRECIOS'!$H1132&gt;0,'LISTA DE PRECIOS'!C1132,"")</f>
        <v/>
      </c>
      <c r="D1118" s="67" t="str">
        <f>IF('LISTA DE PRECIOS'!$H1132&gt;0,'LISTA DE PRECIOS'!D1132,"")</f>
        <v/>
      </c>
      <c r="E1118" t="str">
        <f>IF('LISTA DE PRECIOS'!$H1132&gt;0,'LISTA DE PRECIOS'!E1132,"")</f>
        <v/>
      </c>
      <c r="F1118" t="str">
        <f>IF('LISTA DE PRECIOS'!$H1132&gt;0,'LISTA DE PRECIOS'!F1132,"")</f>
        <v/>
      </c>
      <c r="G1118" s="31" t="str">
        <f>IF('LISTA DE PRECIOS'!$H1132&gt;0,'LISTA DE PRECIOS'!G1132,"")</f>
        <v/>
      </c>
      <c r="H1118" s="67" t="str">
        <f>IF('LISTA DE PRECIOS'!$H1132&gt;0,'LISTA DE PRECIOS'!H1132,"")</f>
        <v/>
      </c>
      <c r="I1118" s="31" t="str">
        <f t="shared" si="16"/>
        <v/>
      </c>
    </row>
    <row r="1119" spans="1:9">
      <c r="A1119" t="str">
        <f>IF('LISTA DE PRECIOS'!$H1133&gt;0,'LISTA DE PRECIOS'!A1133,"")</f>
        <v/>
      </c>
      <c r="B1119" t="str">
        <f>IF('LISTA DE PRECIOS'!$H1133&gt;0,'LISTA DE PRECIOS'!B1133,"")</f>
        <v/>
      </c>
      <c r="C1119" t="str">
        <f>IF('LISTA DE PRECIOS'!$H1133&gt;0,'LISTA DE PRECIOS'!C1133,"")</f>
        <v/>
      </c>
      <c r="D1119" s="67" t="str">
        <f>IF('LISTA DE PRECIOS'!$H1133&gt;0,'LISTA DE PRECIOS'!D1133,"")</f>
        <v/>
      </c>
      <c r="E1119" t="str">
        <f>IF('LISTA DE PRECIOS'!$H1133&gt;0,'LISTA DE PRECIOS'!E1133,"")</f>
        <v/>
      </c>
      <c r="F1119" t="str">
        <f>IF('LISTA DE PRECIOS'!$H1133&gt;0,'LISTA DE PRECIOS'!F1133,"")</f>
        <v/>
      </c>
      <c r="G1119" s="31" t="str">
        <f>IF('LISTA DE PRECIOS'!$H1133&gt;0,'LISTA DE PRECIOS'!G1133,"")</f>
        <v/>
      </c>
      <c r="H1119" s="67" t="str">
        <f>IF('LISTA DE PRECIOS'!$H1133&gt;0,'LISTA DE PRECIOS'!H1133,"")</f>
        <v/>
      </c>
      <c r="I1119" s="31" t="str">
        <f t="shared" si="16"/>
        <v/>
      </c>
    </row>
    <row r="1120" spans="1:9">
      <c r="A1120" t="str">
        <f>IF('LISTA DE PRECIOS'!$H1134&gt;0,'LISTA DE PRECIOS'!A1134,"")</f>
        <v/>
      </c>
      <c r="B1120" t="str">
        <f>IF('LISTA DE PRECIOS'!$H1134&gt;0,'LISTA DE PRECIOS'!B1134,"")</f>
        <v/>
      </c>
      <c r="C1120" t="str">
        <f>IF('LISTA DE PRECIOS'!$H1134&gt;0,'LISTA DE PRECIOS'!C1134,"")</f>
        <v/>
      </c>
      <c r="D1120" s="67" t="str">
        <f>IF('LISTA DE PRECIOS'!$H1134&gt;0,'LISTA DE PRECIOS'!D1134,"")</f>
        <v/>
      </c>
      <c r="E1120" t="str">
        <f>IF('LISTA DE PRECIOS'!$H1134&gt;0,'LISTA DE PRECIOS'!E1134,"")</f>
        <v/>
      </c>
      <c r="F1120" t="str">
        <f>IF('LISTA DE PRECIOS'!$H1134&gt;0,'LISTA DE PRECIOS'!F1134,"")</f>
        <v/>
      </c>
      <c r="G1120" s="31" t="str">
        <f>IF('LISTA DE PRECIOS'!$H1134&gt;0,'LISTA DE PRECIOS'!G1134,"")</f>
        <v/>
      </c>
      <c r="H1120" s="67" t="str">
        <f>IF('LISTA DE PRECIOS'!$H1134&gt;0,'LISTA DE PRECIOS'!H1134,"")</f>
        <v/>
      </c>
      <c r="I1120" s="31" t="str">
        <f t="shared" si="16"/>
        <v/>
      </c>
    </row>
    <row r="1121" spans="1:9">
      <c r="A1121" t="str">
        <f>IF('LISTA DE PRECIOS'!$H1135&gt;0,'LISTA DE PRECIOS'!A1135,"")</f>
        <v/>
      </c>
      <c r="B1121" t="str">
        <f>IF('LISTA DE PRECIOS'!$H1135&gt;0,'LISTA DE PRECIOS'!B1135,"")</f>
        <v/>
      </c>
      <c r="C1121" t="str">
        <f>IF('LISTA DE PRECIOS'!$H1135&gt;0,'LISTA DE PRECIOS'!C1135,"")</f>
        <v/>
      </c>
      <c r="D1121" s="67" t="str">
        <f>IF('LISTA DE PRECIOS'!$H1135&gt;0,'LISTA DE PRECIOS'!D1135,"")</f>
        <v/>
      </c>
      <c r="E1121" t="str">
        <f>IF('LISTA DE PRECIOS'!$H1135&gt;0,'LISTA DE PRECIOS'!E1135,"")</f>
        <v/>
      </c>
      <c r="F1121" t="str">
        <f>IF('LISTA DE PRECIOS'!$H1135&gt;0,'LISTA DE PRECIOS'!F1135,"")</f>
        <v/>
      </c>
      <c r="G1121" s="31" t="str">
        <f>IF('LISTA DE PRECIOS'!$H1135&gt;0,'LISTA DE PRECIOS'!G1135,"")</f>
        <v/>
      </c>
      <c r="H1121" s="67" t="str">
        <f>IF('LISTA DE PRECIOS'!$H1135&gt;0,'LISTA DE PRECIOS'!H1135,"")</f>
        <v/>
      </c>
      <c r="I1121" s="31" t="str">
        <f t="shared" si="16"/>
        <v/>
      </c>
    </row>
    <row r="1122" spans="1:9">
      <c r="A1122" t="str">
        <f>IF('LISTA DE PRECIOS'!$H1136&gt;0,'LISTA DE PRECIOS'!A1136,"")</f>
        <v/>
      </c>
      <c r="B1122" t="str">
        <f>IF('LISTA DE PRECIOS'!$H1136&gt;0,'LISTA DE PRECIOS'!B1136,"")</f>
        <v/>
      </c>
      <c r="C1122" t="str">
        <f>IF('LISTA DE PRECIOS'!$H1136&gt;0,'LISTA DE PRECIOS'!C1136,"")</f>
        <v/>
      </c>
      <c r="D1122" s="67" t="str">
        <f>IF('LISTA DE PRECIOS'!$H1136&gt;0,'LISTA DE PRECIOS'!D1136,"")</f>
        <v/>
      </c>
      <c r="E1122" t="str">
        <f>IF('LISTA DE PRECIOS'!$H1136&gt;0,'LISTA DE PRECIOS'!E1136,"")</f>
        <v/>
      </c>
      <c r="F1122" t="str">
        <f>IF('LISTA DE PRECIOS'!$H1136&gt;0,'LISTA DE PRECIOS'!F1136,"")</f>
        <v/>
      </c>
      <c r="G1122" s="31" t="str">
        <f>IF('LISTA DE PRECIOS'!$H1136&gt;0,'LISTA DE PRECIOS'!G1136,"")</f>
        <v/>
      </c>
      <c r="H1122" s="67" t="str">
        <f>IF('LISTA DE PRECIOS'!$H1136&gt;0,'LISTA DE PRECIOS'!H1136,"")</f>
        <v/>
      </c>
      <c r="I1122" s="31" t="str">
        <f t="shared" si="16"/>
        <v/>
      </c>
    </row>
    <row r="1123" spans="1:9">
      <c r="A1123" t="str">
        <f>IF('LISTA DE PRECIOS'!$H1137&gt;0,'LISTA DE PRECIOS'!A1137,"")</f>
        <v/>
      </c>
      <c r="B1123" t="str">
        <f>IF('LISTA DE PRECIOS'!$H1137&gt;0,'LISTA DE PRECIOS'!B1137,"")</f>
        <v/>
      </c>
      <c r="C1123" t="str">
        <f>IF('LISTA DE PRECIOS'!$H1137&gt;0,'LISTA DE PRECIOS'!C1137,"")</f>
        <v/>
      </c>
      <c r="D1123" s="67" t="str">
        <f>IF('LISTA DE PRECIOS'!$H1137&gt;0,'LISTA DE PRECIOS'!D1137,"")</f>
        <v/>
      </c>
      <c r="E1123" t="str">
        <f>IF('LISTA DE PRECIOS'!$H1137&gt;0,'LISTA DE PRECIOS'!E1137,"")</f>
        <v/>
      </c>
      <c r="F1123" t="str">
        <f>IF('LISTA DE PRECIOS'!$H1137&gt;0,'LISTA DE PRECIOS'!F1137,"")</f>
        <v/>
      </c>
      <c r="G1123" s="31" t="str">
        <f>IF('LISTA DE PRECIOS'!$H1137&gt;0,'LISTA DE PRECIOS'!G1137,"")</f>
        <v/>
      </c>
      <c r="H1123" s="67" t="str">
        <f>IF('LISTA DE PRECIOS'!$H1137&gt;0,'LISTA DE PRECIOS'!H1137,"")</f>
        <v/>
      </c>
      <c r="I1123" s="31" t="str">
        <f t="shared" si="16"/>
        <v/>
      </c>
    </row>
    <row r="1124" spans="1:9">
      <c r="A1124" t="str">
        <f>IF('LISTA DE PRECIOS'!$H1138&gt;0,'LISTA DE PRECIOS'!A1138,"")</f>
        <v/>
      </c>
      <c r="B1124" t="str">
        <f>IF('LISTA DE PRECIOS'!$H1138&gt;0,'LISTA DE PRECIOS'!B1138,"")</f>
        <v/>
      </c>
      <c r="C1124" t="str">
        <f>IF('LISTA DE PRECIOS'!$H1138&gt;0,'LISTA DE PRECIOS'!C1138,"")</f>
        <v/>
      </c>
      <c r="D1124" s="67" t="str">
        <f>IF('LISTA DE PRECIOS'!$H1138&gt;0,'LISTA DE PRECIOS'!D1138,"")</f>
        <v/>
      </c>
      <c r="E1124" t="str">
        <f>IF('LISTA DE PRECIOS'!$H1138&gt;0,'LISTA DE PRECIOS'!E1138,"")</f>
        <v/>
      </c>
      <c r="F1124" t="str">
        <f>IF('LISTA DE PRECIOS'!$H1138&gt;0,'LISTA DE PRECIOS'!F1138,"")</f>
        <v/>
      </c>
      <c r="G1124" s="31" t="str">
        <f>IF('LISTA DE PRECIOS'!$H1138&gt;0,'LISTA DE PRECIOS'!G1138,"")</f>
        <v/>
      </c>
      <c r="H1124" s="67" t="str">
        <f>IF('LISTA DE PRECIOS'!$H1138&gt;0,'LISTA DE PRECIOS'!H1138,"")</f>
        <v/>
      </c>
      <c r="I1124" s="31" t="str">
        <f t="shared" si="16"/>
        <v/>
      </c>
    </row>
    <row r="1125" spans="1:9">
      <c r="A1125" t="str">
        <f>IF('LISTA DE PRECIOS'!$H1139&gt;0,'LISTA DE PRECIOS'!A1139,"")</f>
        <v/>
      </c>
      <c r="B1125" t="str">
        <f>IF('LISTA DE PRECIOS'!$H1139&gt;0,'LISTA DE PRECIOS'!B1139,"")</f>
        <v/>
      </c>
      <c r="C1125" t="str">
        <f>IF('LISTA DE PRECIOS'!$H1139&gt;0,'LISTA DE PRECIOS'!C1139,"")</f>
        <v/>
      </c>
      <c r="D1125" s="67" t="str">
        <f>IF('LISTA DE PRECIOS'!$H1139&gt;0,'LISTA DE PRECIOS'!D1139,"")</f>
        <v/>
      </c>
      <c r="E1125" t="str">
        <f>IF('LISTA DE PRECIOS'!$H1139&gt;0,'LISTA DE PRECIOS'!E1139,"")</f>
        <v/>
      </c>
      <c r="F1125" t="str">
        <f>IF('LISTA DE PRECIOS'!$H1139&gt;0,'LISTA DE PRECIOS'!F1139,"")</f>
        <v/>
      </c>
      <c r="G1125" s="31" t="str">
        <f>IF('LISTA DE PRECIOS'!$H1139&gt;0,'LISTA DE PRECIOS'!G1139,"")</f>
        <v/>
      </c>
      <c r="H1125" s="67" t="str">
        <f>IF('LISTA DE PRECIOS'!$H1139&gt;0,'LISTA DE PRECIOS'!H1139,"")</f>
        <v/>
      </c>
      <c r="I1125" s="31" t="str">
        <f t="shared" si="16"/>
        <v/>
      </c>
    </row>
    <row r="1126" spans="1:9">
      <c r="A1126" t="str">
        <f>IF('LISTA DE PRECIOS'!$H1140&gt;0,'LISTA DE PRECIOS'!A1140,"")</f>
        <v/>
      </c>
      <c r="B1126" t="str">
        <f>IF('LISTA DE PRECIOS'!$H1140&gt;0,'LISTA DE PRECIOS'!B1140,"")</f>
        <v/>
      </c>
      <c r="C1126" t="str">
        <f>IF('LISTA DE PRECIOS'!$H1140&gt;0,'LISTA DE PRECIOS'!C1140,"")</f>
        <v/>
      </c>
      <c r="D1126" s="67" t="str">
        <f>IF('LISTA DE PRECIOS'!$H1140&gt;0,'LISTA DE PRECIOS'!D1140,"")</f>
        <v/>
      </c>
      <c r="E1126" t="str">
        <f>IF('LISTA DE PRECIOS'!$H1140&gt;0,'LISTA DE PRECIOS'!E1140,"")</f>
        <v/>
      </c>
      <c r="F1126" t="str">
        <f>IF('LISTA DE PRECIOS'!$H1140&gt;0,'LISTA DE PRECIOS'!F1140,"")</f>
        <v/>
      </c>
      <c r="G1126" s="31" t="str">
        <f>IF('LISTA DE PRECIOS'!$H1140&gt;0,'LISTA DE PRECIOS'!G1140,"")</f>
        <v/>
      </c>
      <c r="H1126" s="67" t="str">
        <f>IF('LISTA DE PRECIOS'!$H1140&gt;0,'LISTA DE PRECIOS'!H1140,"")</f>
        <v/>
      </c>
      <c r="I1126" s="31" t="str">
        <f t="shared" si="16"/>
        <v/>
      </c>
    </row>
    <row r="1127" spans="1:9">
      <c r="A1127" t="str">
        <f>IF('LISTA DE PRECIOS'!$H1141&gt;0,'LISTA DE PRECIOS'!A1141,"")</f>
        <v/>
      </c>
      <c r="B1127" t="str">
        <f>IF('LISTA DE PRECIOS'!$H1141&gt;0,'LISTA DE PRECIOS'!B1141,"")</f>
        <v/>
      </c>
      <c r="C1127" t="str">
        <f>IF('LISTA DE PRECIOS'!$H1141&gt;0,'LISTA DE PRECIOS'!C1141,"")</f>
        <v/>
      </c>
      <c r="D1127" s="67" t="str">
        <f>IF('LISTA DE PRECIOS'!$H1141&gt;0,'LISTA DE PRECIOS'!D1141,"")</f>
        <v/>
      </c>
      <c r="E1127" t="str">
        <f>IF('LISTA DE PRECIOS'!$H1141&gt;0,'LISTA DE PRECIOS'!E1141,"")</f>
        <v/>
      </c>
      <c r="F1127" t="str">
        <f>IF('LISTA DE PRECIOS'!$H1141&gt;0,'LISTA DE PRECIOS'!F1141,"")</f>
        <v/>
      </c>
      <c r="G1127" s="31" t="str">
        <f>IF('LISTA DE PRECIOS'!$H1141&gt;0,'LISTA DE PRECIOS'!G1141,"")</f>
        <v/>
      </c>
      <c r="H1127" s="67" t="str">
        <f>IF('LISTA DE PRECIOS'!$H1141&gt;0,'LISTA DE PRECIOS'!H1141,"")</f>
        <v/>
      </c>
      <c r="I1127" s="31" t="str">
        <f t="shared" si="16"/>
        <v/>
      </c>
    </row>
    <row r="1128" spans="1:9">
      <c r="A1128" t="str">
        <f>IF('LISTA DE PRECIOS'!$H1142&gt;0,'LISTA DE PRECIOS'!A1142,"")</f>
        <v/>
      </c>
      <c r="B1128" t="str">
        <f>IF('LISTA DE PRECIOS'!$H1142&gt;0,'LISTA DE PRECIOS'!B1142,"")</f>
        <v/>
      </c>
      <c r="C1128" t="str">
        <f>IF('LISTA DE PRECIOS'!$H1142&gt;0,'LISTA DE PRECIOS'!C1142,"")</f>
        <v/>
      </c>
      <c r="D1128" s="67" t="str">
        <f>IF('LISTA DE PRECIOS'!$H1142&gt;0,'LISTA DE PRECIOS'!D1142,"")</f>
        <v/>
      </c>
      <c r="E1128" t="str">
        <f>IF('LISTA DE PRECIOS'!$H1142&gt;0,'LISTA DE PRECIOS'!E1142,"")</f>
        <v/>
      </c>
      <c r="F1128" t="str">
        <f>IF('LISTA DE PRECIOS'!$H1142&gt;0,'LISTA DE PRECIOS'!F1142,"")</f>
        <v/>
      </c>
      <c r="G1128" s="31" t="str">
        <f>IF('LISTA DE PRECIOS'!$H1142&gt;0,'LISTA DE PRECIOS'!G1142,"")</f>
        <v/>
      </c>
      <c r="H1128" s="67" t="str">
        <f>IF('LISTA DE PRECIOS'!$H1142&gt;0,'LISTA DE PRECIOS'!H1142,"")</f>
        <v/>
      </c>
      <c r="I1128" s="31" t="str">
        <f t="shared" si="16"/>
        <v/>
      </c>
    </row>
    <row r="1129" spans="1:9">
      <c r="A1129" t="str">
        <f>IF('LISTA DE PRECIOS'!$H1143&gt;0,'LISTA DE PRECIOS'!A1143,"")</f>
        <v/>
      </c>
      <c r="B1129" t="str">
        <f>IF('LISTA DE PRECIOS'!$H1143&gt;0,'LISTA DE PRECIOS'!B1143,"")</f>
        <v/>
      </c>
      <c r="C1129" t="str">
        <f>IF('LISTA DE PRECIOS'!$H1143&gt;0,'LISTA DE PRECIOS'!C1143,"")</f>
        <v/>
      </c>
      <c r="D1129" s="67" t="str">
        <f>IF('LISTA DE PRECIOS'!$H1143&gt;0,'LISTA DE PRECIOS'!D1143,"")</f>
        <v/>
      </c>
      <c r="E1129" t="str">
        <f>IF('LISTA DE PRECIOS'!$H1143&gt;0,'LISTA DE PRECIOS'!E1143,"")</f>
        <v/>
      </c>
      <c r="F1129" t="str">
        <f>IF('LISTA DE PRECIOS'!$H1143&gt;0,'LISTA DE PRECIOS'!F1143,"")</f>
        <v/>
      </c>
      <c r="G1129" s="31" t="str">
        <f>IF('LISTA DE PRECIOS'!$H1143&gt;0,'LISTA DE PRECIOS'!G1143,"")</f>
        <v/>
      </c>
      <c r="H1129" s="67" t="str">
        <f>IF('LISTA DE PRECIOS'!$H1143&gt;0,'LISTA DE PRECIOS'!H1143,"")</f>
        <v/>
      </c>
      <c r="I1129" s="31" t="str">
        <f t="shared" si="16"/>
        <v/>
      </c>
    </row>
    <row r="1130" spans="1:9">
      <c r="A1130" t="str">
        <f>IF('LISTA DE PRECIOS'!$H1144&gt;0,'LISTA DE PRECIOS'!A1144,"")</f>
        <v/>
      </c>
      <c r="B1130" t="str">
        <f>IF('LISTA DE PRECIOS'!$H1144&gt;0,'LISTA DE PRECIOS'!B1144,"")</f>
        <v/>
      </c>
      <c r="C1130" t="str">
        <f>IF('LISTA DE PRECIOS'!$H1144&gt;0,'LISTA DE PRECIOS'!C1144,"")</f>
        <v/>
      </c>
      <c r="D1130" s="67" t="str">
        <f>IF('LISTA DE PRECIOS'!$H1144&gt;0,'LISTA DE PRECIOS'!D1144,"")</f>
        <v/>
      </c>
      <c r="E1130" t="str">
        <f>IF('LISTA DE PRECIOS'!$H1144&gt;0,'LISTA DE PRECIOS'!E1144,"")</f>
        <v/>
      </c>
      <c r="F1130" t="str">
        <f>IF('LISTA DE PRECIOS'!$H1144&gt;0,'LISTA DE PRECIOS'!F1144,"")</f>
        <v/>
      </c>
      <c r="G1130" s="31" t="str">
        <f>IF('LISTA DE PRECIOS'!$H1144&gt;0,'LISTA DE PRECIOS'!G1144,"")</f>
        <v/>
      </c>
      <c r="H1130" s="67" t="str">
        <f>IF('LISTA DE PRECIOS'!$H1144&gt;0,'LISTA DE PRECIOS'!H1144,"")</f>
        <v/>
      </c>
      <c r="I1130" s="31" t="str">
        <f t="shared" si="16"/>
        <v/>
      </c>
    </row>
    <row r="1131" spans="1:9">
      <c r="A1131" t="str">
        <f>IF('LISTA DE PRECIOS'!$H1145&gt;0,'LISTA DE PRECIOS'!A1145,"")</f>
        <v/>
      </c>
      <c r="B1131" t="str">
        <f>IF('LISTA DE PRECIOS'!$H1145&gt;0,'LISTA DE PRECIOS'!B1145,"")</f>
        <v/>
      </c>
      <c r="C1131" t="str">
        <f>IF('LISTA DE PRECIOS'!$H1145&gt;0,'LISTA DE PRECIOS'!C1145,"")</f>
        <v/>
      </c>
      <c r="D1131" s="67" t="str">
        <f>IF('LISTA DE PRECIOS'!$H1145&gt;0,'LISTA DE PRECIOS'!D1145,"")</f>
        <v/>
      </c>
      <c r="E1131" t="str">
        <f>IF('LISTA DE PRECIOS'!$H1145&gt;0,'LISTA DE PRECIOS'!E1145,"")</f>
        <v/>
      </c>
      <c r="F1131" t="str">
        <f>IF('LISTA DE PRECIOS'!$H1145&gt;0,'LISTA DE PRECIOS'!F1145,"")</f>
        <v/>
      </c>
      <c r="G1131" s="31" t="str">
        <f>IF('LISTA DE PRECIOS'!$H1145&gt;0,'LISTA DE PRECIOS'!G1145,"")</f>
        <v/>
      </c>
      <c r="H1131" s="67" t="str">
        <f>IF('LISTA DE PRECIOS'!$H1145&gt;0,'LISTA DE PRECIOS'!H1145,"")</f>
        <v/>
      </c>
      <c r="I1131" s="31" t="str">
        <f t="shared" si="16"/>
        <v/>
      </c>
    </row>
    <row r="1132" spans="1:9">
      <c r="A1132" t="str">
        <f>IF('LISTA DE PRECIOS'!$H1146&gt;0,'LISTA DE PRECIOS'!A1146,"")</f>
        <v/>
      </c>
      <c r="B1132" t="str">
        <f>IF('LISTA DE PRECIOS'!$H1146&gt;0,'LISTA DE PRECIOS'!B1146,"")</f>
        <v/>
      </c>
      <c r="C1132" t="str">
        <f>IF('LISTA DE PRECIOS'!$H1146&gt;0,'LISTA DE PRECIOS'!C1146,"")</f>
        <v/>
      </c>
      <c r="D1132" s="67" t="str">
        <f>IF('LISTA DE PRECIOS'!$H1146&gt;0,'LISTA DE PRECIOS'!D1146,"")</f>
        <v/>
      </c>
      <c r="E1132" t="str">
        <f>IF('LISTA DE PRECIOS'!$H1146&gt;0,'LISTA DE PRECIOS'!E1146,"")</f>
        <v/>
      </c>
      <c r="F1132" t="str">
        <f>IF('LISTA DE PRECIOS'!$H1146&gt;0,'LISTA DE PRECIOS'!F1146,"")</f>
        <v/>
      </c>
      <c r="G1132" s="31" t="str">
        <f>IF('LISTA DE PRECIOS'!$H1146&gt;0,'LISTA DE PRECIOS'!G1146,"")</f>
        <v/>
      </c>
      <c r="H1132" s="67" t="str">
        <f>IF('LISTA DE PRECIOS'!$H1146&gt;0,'LISTA DE PRECIOS'!H1146,"")</f>
        <v/>
      </c>
      <c r="I1132" s="31" t="str">
        <f t="shared" si="16"/>
        <v/>
      </c>
    </row>
    <row r="1133" spans="1:9">
      <c r="A1133" t="str">
        <f>IF('LISTA DE PRECIOS'!$H1147&gt;0,'LISTA DE PRECIOS'!A1147,"")</f>
        <v/>
      </c>
      <c r="B1133" t="str">
        <f>IF('LISTA DE PRECIOS'!$H1147&gt;0,'LISTA DE PRECIOS'!B1147,"")</f>
        <v/>
      </c>
      <c r="C1133" t="str">
        <f>IF('LISTA DE PRECIOS'!$H1147&gt;0,'LISTA DE PRECIOS'!C1147,"")</f>
        <v/>
      </c>
      <c r="D1133" s="67" t="str">
        <f>IF('LISTA DE PRECIOS'!$H1147&gt;0,'LISTA DE PRECIOS'!D1147,"")</f>
        <v/>
      </c>
      <c r="E1133" t="str">
        <f>IF('LISTA DE PRECIOS'!$H1147&gt;0,'LISTA DE PRECIOS'!E1147,"")</f>
        <v/>
      </c>
      <c r="F1133" t="str">
        <f>IF('LISTA DE PRECIOS'!$H1147&gt;0,'LISTA DE PRECIOS'!F1147,"")</f>
        <v/>
      </c>
      <c r="G1133" s="31" t="str">
        <f>IF('LISTA DE PRECIOS'!$H1147&gt;0,'LISTA DE PRECIOS'!G1147,"")</f>
        <v/>
      </c>
      <c r="H1133" s="67" t="str">
        <f>IF('LISTA DE PRECIOS'!$H1147&gt;0,'LISTA DE PRECIOS'!H1147,"")</f>
        <v/>
      </c>
      <c r="I1133" s="31" t="str">
        <f t="shared" si="16"/>
        <v/>
      </c>
    </row>
    <row r="1134" spans="1:9">
      <c r="A1134" t="str">
        <f>IF('LISTA DE PRECIOS'!$H1148&gt;0,'LISTA DE PRECIOS'!A1148,"")</f>
        <v/>
      </c>
      <c r="B1134" t="str">
        <f>IF('LISTA DE PRECIOS'!$H1148&gt;0,'LISTA DE PRECIOS'!B1148,"")</f>
        <v/>
      </c>
      <c r="C1134" t="str">
        <f>IF('LISTA DE PRECIOS'!$H1148&gt;0,'LISTA DE PRECIOS'!C1148,"")</f>
        <v/>
      </c>
      <c r="D1134" s="67" t="str">
        <f>IF('LISTA DE PRECIOS'!$H1148&gt;0,'LISTA DE PRECIOS'!D1148,"")</f>
        <v/>
      </c>
      <c r="E1134" t="str">
        <f>IF('LISTA DE PRECIOS'!$H1148&gt;0,'LISTA DE PRECIOS'!E1148,"")</f>
        <v/>
      </c>
      <c r="F1134" t="str">
        <f>IF('LISTA DE PRECIOS'!$H1148&gt;0,'LISTA DE PRECIOS'!F1148,"")</f>
        <v/>
      </c>
      <c r="G1134" s="31" t="str">
        <f>IF('LISTA DE PRECIOS'!$H1148&gt;0,'LISTA DE PRECIOS'!G1148,"")</f>
        <v/>
      </c>
      <c r="H1134" s="67" t="str">
        <f>IF('LISTA DE PRECIOS'!$H1148&gt;0,'LISTA DE PRECIOS'!H1148,"")</f>
        <v/>
      </c>
      <c r="I1134" s="31" t="str">
        <f t="shared" si="16"/>
        <v/>
      </c>
    </row>
    <row r="1135" spans="1:9">
      <c r="A1135" t="str">
        <f>IF('LISTA DE PRECIOS'!$H1149&gt;0,'LISTA DE PRECIOS'!A1149,"")</f>
        <v/>
      </c>
      <c r="B1135" t="str">
        <f>IF('LISTA DE PRECIOS'!$H1149&gt;0,'LISTA DE PRECIOS'!B1149,"")</f>
        <v/>
      </c>
      <c r="C1135" t="str">
        <f>IF('LISTA DE PRECIOS'!$H1149&gt;0,'LISTA DE PRECIOS'!C1149,"")</f>
        <v/>
      </c>
      <c r="D1135" s="67" t="str">
        <f>IF('LISTA DE PRECIOS'!$H1149&gt;0,'LISTA DE PRECIOS'!D1149,"")</f>
        <v/>
      </c>
      <c r="E1135" t="str">
        <f>IF('LISTA DE PRECIOS'!$H1149&gt;0,'LISTA DE PRECIOS'!E1149,"")</f>
        <v/>
      </c>
      <c r="F1135" t="str">
        <f>IF('LISTA DE PRECIOS'!$H1149&gt;0,'LISTA DE PRECIOS'!F1149,"")</f>
        <v/>
      </c>
      <c r="G1135" s="31" t="str">
        <f>IF('LISTA DE PRECIOS'!$H1149&gt;0,'LISTA DE PRECIOS'!G1149,"")</f>
        <v/>
      </c>
      <c r="H1135" s="67" t="str">
        <f>IF('LISTA DE PRECIOS'!$H1149&gt;0,'LISTA DE PRECIOS'!H1149,"")</f>
        <v/>
      </c>
      <c r="I1135" s="31" t="str">
        <f t="shared" si="16"/>
        <v/>
      </c>
    </row>
    <row r="1136" spans="1:9">
      <c r="A1136" t="str">
        <f>IF('LISTA DE PRECIOS'!$H1150&gt;0,'LISTA DE PRECIOS'!A1150,"")</f>
        <v/>
      </c>
      <c r="B1136" t="str">
        <f>IF('LISTA DE PRECIOS'!$H1150&gt;0,'LISTA DE PRECIOS'!B1150,"")</f>
        <v/>
      </c>
      <c r="C1136" t="str">
        <f>IF('LISTA DE PRECIOS'!$H1150&gt;0,'LISTA DE PRECIOS'!C1150,"")</f>
        <v/>
      </c>
      <c r="D1136" s="67" t="str">
        <f>IF('LISTA DE PRECIOS'!$H1150&gt;0,'LISTA DE PRECIOS'!D1150,"")</f>
        <v/>
      </c>
      <c r="E1136" t="str">
        <f>IF('LISTA DE PRECIOS'!$H1150&gt;0,'LISTA DE PRECIOS'!E1150,"")</f>
        <v/>
      </c>
      <c r="F1136" t="str">
        <f>IF('LISTA DE PRECIOS'!$H1150&gt;0,'LISTA DE PRECIOS'!F1150,"")</f>
        <v/>
      </c>
      <c r="G1136" s="31" t="str">
        <f>IF('LISTA DE PRECIOS'!$H1150&gt;0,'LISTA DE PRECIOS'!G1150,"")</f>
        <v/>
      </c>
      <c r="H1136" s="67" t="str">
        <f>IF('LISTA DE PRECIOS'!$H1150&gt;0,'LISTA DE PRECIOS'!H1150,"")</f>
        <v/>
      </c>
      <c r="I1136" s="31" t="str">
        <f t="shared" si="16"/>
        <v/>
      </c>
    </row>
    <row r="1137" spans="1:9">
      <c r="A1137" t="str">
        <f>IF('LISTA DE PRECIOS'!$H1151&gt;0,'LISTA DE PRECIOS'!A1151,"")</f>
        <v/>
      </c>
      <c r="B1137" t="str">
        <f>IF('LISTA DE PRECIOS'!$H1151&gt;0,'LISTA DE PRECIOS'!B1151,"")</f>
        <v/>
      </c>
      <c r="C1137" t="str">
        <f>IF('LISTA DE PRECIOS'!$H1151&gt;0,'LISTA DE PRECIOS'!C1151,"")</f>
        <v/>
      </c>
      <c r="D1137" s="67" t="str">
        <f>IF('LISTA DE PRECIOS'!$H1151&gt;0,'LISTA DE PRECIOS'!D1151,"")</f>
        <v/>
      </c>
      <c r="E1137" t="str">
        <f>IF('LISTA DE PRECIOS'!$H1151&gt;0,'LISTA DE PRECIOS'!E1151,"")</f>
        <v/>
      </c>
      <c r="F1137" t="str">
        <f>IF('LISTA DE PRECIOS'!$H1151&gt;0,'LISTA DE PRECIOS'!F1151,"")</f>
        <v/>
      </c>
      <c r="G1137" s="31" t="str">
        <f>IF('LISTA DE PRECIOS'!$H1151&gt;0,'LISTA DE PRECIOS'!G1151,"")</f>
        <v/>
      </c>
      <c r="H1137" s="67" t="str">
        <f>IF('LISTA DE PRECIOS'!$H1151&gt;0,'LISTA DE PRECIOS'!H1151,"")</f>
        <v/>
      </c>
      <c r="I1137" s="31" t="str">
        <f t="shared" si="16"/>
        <v/>
      </c>
    </row>
    <row r="1138" spans="1:9">
      <c r="A1138" t="str">
        <f>IF('LISTA DE PRECIOS'!$H1152&gt;0,'LISTA DE PRECIOS'!A1152,"")</f>
        <v/>
      </c>
      <c r="B1138" t="str">
        <f>IF('LISTA DE PRECIOS'!$H1152&gt;0,'LISTA DE PRECIOS'!B1152,"")</f>
        <v/>
      </c>
      <c r="C1138" t="str">
        <f>IF('LISTA DE PRECIOS'!$H1152&gt;0,'LISTA DE PRECIOS'!C1152,"")</f>
        <v/>
      </c>
      <c r="D1138" s="67" t="str">
        <f>IF('LISTA DE PRECIOS'!$H1152&gt;0,'LISTA DE PRECIOS'!D1152,"")</f>
        <v/>
      </c>
      <c r="E1138" t="str">
        <f>IF('LISTA DE PRECIOS'!$H1152&gt;0,'LISTA DE PRECIOS'!E1152,"")</f>
        <v/>
      </c>
      <c r="F1138" t="str">
        <f>IF('LISTA DE PRECIOS'!$H1152&gt;0,'LISTA DE PRECIOS'!F1152,"")</f>
        <v/>
      </c>
      <c r="G1138" s="31" t="str">
        <f>IF('LISTA DE PRECIOS'!$H1152&gt;0,'LISTA DE PRECIOS'!G1152,"")</f>
        <v/>
      </c>
      <c r="H1138" s="67" t="str">
        <f>IF('LISTA DE PRECIOS'!$H1152&gt;0,'LISTA DE PRECIOS'!H1152,"")</f>
        <v/>
      </c>
      <c r="I1138" s="31" t="str">
        <f t="shared" si="16"/>
        <v/>
      </c>
    </row>
    <row r="1139" spans="1:9">
      <c r="A1139" t="str">
        <f>IF('LISTA DE PRECIOS'!$H1153&gt;0,'LISTA DE PRECIOS'!A1153,"")</f>
        <v/>
      </c>
      <c r="B1139" t="str">
        <f>IF('LISTA DE PRECIOS'!$H1153&gt;0,'LISTA DE PRECIOS'!B1153,"")</f>
        <v/>
      </c>
      <c r="C1139" t="str">
        <f>IF('LISTA DE PRECIOS'!$H1153&gt;0,'LISTA DE PRECIOS'!C1153,"")</f>
        <v/>
      </c>
      <c r="D1139" s="67" t="str">
        <f>IF('LISTA DE PRECIOS'!$H1153&gt;0,'LISTA DE PRECIOS'!D1153,"")</f>
        <v/>
      </c>
      <c r="E1139" t="str">
        <f>IF('LISTA DE PRECIOS'!$H1153&gt;0,'LISTA DE PRECIOS'!E1153,"")</f>
        <v/>
      </c>
      <c r="F1139" t="str">
        <f>IF('LISTA DE PRECIOS'!$H1153&gt;0,'LISTA DE PRECIOS'!F1153,"")</f>
        <v/>
      </c>
      <c r="G1139" s="31" t="str">
        <f>IF('LISTA DE PRECIOS'!$H1153&gt;0,'LISTA DE PRECIOS'!G1153,"")</f>
        <v/>
      </c>
      <c r="H1139" s="67" t="str">
        <f>IF('LISTA DE PRECIOS'!$H1153&gt;0,'LISTA DE PRECIOS'!H1153,"")</f>
        <v/>
      </c>
      <c r="I1139" s="31" t="str">
        <f t="shared" si="16"/>
        <v/>
      </c>
    </row>
    <row r="1140" spans="1:9">
      <c r="A1140" t="str">
        <f>IF('LISTA DE PRECIOS'!$H1154&gt;0,'LISTA DE PRECIOS'!A1154,"")</f>
        <v/>
      </c>
      <c r="B1140" t="str">
        <f>IF('LISTA DE PRECIOS'!$H1154&gt;0,'LISTA DE PRECIOS'!B1154,"")</f>
        <v/>
      </c>
      <c r="C1140" t="str">
        <f>IF('LISTA DE PRECIOS'!$H1154&gt;0,'LISTA DE PRECIOS'!C1154,"")</f>
        <v/>
      </c>
      <c r="D1140" s="67" t="str">
        <f>IF('LISTA DE PRECIOS'!$H1154&gt;0,'LISTA DE PRECIOS'!D1154,"")</f>
        <v/>
      </c>
      <c r="E1140" t="str">
        <f>IF('LISTA DE PRECIOS'!$H1154&gt;0,'LISTA DE PRECIOS'!E1154,"")</f>
        <v/>
      </c>
      <c r="F1140" t="str">
        <f>IF('LISTA DE PRECIOS'!$H1154&gt;0,'LISTA DE PRECIOS'!F1154,"")</f>
        <v/>
      </c>
      <c r="G1140" s="31" t="str">
        <f>IF('LISTA DE PRECIOS'!$H1154&gt;0,'LISTA DE PRECIOS'!G1154,"")</f>
        <v/>
      </c>
      <c r="H1140" s="67" t="str">
        <f>IF('LISTA DE PRECIOS'!$H1154&gt;0,'LISTA DE PRECIOS'!H1154,"")</f>
        <v/>
      </c>
      <c r="I1140" s="31" t="str">
        <f t="shared" si="16"/>
        <v/>
      </c>
    </row>
    <row r="1141" spans="1:9">
      <c r="A1141" t="str">
        <f>IF('LISTA DE PRECIOS'!$H1155&gt;0,'LISTA DE PRECIOS'!A1155,"")</f>
        <v/>
      </c>
      <c r="B1141" t="str">
        <f>IF('LISTA DE PRECIOS'!$H1155&gt;0,'LISTA DE PRECIOS'!B1155,"")</f>
        <v/>
      </c>
      <c r="C1141" t="str">
        <f>IF('LISTA DE PRECIOS'!$H1155&gt;0,'LISTA DE PRECIOS'!C1155,"")</f>
        <v/>
      </c>
      <c r="D1141" s="67" t="str">
        <f>IF('LISTA DE PRECIOS'!$H1155&gt;0,'LISTA DE PRECIOS'!D1155,"")</f>
        <v/>
      </c>
      <c r="E1141" t="str">
        <f>IF('LISTA DE PRECIOS'!$H1155&gt;0,'LISTA DE PRECIOS'!E1155,"")</f>
        <v/>
      </c>
      <c r="F1141" t="str">
        <f>IF('LISTA DE PRECIOS'!$H1155&gt;0,'LISTA DE PRECIOS'!F1155,"")</f>
        <v/>
      </c>
      <c r="G1141" s="31" t="str">
        <f>IF('LISTA DE PRECIOS'!$H1155&gt;0,'LISTA DE PRECIOS'!G1155,"")</f>
        <v/>
      </c>
      <c r="H1141" s="67" t="str">
        <f>IF('LISTA DE PRECIOS'!$H1155&gt;0,'LISTA DE PRECIOS'!H1155,"")</f>
        <v/>
      </c>
      <c r="I1141" s="31" t="str">
        <f t="shared" si="16"/>
        <v/>
      </c>
    </row>
    <row r="1142" spans="1:9">
      <c r="A1142" t="str">
        <f>IF('LISTA DE PRECIOS'!$H1156&gt;0,'LISTA DE PRECIOS'!A1156,"")</f>
        <v/>
      </c>
      <c r="B1142" t="str">
        <f>IF('LISTA DE PRECIOS'!$H1156&gt;0,'LISTA DE PRECIOS'!B1156,"")</f>
        <v/>
      </c>
      <c r="C1142" t="str">
        <f>IF('LISTA DE PRECIOS'!$H1156&gt;0,'LISTA DE PRECIOS'!C1156,"")</f>
        <v/>
      </c>
      <c r="D1142" s="67" t="str">
        <f>IF('LISTA DE PRECIOS'!$H1156&gt;0,'LISTA DE PRECIOS'!D1156,"")</f>
        <v/>
      </c>
      <c r="E1142" t="str">
        <f>IF('LISTA DE PRECIOS'!$H1156&gt;0,'LISTA DE PRECIOS'!E1156,"")</f>
        <v/>
      </c>
      <c r="F1142" t="str">
        <f>IF('LISTA DE PRECIOS'!$H1156&gt;0,'LISTA DE PRECIOS'!F1156,"")</f>
        <v/>
      </c>
      <c r="G1142" s="31" t="str">
        <f>IF('LISTA DE PRECIOS'!$H1156&gt;0,'LISTA DE PRECIOS'!G1156,"")</f>
        <v/>
      </c>
      <c r="H1142" s="67" t="str">
        <f>IF('LISTA DE PRECIOS'!$H1156&gt;0,'LISTA DE PRECIOS'!H1156,"")</f>
        <v/>
      </c>
      <c r="I1142" s="31" t="str">
        <f t="shared" si="16"/>
        <v/>
      </c>
    </row>
    <row r="1143" spans="1:9">
      <c r="A1143" t="str">
        <f>IF('LISTA DE PRECIOS'!$H1157&gt;0,'LISTA DE PRECIOS'!A1157,"")</f>
        <v/>
      </c>
      <c r="B1143" t="str">
        <f>IF('LISTA DE PRECIOS'!$H1157&gt;0,'LISTA DE PRECIOS'!B1157,"")</f>
        <v/>
      </c>
      <c r="C1143" t="str">
        <f>IF('LISTA DE PRECIOS'!$H1157&gt;0,'LISTA DE PRECIOS'!C1157,"")</f>
        <v/>
      </c>
      <c r="D1143" s="67" t="str">
        <f>IF('LISTA DE PRECIOS'!$H1157&gt;0,'LISTA DE PRECIOS'!D1157,"")</f>
        <v/>
      </c>
      <c r="E1143" t="str">
        <f>IF('LISTA DE PRECIOS'!$H1157&gt;0,'LISTA DE PRECIOS'!E1157,"")</f>
        <v/>
      </c>
      <c r="F1143" t="str">
        <f>IF('LISTA DE PRECIOS'!$H1157&gt;0,'LISTA DE PRECIOS'!F1157,"")</f>
        <v/>
      </c>
      <c r="G1143" s="31" t="str">
        <f>IF('LISTA DE PRECIOS'!$H1157&gt;0,'LISTA DE PRECIOS'!G1157,"")</f>
        <v/>
      </c>
      <c r="H1143" s="67" t="str">
        <f>IF('LISTA DE PRECIOS'!$H1157&gt;0,'LISTA DE PRECIOS'!H1157,"")</f>
        <v/>
      </c>
      <c r="I1143" s="31" t="str">
        <f t="shared" si="16"/>
        <v/>
      </c>
    </row>
    <row r="1144" spans="1:9">
      <c r="A1144" t="str">
        <f>IF('LISTA DE PRECIOS'!$H1158&gt;0,'LISTA DE PRECIOS'!A1158,"")</f>
        <v/>
      </c>
      <c r="B1144" t="str">
        <f>IF('LISTA DE PRECIOS'!$H1158&gt;0,'LISTA DE PRECIOS'!B1158,"")</f>
        <v/>
      </c>
      <c r="C1144" t="str">
        <f>IF('LISTA DE PRECIOS'!$H1158&gt;0,'LISTA DE PRECIOS'!C1158,"")</f>
        <v/>
      </c>
      <c r="D1144" s="67" t="str">
        <f>IF('LISTA DE PRECIOS'!$H1158&gt;0,'LISTA DE PRECIOS'!D1158,"")</f>
        <v/>
      </c>
      <c r="E1144" t="str">
        <f>IF('LISTA DE PRECIOS'!$H1158&gt;0,'LISTA DE PRECIOS'!E1158,"")</f>
        <v/>
      </c>
      <c r="F1144" t="str">
        <f>IF('LISTA DE PRECIOS'!$H1158&gt;0,'LISTA DE PRECIOS'!F1158,"")</f>
        <v/>
      </c>
      <c r="G1144" s="31" t="str">
        <f>IF('LISTA DE PRECIOS'!$H1158&gt;0,'LISTA DE PRECIOS'!G1158,"")</f>
        <v/>
      </c>
      <c r="H1144" s="67" t="str">
        <f>IF('LISTA DE PRECIOS'!$H1158&gt;0,'LISTA DE PRECIOS'!H1158,"")</f>
        <v/>
      </c>
      <c r="I1144" s="31" t="str">
        <f t="shared" si="16"/>
        <v/>
      </c>
    </row>
    <row r="1145" spans="1:9">
      <c r="A1145" t="str">
        <f>IF('LISTA DE PRECIOS'!$H1159&gt;0,'LISTA DE PRECIOS'!A1159,"")</f>
        <v/>
      </c>
      <c r="B1145" t="str">
        <f>IF('LISTA DE PRECIOS'!$H1159&gt;0,'LISTA DE PRECIOS'!B1159,"")</f>
        <v/>
      </c>
      <c r="C1145" t="str">
        <f>IF('LISTA DE PRECIOS'!$H1159&gt;0,'LISTA DE PRECIOS'!C1159,"")</f>
        <v/>
      </c>
      <c r="D1145" s="67" t="str">
        <f>IF('LISTA DE PRECIOS'!$H1159&gt;0,'LISTA DE PRECIOS'!D1159,"")</f>
        <v/>
      </c>
      <c r="E1145" t="str">
        <f>IF('LISTA DE PRECIOS'!$H1159&gt;0,'LISTA DE PRECIOS'!E1159,"")</f>
        <v/>
      </c>
      <c r="F1145" t="str">
        <f>IF('LISTA DE PRECIOS'!$H1159&gt;0,'LISTA DE PRECIOS'!F1159,"")</f>
        <v/>
      </c>
      <c r="G1145" s="31" t="str">
        <f>IF('LISTA DE PRECIOS'!$H1159&gt;0,'LISTA DE PRECIOS'!G1159,"")</f>
        <v/>
      </c>
      <c r="H1145" s="67" t="str">
        <f>IF('LISTA DE PRECIOS'!$H1159&gt;0,'LISTA DE PRECIOS'!H1159,"")</f>
        <v/>
      </c>
      <c r="I1145" s="31" t="str">
        <f t="shared" si="16"/>
        <v/>
      </c>
    </row>
    <row r="1146" spans="1:9">
      <c r="A1146" t="str">
        <f>IF('LISTA DE PRECIOS'!$H1160&gt;0,'LISTA DE PRECIOS'!A1160,"")</f>
        <v/>
      </c>
      <c r="B1146" t="str">
        <f>IF('LISTA DE PRECIOS'!$H1160&gt;0,'LISTA DE PRECIOS'!B1160,"")</f>
        <v/>
      </c>
      <c r="C1146" t="str">
        <f>IF('LISTA DE PRECIOS'!$H1160&gt;0,'LISTA DE PRECIOS'!C1160,"")</f>
        <v/>
      </c>
      <c r="D1146" s="67" t="str">
        <f>IF('LISTA DE PRECIOS'!$H1160&gt;0,'LISTA DE PRECIOS'!D1160,"")</f>
        <v/>
      </c>
      <c r="E1146" t="str">
        <f>IF('LISTA DE PRECIOS'!$H1160&gt;0,'LISTA DE PRECIOS'!E1160,"")</f>
        <v/>
      </c>
      <c r="F1146" t="str">
        <f>IF('LISTA DE PRECIOS'!$H1160&gt;0,'LISTA DE PRECIOS'!F1160,"")</f>
        <v/>
      </c>
      <c r="G1146" s="31" t="str">
        <f>IF('LISTA DE PRECIOS'!$H1160&gt;0,'LISTA DE PRECIOS'!G1160,"")</f>
        <v/>
      </c>
      <c r="H1146" s="67" t="str">
        <f>IF('LISTA DE PRECIOS'!$H1160&gt;0,'LISTA DE PRECIOS'!H1160,"")</f>
        <v/>
      </c>
      <c r="I1146" s="31" t="str">
        <f t="shared" si="16"/>
        <v/>
      </c>
    </row>
    <row r="1147" spans="1:9">
      <c r="A1147" t="str">
        <f>IF('LISTA DE PRECIOS'!$H1161&gt;0,'LISTA DE PRECIOS'!A1161,"")</f>
        <v/>
      </c>
      <c r="B1147" t="str">
        <f>IF('LISTA DE PRECIOS'!$H1161&gt;0,'LISTA DE PRECIOS'!B1161,"")</f>
        <v/>
      </c>
      <c r="C1147" t="str">
        <f>IF('LISTA DE PRECIOS'!$H1161&gt;0,'LISTA DE PRECIOS'!C1161,"")</f>
        <v/>
      </c>
      <c r="D1147" s="67" t="str">
        <f>IF('LISTA DE PRECIOS'!$H1161&gt;0,'LISTA DE PRECIOS'!D1161,"")</f>
        <v/>
      </c>
      <c r="E1147" t="str">
        <f>IF('LISTA DE PRECIOS'!$H1161&gt;0,'LISTA DE PRECIOS'!E1161,"")</f>
        <v/>
      </c>
      <c r="F1147" t="str">
        <f>IF('LISTA DE PRECIOS'!$H1161&gt;0,'LISTA DE PRECIOS'!F1161,"")</f>
        <v/>
      </c>
      <c r="G1147" s="31" t="str">
        <f>IF('LISTA DE PRECIOS'!$H1161&gt;0,'LISTA DE PRECIOS'!G1161,"")</f>
        <v/>
      </c>
      <c r="H1147" s="67" t="str">
        <f>IF('LISTA DE PRECIOS'!$H1161&gt;0,'LISTA DE PRECIOS'!H1161,"")</f>
        <v/>
      </c>
      <c r="I1147" s="31" t="str">
        <f t="shared" si="16"/>
        <v/>
      </c>
    </row>
    <row r="1148" spans="1:9">
      <c r="A1148" t="str">
        <f>IF('LISTA DE PRECIOS'!$H1162&gt;0,'LISTA DE PRECIOS'!A1162,"")</f>
        <v/>
      </c>
      <c r="B1148" t="str">
        <f>IF('LISTA DE PRECIOS'!$H1162&gt;0,'LISTA DE PRECIOS'!B1162,"")</f>
        <v/>
      </c>
      <c r="C1148" t="str">
        <f>IF('LISTA DE PRECIOS'!$H1162&gt;0,'LISTA DE PRECIOS'!C1162,"")</f>
        <v/>
      </c>
      <c r="D1148" s="67" t="str">
        <f>IF('LISTA DE PRECIOS'!$H1162&gt;0,'LISTA DE PRECIOS'!D1162,"")</f>
        <v/>
      </c>
      <c r="E1148" t="str">
        <f>IF('LISTA DE PRECIOS'!$H1162&gt;0,'LISTA DE PRECIOS'!E1162,"")</f>
        <v/>
      </c>
      <c r="F1148" t="str">
        <f>IF('LISTA DE PRECIOS'!$H1162&gt;0,'LISTA DE PRECIOS'!F1162,"")</f>
        <v/>
      </c>
      <c r="G1148" s="31" t="str">
        <f>IF('LISTA DE PRECIOS'!$H1162&gt;0,'LISTA DE PRECIOS'!G1162,"")</f>
        <v/>
      </c>
      <c r="H1148" s="67" t="str">
        <f>IF('LISTA DE PRECIOS'!$H1162&gt;0,'LISTA DE PRECIOS'!H1162,"")</f>
        <v/>
      </c>
      <c r="I1148" s="31" t="str">
        <f t="shared" si="16"/>
        <v/>
      </c>
    </row>
    <row r="1149" spans="1:9">
      <c r="A1149" t="str">
        <f>IF('LISTA DE PRECIOS'!$H1163&gt;0,'LISTA DE PRECIOS'!A1163,"")</f>
        <v/>
      </c>
      <c r="B1149" t="str">
        <f>IF('LISTA DE PRECIOS'!$H1163&gt;0,'LISTA DE PRECIOS'!B1163,"")</f>
        <v/>
      </c>
      <c r="C1149" t="str">
        <f>IF('LISTA DE PRECIOS'!$H1163&gt;0,'LISTA DE PRECIOS'!C1163,"")</f>
        <v/>
      </c>
      <c r="D1149" s="67" t="str">
        <f>IF('LISTA DE PRECIOS'!$H1163&gt;0,'LISTA DE PRECIOS'!D1163,"")</f>
        <v/>
      </c>
      <c r="E1149" t="str">
        <f>IF('LISTA DE PRECIOS'!$H1163&gt;0,'LISTA DE PRECIOS'!E1163,"")</f>
        <v/>
      </c>
      <c r="F1149" t="str">
        <f>IF('LISTA DE PRECIOS'!$H1163&gt;0,'LISTA DE PRECIOS'!F1163,"")</f>
        <v/>
      </c>
      <c r="G1149" s="31" t="str">
        <f>IF('LISTA DE PRECIOS'!$H1163&gt;0,'LISTA DE PRECIOS'!G1163,"")</f>
        <v/>
      </c>
      <c r="H1149" s="67" t="str">
        <f>IF('LISTA DE PRECIOS'!$H1163&gt;0,'LISTA DE PRECIOS'!H1163,"")</f>
        <v/>
      </c>
      <c r="I1149" s="31" t="str">
        <f t="shared" si="16"/>
        <v/>
      </c>
    </row>
    <row r="1150" spans="1:9">
      <c r="A1150" t="str">
        <f>IF('LISTA DE PRECIOS'!$H1164&gt;0,'LISTA DE PRECIOS'!A1164,"")</f>
        <v/>
      </c>
      <c r="B1150" t="str">
        <f>IF('LISTA DE PRECIOS'!$H1164&gt;0,'LISTA DE PRECIOS'!B1164,"")</f>
        <v/>
      </c>
      <c r="C1150" t="str">
        <f>IF('LISTA DE PRECIOS'!$H1164&gt;0,'LISTA DE PRECIOS'!C1164,"")</f>
        <v/>
      </c>
      <c r="D1150" s="67" t="str">
        <f>IF('LISTA DE PRECIOS'!$H1164&gt;0,'LISTA DE PRECIOS'!D1164,"")</f>
        <v/>
      </c>
      <c r="E1150" t="str">
        <f>IF('LISTA DE PRECIOS'!$H1164&gt;0,'LISTA DE PRECIOS'!E1164,"")</f>
        <v/>
      </c>
      <c r="F1150" t="str">
        <f>IF('LISTA DE PRECIOS'!$H1164&gt;0,'LISTA DE PRECIOS'!F1164,"")</f>
        <v/>
      </c>
      <c r="G1150" s="31" t="str">
        <f>IF('LISTA DE PRECIOS'!$H1164&gt;0,'LISTA DE PRECIOS'!G1164,"")</f>
        <v/>
      </c>
      <c r="H1150" s="67" t="str">
        <f>IF('LISTA DE PRECIOS'!$H1164&gt;0,'LISTA DE PRECIOS'!H1164,"")</f>
        <v/>
      </c>
      <c r="I1150" s="31" t="str">
        <f t="shared" si="16"/>
        <v/>
      </c>
    </row>
    <row r="1151" spans="1:9">
      <c r="A1151" t="str">
        <f>IF('LISTA DE PRECIOS'!$H1165&gt;0,'LISTA DE PRECIOS'!A1165,"")</f>
        <v/>
      </c>
      <c r="B1151" t="str">
        <f>IF('LISTA DE PRECIOS'!$H1165&gt;0,'LISTA DE PRECIOS'!B1165,"")</f>
        <v/>
      </c>
      <c r="C1151" t="str">
        <f>IF('LISTA DE PRECIOS'!$H1165&gt;0,'LISTA DE PRECIOS'!C1165,"")</f>
        <v/>
      </c>
      <c r="D1151" s="67" t="str">
        <f>IF('LISTA DE PRECIOS'!$H1165&gt;0,'LISTA DE PRECIOS'!D1165,"")</f>
        <v/>
      </c>
      <c r="E1151" t="str">
        <f>IF('LISTA DE PRECIOS'!$H1165&gt;0,'LISTA DE PRECIOS'!E1165,"")</f>
        <v/>
      </c>
      <c r="F1151" t="str">
        <f>IF('LISTA DE PRECIOS'!$H1165&gt;0,'LISTA DE PRECIOS'!F1165,"")</f>
        <v/>
      </c>
      <c r="G1151" s="31" t="str">
        <f>IF('LISTA DE PRECIOS'!$H1165&gt;0,'LISTA DE PRECIOS'!G1165,"")</f>
        <v/>
      </c>
      <c r="H1151" s="67" t="str">
        <f>IF('LISTA DE PRECIOS'!$H1165&gt;0,'LISTA DE PRECIOS'!H1165,"")</f>
        <v/>
      </c>
      <c r="I1151" s="31" t="str">
        <f t="shared" si="16"/>
        <v/>
      </c>
    </row>
    <row r="1152" spans="1:9">
      <c r="A1152" t="str">
        <f>IF('LISTA DE PRECIOS'!$H1166&gt;0,'LISTA DE PRECIOS'!A1166,"")</f>
        <v/>
      </c>
      <c r="B1152" t="str">
        <f>IF('LISTA DE PRECIOS'!$H1166&gt;0,'LISTA DE PRECIOS'!B1166,"")</f>
        <v/>
      </c>
      <c r="C1152" t="str">
        <f>IF('LISTA DE PRECIOS'!$H1166&gt;0,'LISTA DE PRECIOS'!C1166,"")</f>
        <v/>
      </c>
      <c r="D1152" s="67" t="str">
        <f>IF('LISTA DE PRECIOS'!$H1166&gt;0,'LISTA DE PRECIOS'!D1166,"")</f>
        <v/>
      </c>
      <c r="E1152" t="str">
        <f>IF('LISTA DE PRECIOS'!$H1166&gt;0,'LISTA DE PRECIOS'!E1166,"")</f>
        <v/>
      </c>
      <c r="F1152" t="str">
        <f>IF('LISTA DE PRECIOS'!$H1166&gt;0,'LISTA DE PRECIOS'!F1166,"")</f>
        <v/>
      </c>
      <c r="G1152" s="31" t="str">
        <f>IF('LISTA DE PRECIOS'!$H1166&gt;0,'LISTA DE PRECIOS'!G1166,"")</f>
        <v/>
      </c>
      <c r="H1152" s="67" t="str">
        <f>IF('LISTA DE PRECIOS'!$H1166&gt;0,'LISTA DE PRECIOS'!H1166,"")</f>
        <v/>
      </c>
      <c r="I1152" s="31" t="str">
        <f t="shared" si="16"/>
        <v/>
      </c>
    </row>
    <row r="1153" spans="1:9">
      <c r="A1153" t="str">
        <f>IF('LISTA DE PRECIOS'!$H1167&gt;0,'LISTA DE PRECIOS'!A1167,"")</f>
        <v/>
      </c>
      <c r="B1153" t="str">
        <f>IF('LISTA DE PRECIOS'!$H1167&gt;0,'LISTA DE PRECIOS'!B1167,"")</f>
        <v/>
      </c>
      <c r="C1153" t="str">
        <f>IF('LISTA DE PRECIOS'!$H1167&gt;0,'LISTA DE PRECIOS'!C1167,"")</f>
        <v/>
      </c>
      <c r="D1153" s="67" t="str">
        <f>IF('LISTA DE PRECIOS'!$H1167&gt;0,'LISTA DE PRECIOS'!D1167,"")</f>
        <v/>
      </c>
      <c r="E1153" t="str">
        <f>IF('LISTA DE PRECIOS'!$H1167&gt;0,'LISTA DE PRECIOS'!E1167,"")</f>
        <v/>
      </c>
      <c r="F1153" t="str">
        <f>IF('LISTA DE PRECIOS'!$H1167&gt;0,'LISTA DE PRECIOS'!F1167,"")</f>
        <v/>
      </c>
      <c r="G1153" s="31" t="str">
        <f>IF('LISTA DE PRECIOS'!$H1167&gt;0,'LISTA DE PRECIOS'!G1167,"")</f>
        <v/>
      </c>
      <c r="H1153" s="67" t="str">
        <f>IF('LISTA DE PRECIOS'!$H1167&gt;0,'LISTA DE PRECIOS'!H1167,"")</f>
        <v/>
      </c>
      <c r="I1153" s="31" t="str">
        <f t="shared" si="16"/>
        <v/>
      </c>
    </row>
    <row r="1154" spans="1:9">
      <c r="A1154" t="str">
        <f>IF('LISTA DE PRECIOS'!$H1168&gt;0,'LISTA DE PRECIOS'!A1168,"")</f>
        <v/>
      </c>
      <c r="B1154" t="str">
        <f>IF('LISTA DE PRECIOS'!$H1168&gt;0,'LISTA DE PRECIOS'!B1168,"")</f>
        <v/>
      </c>
      <c r="C1154" t="str">
        <f>IF('LISTA DE PRECIOS'!$H1168&gt;0,'LISTA DE PRECIOS'!C1168,"")</f>
        <v/>
      </c>
      <c r="D1154" s="67" t="str">
        <f>IF('LISTA DE PRECIOS'!$H1168&gt;0,'LISTA DE PRECIOS'!D1168,"")</f>
        <v/>
      </c>
      <c r="E1154" t="str">
        <f>IF('LISTA DE PRECIOS'!$H1168&gt;0,'LISTA DE PRECIOS'!E1168,"")</f>
        <v/>
      </c>
      <c r="F1154" t="str">
        <f>IF('LISTA DE PRECIOS'!$H1168&gt;0,'LISTA DE PRECIOS'!F1168,"")</f>
        <v/>
      </c>
      <c r="G1154" s="31" t="str">
        <f>IF('LISTA DE PRECIOS'!$H1168&gt;0,'LISTA DE PRECIOS'!G1168,"")</f>
        <v/>
      </c>
      <c r="H1154" s="67" t="str">
        <f>IF('LISTA DE PRECIOS'!$H1168&gt;0,'LISTA DE PRECIOS'!H1168,"")</f>
        <v/>
      </c>
      <c r="I1154" s="31" t="str">
        <f t="shared" si="16"/>
        <v/>
      </c>
    </row>
    <row r="1155" spans="1:9">
      <c r="A1155" t="str">
        <f>IF('LISTA DE PRECIOS'!$H1169&gt;0,'LISTA DE PRECIOS'!A1169,"")</f>
        <v/>
      </c>
      <c r="B1155" t="str">
        <f>IF('LISTA DE PRECIOS'!$H1169&gt;0,'LISTA DE PRECIOS'!B1169,"")</f>
        <v/>
      </c>
      <c r="C1155" t="str">
        <f>IF('LISTA DE PRECIOS'!$H1169&gt;0,'LISTA DE PRECIOS'!C1169,"")</f>
        <v/>
      </c>
      <c r="D1155" s="67" t="str">
        <f>IF('LISTA DE PRECIOS'!$H1169&gt;0,'LISTA DE PRECIOS'!D1169,"")</f>
        <v/>
      </c>
      <c r="E1155" t="str">
        <f>IF('LISTA DE PRECIOS'!$H1169&gt;0,'LISTA DE PRECIOS'!E1169,"")</f>
        <v/>
      </c>
      <c r="F1155" t="str">
        <f>IF('LISTA DE PRECIOS'!$H1169&gt;0,'LISTA DE PRECIOS'!F1169,"")</f>
        <v/>
      </c>
      <c r="G1155" s="31" t="str">
        <f>IF('LISTA DE PRECIOS'!$H1169&gt;0,'LISTA DE PRECIOS'!G1169,"")</f>
        <v/>
      </c>
      <c r="H1155" s="67" t="str">
        <f>IF('LISTA DE PRECIOS'!$H1169&gt;0,'LISTA DE PRECIOS'!H1169,"")</f>
        <v/>
      </c>
      <c r="I1155" s="31" t="str">
        <f t="shared" si="16"/>
        <v/>
      </c>
    </row>
    <row r="1156" spans="1:9">
      <c r="A1156" t="str">
        <f>IF('LISTA DE PRECIOS'!$H1170&gt;0,'LISTA DE PRECIOS'!A1170,"")</f>
        <v/>
      </c>
      <c r="B1156" t="str">
        <f>IF('LISTA DE PRECIOS'!$H1170&gt;0,'LISTA DE PRECIOS'!B1170,"")</f>
        <v/>
      </c>
      <c r="C1156" t="str">
        <f>IF('LISTA DE PRECIOS'!$H1170&gt;0,'LISTA DE PRECIOS'!C1170,"")</f>
        <v/>
      </c>
      <c r="D1156" s="67" t="str">
        <f>IF('LISTA DE PRECIOS'!$H1170&gt;0,'LISTA DE PRECIOS'!D1170,"")</f>
        <v/>
      </c>
      <c r="E1156" t="str">
        <f>IF('LISTA DE PRECIOS'!$H1170&gt;0,'LISTA DE PRECIOS'!E1170,"")</f>
        <v/>
      </c>
      <c r="F1156" t="str">
        <f>IF('LISTA DE PRECIOS'!$H1170&gt;0,'LISTA DE PRECIOS'!F1170,"")</f>
        <v/>
      </c>
      <c r="G1156" s="31" t="str">
        <f>IF('LISTA DE PRECIOS'!$H1170&gt;0,'LISTA DE PRECIOS'!G1170,"")</f>
        <v/>
      </c>
      <c r="H1156" s="67" t="str">
        <f>IF('LISTA DE PRECIOS'!$H1170&gt;0,'LISTA DE PRECIOS'!H1170,"")</f>
        <v/>
      </c>
      <c r="I1156" s="31" t="str">
        <f t="shared" si="16"/>
        <v/>
      </c>
    </row>
    <row r="1157" spans="1:9">
      <c r="A1157" t="str">
        <f>IF('LISTA DE PRECIOS'!$H1171&gt;0,'LISTA DE PRECIOS'!A1171,"")</f>
        <v/>
      </c>
      <c r="B1157" t="str">
        <f>IF('LISTA DE PRECIOS'!$H1171&gt;0,'LISTA DE PRECIOS'!B1171,"")</f>
        <v/>
      </c>
      <c r="C1157" t="str">
        <f>IF('LISTA DE PRECIOS'!$H1171&gt;0,'LISTA DE PRECIOS'!C1171,"")</f>
        <v/>
      </c>
      <c r="D1157" s="67" t="str">
        <f>IF('LISTA DE PRECIOS'!$H1171&gt;0,'LISTA DE PRECIOS'!D1171,"")</f>
        <v/>
      </c>
      <c r="E1157" t="str">
        <f>IF('LISTA DE PRECIOS'!$H1171&gt;0,'LISTA DE PRECIOS'!E1171,"")</f>
        <v/>
      </c>
      <c r="F1157" t="str">
        <f>IF('LISTA DE PRECIOS'!$H1171&gt;0,'LISTA DE PRECIOS'!F1171,"")</f>
        <v/>
      </c>
      <c r="G1157" s="31" t="str">
        <f>IF('LISTA DE PRECIOS'!$H1171&gt;0,'LISTA DE PRECIOS'!G1171,"")</f>
        <v/>
      </c>
      <c r="H1157" s="67" t="str">
        <f>IF('LISTA DE PRECIOS'!$H1171&gt;0,'LISTA DE PRECIOS'!H1171,"")</f>
        <v/>
      </c>
      <c r="I1157" s="31" t="str">
        <f t="shared" si="16"/>
        <v/>
      </c>
    </row>
    <row r="1158" spans="1:9">
      <c r="A1158" t="str">
        <f>IF('LISTA DE PRECIOS'!$H1172&gt;0,'LISTA DE PRECIOS'!A1172,"")</f>
        <v/>
      </c>
      <c r="B1158" t="str">
        <f>IF('LISTA DE PRECIOS'!$H1172&gt;0,'LISTA DE PRECIOS'!B1172,"")</f>
        <v/>
      </c>
      <c r="C1158" t="str">
        <f>IF('LISTA DE PRECIOS'!$H1172&gt;0,'LISTA DE PRECIOS'!C1172,"")</f>
        <v/>
      </c>
      <c r="D1158" s="67" t="str">
        <f>IF('LISTA DE PRECIOS'!$H1172&gt;0,'LISTA DE PRECIOS'!D1172,"")</f>
        <v/>
      </c>
      <c r="E1158" t="str">
        <f>IF('LISTA DE PRECIOS'!$H1172&gt;0,'LISTA DE PRECIOS'!E1172,"")</f>
        <v/>
      </c>
      <c r="F1158" t="str">
        <f>IF('LISTA DE PRECIOS'!$H1172&gt;0,'LISTA DE PRECIOS'!F1172,"")</f>
        <v/>
      </c>
      <c r="G1158" s="31" t="str">
        <f>IF('LISTA DE PRECIOS'!$H1172&gt;0,'LISTA DE PRECIOS'!G1172,"")</f>
        <v/>
      </c>
      <c r="H1158" s="67" t="str">
        <f>IF('LISTA DE PRECIOS'!$H1172&gt;0,'LISTA DE PRECIOS'!H1172,"")</f>
        <v/>
      </c>
      <c r="I1158" s="31" t="str">
        <f t="shared" si="16"/>
        <v/>
      </c>
    </row>
    <row r="1159" spans="1:9">
      <c r="A1159" t="str">
        <f>IF('LISTA DE PRECIOS'!$H1173&gt;0,'LISTA DE PRECIOS'!A1173,"")</f>
        <v/>
      </c>
      <c r="B1159" t="str">
        <f>IF('LISTA DE PRECIOS'!$H1173&gt;0,'LISTA DE PRECIOS'!B1173,"")</f>
        <v/>
      </c>
      <c r="C1159" t="str">
        <f>IF('LISTA DE PRECIOS'!$H1173&gt;0,'LISTA DE PRECIOS'!C1173,"")</f>
        <v/>
      </c>
      <c r="D1159" s="67" t="str">
        <f>IF('LISTA DE PRECIOS'!$H1173&gt;0,'LISTA DE PRECIOS'!D1173,"")</f>
        <v/>
      </c>
      <c r="E1159" t="str">
        <f>IF('LISTA DE PRECIOS'!$H1173&gt;0,'LISTA DE PRECIOS'!E1173,"")</f>
        <v/>
      </c>
      <c r="F1159" t="str">
        <f>IF('LISTA DE PRECIOS'!$H1173&gt;0,'LISTA DE PRECIOS'!F1173,"")</f>
        <v/>
      </c>
      <c r="G1159" s="31" t="str">
        <f>IF('LISTA DE PRECIOS'!$H1173&gt;0,'LISTA DE PRECIOS'!G1173,"")</f>
        <v/>
      </c>
      <c r="H1159" s="67" t="str">
        <f>IF('LISTA DE PRECIOS'!$H1173&gt;0,'LISTA DE PRECIOS'!H1173,"")</f>
        <v/>
      </c>
      <c r="I1159" s="31" t="str">
        <f t="shared" si="16"/>
        <v/>
      </c>
    </row>
    <row r="1160" spans="1:9">
      <c r="A1160" t="str">
        <f>IF('LISTA DE PRECIOS'!$H1174&gt;0,'LISTA DE PRECIOS'!A1174,"")</f>
        <v/>
      </c>
      <c r="B1160" t="str">
        <f>IF('LISTA DE PRECIOS'!$H1174&gt;0,'LISTA DE PRECIOS'!B1174,"")</f>
        <v/>
      </c>
      <c r="C1160" t="str">
        <f>IF('LISTA DE PRECIOS'!$H1174&gt;0,'LISTA DE PRECIOS'!C1174,"")</f>
        <v/>
      </c>
      <c r="D1160" s="67" t="str">
        <f>IF('LISTA DE PRECIOS'!$H1174&gt;0,'LISTA DE PRECIOS'!D1174,"")</f>
        <v/>
      </c>
      <c r="E1160" t="str">
        <f>IF('LISTA DE PRECIOS'!$H1174&gt;0,'LISTA DE PRECIOS'!E1174,"")</f>
        <v/>
      </c>
      <c r="F1160" t="str">
        <f>IF('LISTA DE PRECIOS'!$H1174&gt;0,'LISTA DE PRECIOS'!F1174,"")</f>
        <v/>
      </c>
      <c r="G1160" s="31" t="str">
        <f>IF('LISTA DE PRECIOS'!$H1174&gt;0,'LISTA DE PRECIOS'!G1174,"")</f>
        <v/>
      </c>
      <c r="H1160" s="67" t="str">
        <f>IF('LISTA DE PRECIOS'!$H1174&gt;0,'LISTA DE PRECIOS'!H1174,"")</f>
        <v/>
      </c>
      <c r="I1160" s="31" t="str">
        <f t="shared" si="16"/>
        <v/>
      </c>
    </row>
    <row r="1161" spans="1:9">
      <c r="A1161" t="str">
        <f>IF('LISTA DE PRECIOS'!$H1175&gt;0,'LISTA DE PRECIOS'!A1175,"")</f>
        <v/>
      </c>
      <c r="B1161" t="str">
        <f>IF('LISTA DE PRECIOS'!$H1175&gt;0,'LISTA DE PRECIOS'!B1175,"")</f>
        <v/>
      </c>
      <c r="C1161" t="str">
        <f>IF('LISTA DE PRECIOS'!$H1175&gt;0,'LISTA DE PRECIOS'!C1175,"")</f>
        <v/>
      </c>
      <c r="D1161" s="67" t="str">
        <f>IF('LISTA DE PRECIOS'!$H1175&gt;0,'LISTA DE PRECIOS'!D1175,"")</f>
        <v/>
      </c>
      <c r="E1161" t="str">
        <f>IF('LISTA DE PRECIOS'!$H1175&gt;0,'LISTA DE PRECIOS'!E1175,"")</f>
        <v/>
      </c>
      <c r="F1161" t="str">
        <f>IF('LISTA DE PRECIOS'!$H1175&gt;0,'LISTA DE PRECIOS'!F1175,"")</f>
        <v/>
      </c>
      <c r="G1161" s="31" t="str">
        <f>IF('LISTA DE PRECIOS'!$H1175&gt;0,'LISTA DE PRECIOS'!G1175,"")</f>
        <v/>
      </c>
      <c r="H1161" s="67" t="str">
        <f>IF('LISTA DE PRECIOS'!$H1175&gt;0,'LISTA DE PRECIOS'!H1175,"")</f>
        <v/>
      </c>
      <c r="I1161" s="31" t="str">
        <f t="shared" si="16"/>
        <v/>
      </c>
    </row>
    <row r="1162" spans="1:9">
      <c r="A1162" t="str">
        <f>IF('LISTA DE PRECIOS'!$H1176&gt;0,'LISTA DE PRECIOS'!A1176,"")</f>
        <v/>
      </c>
      <c r="B1162" t="str">
        <f>IF('LISTA DE PRECIOS'!$H1176&gt;0,'LISTA DE PRECIOS'!B1176,"")</f>
        <v/>
      </c>
      <c r="C1162" t="str">
        <f>IF('LISTA DE PRECIOS'!$H1176&gt;0,'LISTA DE PRECIOS'!C1176,"")</f>
        <v/>
      </c>
      <c r="D1162" s="67" t="str">
        <f>IF('LISTA DE PRECIOS'!$H1176&gt;0,'LISTA DE PRECIOS'!D1176,"")</f>
        <v/>
      </c>
      <c r="E1162" t="str">
        <f>IF('LISTA DE PRECIOS'!$H1176&gt;0,'LISTA DE PRECIOS'!E1176,"")</f>
        <v/>
      </c>
      <c r="F1162" t="str">
        <f>IF('LISTA DE PRECIOS'!$H1176&gt;0,'LISTA DE PRECIOS'!F1176,"")</f>
        <v/>
      </c>
      <c r="G1162" s="31" t="str">
        <f>IF('LISTA DE PRECIOS'!$H1176&gt;0,'LISTA DE PRECIOS'!G1176,"")</f>
        <v/>
      </c>
      <c r="H1162" s="67" t="str">
        <f>IF('LISTA DE PRECIOS'!$H1176&gt;0,'LISTA DE PRECIOS'!H1176,"")</f>
        <v/>
      </c>
      <c r="I1162" s="31" t="str">
        <f t="shared" si="16"/>
        <v/>
      </c>
    </row>
    <row r="1163" spans="1:9">
      <c r="A1163" t="str">
        <f>IF('LISTA DE PRECIOS'!$H1177&gt;0,'LISTA DE PRECIOS'!A1177,"")</f>
        <v/>
      </c>
      <c r="B1163" t="str">
        <f>IF('LISTA DE PRECIOS'!$H1177&gt;0,'LISTA DE PRECIOS'!B1177,"")</f>
        <v/>
      </c>
      <c r="C1163" t="str">
        <f>IF('LISTA DE PRECIOS'!$H1177&gt;0,'LISTA DE PRECIOS'!C1177,"")</f>
        <v/>
      </c>
      <c r="D1163" s="67" t="str">
        <f>IF('LISTA DE PRECIOS'!$H1177&gt;0,'LISTA DE PRECIOS'!D1177,"")</f>
        <v/>
      </c>
      <c r="E1163" t="str">
        <f>IF('LISTA DE PRECIOS'!$H1177&gt;0,'LISTA DE PRECIOS'!E1177,"")</f>
        <v/>
      </c>
      <c r="F1163" t="str">
        <f>IF('LISTA DE PRECIOS'!$H1177&gt;0,'LISTA DE PRECIOS'!F1177,"")</f>
        <v/>
      </c>
      <c r="G1163" s="31" t="str">
        <f>IF('LISTA DE PRECIOS'!$H1177&gt;0,'LISTA DE PRECIOS'!G1177,"")</f>
        <v/>
      </c>
      <c r="H1163" s="67" t="str">
        <f>IF('LISTA DE PRECIOS'!$H1177&gt;0,'LISTA DE PRECIOS'!H1177,"")</f>
        <v/>
      </c>
      <c r="I1163" s="31" t="str">
        <f t="shared" si="16"/>
        <v/>
      </c>
    </row>
    <row r="1164" spans="1:9">
      <c r="A1164" t="str">
        <f>IF('LISTA DE PRECIOS'!$H1178&gt;0,'LISTA DE PRECIOS'!A1178,"")</f>
        <v/>
      </c>
      <c r="B1164" t="str">
        <f>IF('LISTA DE PRECIOS'!$H1178&gt;0,'LISTA DE PRECIOS'!B1178,"")</f>
        <v/>
      </c>
      <c r="C1164" t="str">
        <f>IF('LISTA DE PRECIOS'!$H1178&gt;0,'LISTA DE PRECIOS'!C1178,"")</f>
        <v/>
      </c>
      <c r="D1164" s="67" t="str">
        <f>IF('LISTA DE PRECIOS'!$H1178&gt;0,'LISTA DE PRECIOS'!D1178,"")</f>
        <v/>
      </c>
      <c r="E1164" t="str">
        <f>IF('LISTA DE PRECIOS'!$H1178&gt;0,'LISTA DE PRECIOS'!E1178,"")</f>
        <v/>
      </c>
      <c r="F1164" t="str">
        <f>IF('LISTA DE PRECIOS'!$H1178&gt;0,'LISTA DE PRECIOS'!F1178,"")</f>
        <v/>
      </c>
      <c r="G1164" s="31" t="str">
        <f>IF('LISTA DE PRECIOS'!$H1178&gt;0,'LISTA DE PRECIOS'!G1178,"")</f>
        <v/>
      </c>
      <c r="H1164" s="67" t="str">
        <f>IF('LISTA DE PRECIOS'!$H1178&gt;0,'LISTA DE PRECIOS'!H1178,"")</f>
        <v/>
      </c>
      <c r="I1164" s="31" t="str">
        <f t="shared" si="16"/>
        <v/>
      </c>
    </row>
    <row r="1165" spans="1:9">
      <c r="A1165" t="str">
        <f>IF('LISTA DE PRECIOS'!$H1179&gt;0,'LISTA DE PRECIOS'!A1179,"")</f>
        <v/>
      </c>
      <c r="B1165" t="str">
        <f>IF('LISTA DE PRECIOS'!$H1179&gt;0,'LISTA DE PRECIOS'!B1179,"")</f>
        <v/>
      </c>
      <c r="C1165" t="str">
        <f>IF('LISTA DE PRECIOS'!$H1179&gt;0,'LISTA DE PRECIOS'!C1179,"")</f>
        <v/>
      </c>
      <c r="D1165" s="67" t="str">
        <f>IF('LISTA DE PRECIOS'!$H1179&gt;0,'LISTA DE PRECIOS'!D1179,"")</f>
        <v/>
      </c>
      <c r="E1165" t="str">
        <f>IF('LISTA DE PRECIOS'!$H1179&gt;0,'LISTA DE PRECIOS'!E1179,"")</f>
        <v/>
      </c>
      <c r="F1165" t="str">
        <f>IF('LISTA DE PRECIOS'!$H1179&gt;0,'LISTA DE PRECIOS'!F1179,"")</f>
        <v/>
      </c>
      <c r="G1165" s="31" t="str">
        <f>IF('LISTA DE PRECIOS'!$H1179&gt;0,'LISTA DE PRECIOS'!G1179,"")</f>
        <v/>
      </c>
      <c r="H1165" s="67" t="str">
        <f>IF('LISTA DE PRECIOS'!$H1179&gt;0,'LISTA DE PRECIOS'!H1179,"")</f>
        <v/>
      </c>
      <c r="I1165" s="31" t="str">
        <f t="shared" si="16"/>
        <v/>
      </c>
    </row>
    <row r="1166" spans="1:9">
      <c r="A1166" t="str">
        <f>IF('LISTA DE PRECIOS'!$H1180&gt;0,'LISTA DE PRECIOS'!A1180,"")</f>
        <v/>
      </c>
      <c r="B1166" t="str">
        <f>IF('LISTA DE PRECIOS'!$H1180&gt;0,'LISTA DE PRECIOS'!B1180,"")</f>
        <v/>
      </c>
      <c r="C1166" t="str">
        <f>IF('LISTA DE PRECIOS'!$H1180&gt;0,'LISTA DE PRECIOS'!C1180,"")</f>
        <v/>
      </c>
      <c r="D1166" s="67" t="str">
        <f>IF('LISTA DE PRECIOS'!$H1180&gt;0,'LISTA DE PRECIOS'!D1180,"")</f>
        <v/>
      </c>
      <c r="E1166" t="str">
        <f>IF('LISTA DE PRECIOS'!$H1180&gt;0,'LISTA DE PRECIOS'!E1180,"")</f>
        <v/>
      </c>
      <c r="F1166" t="str">
        <f>IF('LISTA DE PRECIOS'!$H1180&gt;0,'LISTA DE PRECIOS'!F1180,"")</f>
        <v/>
      </c>
      <c r="G1166" s="31" t="str">
        <f>IF('LISTA DE PRECIOS'!$H1180&gt;0,'LISTA DE PRECIOS'!G1180,"")</f>
        <v/>
      </c>
      <c r="H1166" s="67" t="str">
        <f>IF('LISTA DE PRECIOS'!$H1180&gt;0,'LISTA DE PRECIOS'!H1180,"")</f>
        <v/>
      </c>
      <c r="I1166" s="31" t="str">
        <f t="shared" si="16"/>
        <v/>
      </c>
    </row>
    <row r="1167" spans="1:9">
      <c r="A1167" t="str">
        <f>IF('LISTA DE PRECIOS'!$H1181&gt;0,'LISTA DE PRECIOS'!A1181,"")</f>
        <v/>
      </c>
      <c r="B1167" t="str">
        <f>IF('LISTA DE PRECIOS'!$H1181&gt;0,'LISTA DE PRECIOS'!B1181,"")</f>
        <v/>
      </c>
      <c r="C1167" t="str">
        <f>IF('LISTA DE PRECIOS'!$H1181&gt;0,'LISTA DE PRECIOS'!C1181,"")</f>
        <v/>
      </c>
      <c r="D1167" s="67" t="str">
        <f>IF('LISTA DE PRECIOS'!$H1181&gt;0,'LISTA DE PRECIOS'!D1181,"")</f>
        <v/>
      </c>
      <c r="E1167" t="str">
        <f>IF('LISTA DE PRECIOS'!$H1181&gt;0,'LISTA DE PRECIOS'!E1181,"")</f>
        <v/>
      </c>
      <c r="F1167" t="str">
        <f>IF('LISTA DE PRECIOS'!$H1181&gt;0,'LISTA DE PRECIOS'!F1181,"")</f>
        <v/>
      </c>
      <c r="G1167" s="31" t="str">
        <f>IF('LISTA DE PRECIOS'!$H1181&gt;0,'LISTA DE PRECIOS'!G1181,"")</f>
        <v/>
      </c>
      <c r="H1167" s="67" t="str">
        <f>IF('LISTA DE PRECIOS'!$H1181&gt;0,'LISTA DE PRECIOS'!H1181,"")</f>
        <v/>
      </c>
      <c r="I1167" s="31" t="str">
        <f t="shared" si="16"/>
        <v/>
      </c>
    </row>
    <row r="1168" spans="1:9">
      <c r="A1168" t="str">
        <f>IF('LISTA DE PRECIOS'!$H1182&gt;0,'LISTA DE PRECIOS'!A1182,"")</f>
        <v/>
      </c>
      <c r="B1168" t="str">
        <f>IF('LISTA DE PRECIOS'!$H1182&gt;0,'LISTA DE PRECIOS'!B1182,"")</f>
        <v/>
      </c>
      <c r="C1168" t="str">
        <f>IF('LISTA DE PRECIOS'!$H1182&gt;0,'LISTA DE PRECIOS'!C1182,"")</f>
        <v/>
      </c>
      <c r="D1168" s="67" t="str">
        <f>IF('LISTA DE PRECIOS'!$H1182&gt;0,'LISTA DE PRECIOS'!D1182,"")</f>
        <v/>
      </c>
      <c r="E1168" t="str">
        <f>IF('LISTA DE PRECIOS'!$H1182&gt;0,'LISTA DE PRECIOS'!E1182,"")</f>
        <v/>
      </c>
      <c r="F1168" t="str">
        <f>IF('LISTA DE PRECIOS'!$H1182&gt;0,'LISTA DE PRECIOS'!F1182,"")</f>
        <v/>
      </c>
      <c r="G1168" s="31" t="str">
        <f>IF('LISTA DE PRECIOS'!$H1182&gt;0,'LISTA DE PRECIOS'!G1182,"")</f>
        <v/>
      </c>
      <c r="H1168" s="67" t="str">
        <f>IF('LISTA DE PRECIOS'!$H1182&gt;0,'LISTA DE PRECIOS'!H1182,"")</f>
        <v/>
      </c>
      <c r="I1168" s="31" t="str">
        <f t="shared" si="16"/>
        <v/>
      </c>
    </row>
    <row r="1169" spans="1:9">
      <c r="A1169" t="str">
        <f>IF('LISTA DE PRECIOS'!$H1183&gt;0,'LISTA DE PRECIOS'!A1183,"")</f>
        <v/>
      </c>
      <c r="B1169" t="str">
        <f>IF('LISTA DE PRECIOS'!$H1183&gt;0,'LISTA DE PRECIOS'!B1183,"")</f>
        <v/>
      </c>
      <c r="C1169" t="str">
        <f>IF('LISTA DE PRECIOS'!$H1183&gt;0,'LISTA DE PRECIOS'!C1183,"")</f>
        <v/>
      </c>
      <c r="D1169" s="67" t="str">
        <f>IF('LISTA DE PRECIOS'!$H1183&gt;0,'LISTA DE PRECIOS'!D1183,"")</f>
        <v/>
      </c>
      <c r="E1169" t="str">
        <f>IF('LISTA DE PRECIOS'!$H1183&gt;0,'LISTA DE PRECIOS'!E1183,"")</f>
        <v/>
      </c>
      <c r="F1169" t="str">
        <f>IF('LISTA DE PRECIOS'!$H1183&gt;0,'LISTA DE PRECIOS'!F1183,"")</f>
        <v/>
      </c>
      <c r="G1169" s="31" t="str">
        <f>IF('LISTA DE PRECIOS'!$H1183&gt;0,'LISTA DE PRECIOS'!G1183,"")</f>
        <v/>
      </c>
      <c r="H1169" s="67" t="str">
        <f>IF('LISTA DE PRECIOS'!$H1183&gt;0,'LISTA DE PRECIOS'!H1183,"")</f>
        <v/>
      </c>
      <c r="I1169" s="31" t="str">
        <f t="shared" ref="I1169:I1232" si="17">IF(OR(G1169="",H1169=""),"",G1169*H1169)</f>
        <v/>
      </c>
    </row>
    <row r="1170" spans="1:9">
      <c r="A1170" t="str">
        <f>IF('LISTA DE PRECIOS'!$H1184&gt;0,'LISTA DE PRECIOS'!A1184,"")</f>
        <v/>
      </c>
      <c r="B1170" t="str">
        <f>IF('LISTA DE PRECIOS'!$H1184&gt;0,'LISTA DE PRECIOS'!B1184,"")</f>
        <v/>
      </c>
      <c r="C1170" t="str">
        <f>IF('LISTA DE PRECIOS'!$H1184&gt;0,'LISTA DE PRECIOS'!C1184,"")</f>
        <v/>
      </c>
      <c r="D1170" s="67" t="str">
        <f>IF('LISTA DE PRECIOS'!$H1184&gt;0,'LISTA DE PRECIOS'!D1184,"")</f>
        <v/>
      </c>
      <c r="E1170" t="str">
        <f>IF('LISTA DE PRECIOS'!$H1184&gt;0,'LISTA DE PRECIOS'!E1184,"")</f>
        <v/>
      </c>
      <c r="F1170" t="str">
        <f>IF('LISTA DE PRECIOS'!$H1184&gt;0,'LISTA DE PRECIOS'!F1184,"")</f>
        <v/>
      </c>
      <c r="G1170" s="31" t="str">
        <f>IF('LISTA DE PRECIOS'!$H1184&gt;0,'LISTA DE PRECIOS'!G1184,"")</f>
        <v/>
      </c>
      <c r="H1170" s="67" t="str">
        <f>IF('LISTA DE PRECIOS'!$H1184&gt;0,'LISTA DE PRECIOS'!H1184,"")</f>
        <v/>
      </c>
      <c r="I1170" s="31" t="str">
        <f t="shared" si="17"/>
        <v/>
      </c>
    </row>
    <row r="1171" spans="1:9">
      <c r="A1171" t="str">
        <f>IF('LISTA DE PRECIOS'!$H1185&gt;0,'LISTA DE PRECIOS'!A1185,"")</f>
        <v/>
      </c>
      <c r="B1171" t="str">
        <f>IF('LISTA DE PRECIOS'!$H1185&gt;0,'LISTA DE PRECIOS'!B1185,"")</f>
        <v/>
      </c>
      <c r="C1171" t="str">
        <f>IF('LISTA DE PRECIOS'!$H1185&gt;0,'LISTA DE PRECIOS'!C1185,"")</f>
        <v/>
      </c>
      <c r="D1171" s="67" t="str">
        <f>IF('LISTA DE PRECIOS'!$H1185&gt;0,'LISTA DE PRECIOS'!D1185,"")</f>
        <v/>
      </c>
      <c r="E1171" t="str">
        <f>IF('LISTA DE PRECIOS'!$H1185&gt;0,'LISTA DE PRECIOS'!E1185,"")</f>
        <v/>
      </c>
      <c r="F1171" t="str">
        <f>IF('LISTA DE PRECIOS'!$H1185&gt;0,'LISTA DE PRECIOS'!F1185,"")</f>
        <v/>
      </c>
      <c r="G1171" s="31" t="str">
        <f>IF('LISTA DE PRECIOS'!$H1185&gt;0,'LISTA DE PRECIOS'!G1185,"")</f>
        <v/>
      </c>
      <c r="H1171" s="67" t="str">
        <f>IF('LISTA DE PRECIOS'!$H1185&gt;0,'LISTA DE PRECIOS'!H1185,"")</f>
        <v/>
      </c>
      <c r="I1171" s="31" t="str">
        <f t="shared" si="17"/>
        <v/>
      </c>
    </row>
    <row r="1172" spans="1:9">
      <c r="A1172" t="str">
        <f>IF('LISTA DE PRECIOS'!$H1186&gt;0,'LISTA DE PRECIOS'!A1186,"")</f>
        <v/>
      </c>
      <c r="B1172" t="str">
        <f>IF('LISTA DE PRECIOS'!$H1186&gt;0,'LISTA DE PRECIOS'!B1186,"")</f>
        <v/>
      </c>
      <c r="C1172" t="str">
        <f>IF('LISTA DE PRECIOS'!$H1186&gt;0,'LISTA DE PRECIOS'!C1186,"")</f>
        <v/>
      </c>
      <c r="D1172" s="67" t="str">
        <f>IF('LISTA DE PRECIOS'!$H1186&gt;0,'LISTA DE PRECIOS'!D1186,"")</f>
        <v/>
      </c>
      <c r="E1172" t="str">
        <f>IF('LISTA DE PRECIOS'!$H1186&gt;0,'LISTA DE PRECIOS'!E1186,"")</f>
        <v/>
      </c>
      <c r="F1172" t="str">
        <f>IF('LISTA DE PRECIOS'!$H1186&gt;0,'LISTA DE PRECIOS'!F1186,"")</f>
        <v/>
      </c>
      <c r="G1172" s="31" t="str">
        <f>IF('LISTA DE PRECIOS'!$H1186&gt;0,'LISTA DE PRECIOS'!G1186,"")</f>
        <v/>
      </c>
      <c r="H1172" s="67" t="str">
        <f>IF('LISTA DE PRECIOS'!$H1186&gt;0,'LISTA DE PRECIOS'!H1186,"")</f>
        <v/>
      </c>
      <c r="I1172" s="31" t="str">
        <f t="shared" si="17"/>
        <v/>
      </c>
    </row>
    <row r="1173" spans="1:9">
      <c r="A1173" t="str">
        <f>IF('LISTA DE PRECIOS'!$H1187&gt;0,'LISTA DE PRECIOS'!A1187,"")</f>
        <v/>
      </c>
      <c r="B1173" t="str">
        <f>IF('LISTA DE PRECIOS'!$H1187&gt;0,'LISTA DE PRECIOS'!B1187,"")</f>
        <v/>
      </c>
      <c r="C1173" t="str">
        <f>IF('LISTA DE PRECIOS'!$H1187&gt;0,'LISTA DE PRECIOS'!C1187,"")</f>
        <v/>
      </c>
      <c r="D1173" s="67" t="str">
        <f>IF('LISTA DE PRECIOS'!$H1187&gt;0,'LISTA DE PRECIOS'!D1187,"")</f>
        <v/>
      </c>
      <c r="E1173" t="str">
        <f>IF('LISTA DE PRECIOS'!$H1187&gt;0,'LISTA DE PRECIOS'!E1187,"")</f>
        <v/>
      </c>
      <c r="F1173" t="str">
        <f>IF('LISTA DE PRECIOS'!$H1187&gt;0,'LISTA DE PRECIOS'!F1187,"")</f>
        <v/>
      </c>
      <c r="G1173" s="31" t="str">
        <f>IF('LISTA DE PRECIOS'!$H1187&gt;0,'LISTA DE PRECIOS'!G1187,"")</f>
        <v/>
      </c>
      <c r="H1173" s="67" t="str">
        <f>IF('LISTA DE PRECIOS'!$H1187&gt;0,'LISTA DE PRECIOS'!H1187,"")</f>
        <v/>
      </c>
      <c r="I1173" s="31" t="str">
        <f t="shared" si="17"/>
        <v/>
      </c>
    </row>
    <row r="1174" spans="1:9">
      <c r="A1174" t="str">
        <f>IF('LISTA DE PRECIOS'!$H1188&gt;0,'LISTA DE PRECIOS'!A1188,"")</f>
        <v/>
      </c>
      <c r="B1174" t="str">
        <f>IF('LISTA DE PRECIOS'!$H1188&gt;0,'LISTA DE PRECIOS'!B1188,"")</f>
        <v/>
      </c>
      <c r="C1174" t="str">
        <f>IF('LISTA DE PRECIOS'!$H1188&gt;0,'LISTA DE PRECIOS'!C1188,"")</f>
        <v/>
      </c>
      <c r="D1174" s="67" t="str">
        <f>IF('LISTA DE PRECIOS'!$H1188&gt;0,'LISTA DE PRECIOS'!D1188,"")</f>
        <v/>
      </c>
      <c r="E1174" t="str">
        <f>IF('LISTA DE PRECIOS'!$H1188&gt;0,'LISTA DE PRECIOS'!E1188,"")</f>
        <v/>
      </c>
      <c r="F1174" t="str">
        <f>IF('LISTA DE PRECIOS'!$H1188&gt;0,'LISTA DE PRECIOS'!F1188,"")</f>
        <v/>
      </c>
      <c r="G1174" s="31" t="str">
        <f>IF('LISTA DE PRECIOS'!$H1188&gt;0,'LISTA DE PRECIOS'!G1188,"")</f>
        <v/>
      </c>
      <c r="H1174" s="67" t="str">
        <f>IF('LISTA DE PRECIOS'!$H1188&gt;0,'LISTA DE PRECIOS'!H1188,"")</f>
        <v/>
      </c>
      <c r="I1174" s="31" t="str">
        <f t="shared" si="17"/>
        <v/>
      </c>
    </row>
    <row r="1175" spans="1:9">
      <c r="A1175" t="str">
        <f>IF('LISTA DE PRECIOS'!$H1189&gt;0,'LISTA DE PRECIOS'!A1189,"")</f>
        <v/>
      </c>
      <c r="B1175" t="str">
        <f>IF('LISTA DE PRECIOS'!$H1189&gt;0,'LISTA DE PRECIOS'!B1189,"")</f>
        <v/>
      </c>
      <c r="C1175" t="str">
        <f>IF('LISTA DE PRECIOS'!$H1189&gt;0,'LISTA DE PRECIOS'!C1189,"")</f>
        <v/>
      </c>
      <c r="D1175" s="67" t="str">
        <f>IF('LISTA DE PRECIOS'!$H1189&gt;0,'LISTA DE PRECIOS'!D1189,"")</f>
        <v/>
      </c>
      <c r="E1175" t="str">
        <f>IF('LISTA DE PRECIOS'!$H1189&gt;0,'LISTA DE PRECIOS'!E1189,"")</f>
        <v/>
      </c>
      <c r="F1175" t="str">
        <f>IF('LISTA DE PRECIOS'!$H1189&gt;0,'LISTA DE PRECIOS'!F1189,"")</f>
        <v/>
      </c>
      <c r="G1175" s="31" t="str">
        <f>IF('LISTA DE PRECIOS'!$H1189&gt;0,'LISTA DE PRECIOS'!G1189,"")</f>
        <v/>
      </c>
      <c r="H1175" s="67" t="str">
        <f>IF('LISTA DE PRECIOS'!$H1189&gt;0,'LISTA DE PRECIOS'!H1189,"")</f>
        <v/>
      </c>
      <c r="I1175" s="31" t="str">
        <f t="shared" si="17"/>
        <v/>
      </c>
    </row>
    <row r="1176" spans="1:9">
      <c r="A1176" t="str">
        <f>IF('LISTA DE PRECIOS'!$H1190&gt;0,'LISTA DE PRECIOS'!A1190,"")</f>
        <v/>
      </c>
      <c r="B1176" t="str">
        <f>IF('LISTA DE PRECIOS'!$H1190&gt;0,'LISTA DE PRECIOS'!B1190,"")</f>
        <v/>
      </c>
      <c r="C1176" t="str">
        <f>IF('LISTA DE PRECIOS'!$H1190&gt;0,'LISTA DE PRECIOS'!C1190,"")</f>
        <v/>
      </c>
      <c r="D1176" s="67" t="str">
        <f>IF('LISTA DE PRECIOS'!$H1190&gt;0,'LISTA DE PRECIOS'!D1190,"")</f>
        <v/>
      </c>
      <c r="E1176" t="str">
        <f>IF('LISTA DE PRECIOS'!$H1190&gt;0,'LISTA DE PRECIOS'!E1190,"")</f>
        <v/>
      </c>
      <c r="F1176" t="str">
        <f>IF('LISTA DE PRECIOS'!$H1190&gt;0,'LISTA DE PRECIOS'!F1190,"")</f>
        <v/>
      </c>
      <c r="G1176" s="31" t="str">
        <f>IF('LISTA DE PRECIOS'!$H1190&gt;0,'LISTA DE PRECIOS'!G1190,"")</f>
        <v/>
      </c>
      <c r="H1176" s="67" t="str">
        <f>IF('LISTA DE PRECIOS'!$H1190&gt;0,'LISTA DE PRECIOS'!H1190,"")</f>
        <v/>
      </c>
      <c r="I1176" s="31" t="str">
        <f t="shared" si="17"/>
        <v/>
      </c>
    </row>
    <row r="1177" spans="1:9">
      <c r="A1177" t="str">
        <f>IF('LISTA DE PRECIOS'!$H1191&gt;0,'LISTA DE PRECIOS'!A1191,"")</f>
        <v/>
      </c>
      <c r="B1177" t="str">
        <f>IF('LISTA DE PRECIOS'!$H1191&gt;0,'LISTA DE PRECIOS'!B1191,"")</f>
        <v/>
      </c>
      <c r="C1177" t="str">
        <f>IF('LISTA DE PRECIOS'!$H1191&gt;0,'LISTA DE PRECIOS'!C1191,"")</f>
        <v/>
      </c>
      <c r="D1177" s="67" t="str">
        <f>IF('LISTA DE PRECIOS'!$H1191&gt;0,'LISTA DE PRECIOS'!D1191,"")</f>
        <v/>
      </c>
      <c r="E1177" t="str">
        <f>IF('LISTA DE PRECIOS'!$H1191&gt;0,'LISTA DE PRECIOS'!E1191,"")</f>
        <v/>
      </c>
      <c r="F1177" t="str">
        <f>IF('LISTA DE PRECIOS'!$H1191&gt;0,'LISTA DE PRECIOS'!F1191,"")</f>
        <v/>
      </c>
      <c r="G1177" s="31" t="str">
        <f>IF('LISTA DE PRECIOS'!$H1191&gt;0,'LISTA DE PRECIOS'!G1191,"")</f>
        <v/>
      </c>
      <c r="H1177" s="67" t="str">
        <f>IF('LISTA DE PRECIOS'!$H1191&gt;0,'LISTA DE PRECIOS'!H1191,"")</f>
        <v/>
      </c>
      <c r="I1177" s="31" t="str">
        <f t="shared" si="17"/>
        <v/>
      </c>
    </row>
    <row r="1178" spans="1:9">
      <c r="A1178" t="str">
        <f>IF('LISTA DE PRECIOS'!$H1192&gt;0,'LISTA DE PRECIOS'!A1192,"")</f>
        <v/>
      </c>
      <c r="B1178" t="str">
        <f>IF('LISTA DE PRECIOS'!$H1192&gt;0,'LISTA DE PRECIOS'!B1192,"")</f>
        <v/>
      </c>
      <c r="C1178" t="str">
        <f>IF('LISTA DE PRECIOS'!$H1192&gt;0,'LISTA DE PRECIOS'!C1192,"")</f>
        <v/>
      </c>
      <c r="D1178" s="67" t="str">
        <f>IF('LISTA DE PRECIOS'!$H1192&gt;0,'LISTA DE PRECIOS'!D1192,"")</f>
        <v/>
      </c>
      <c r="E1178" t="str">
        <f>IF('LISTA DE PRECIOS'!$H1192&gt;0,'LISTA DE PRECIOS'!E1192,"")</f>
        <v/>
      </c>
      <c r="F1178" t="str">
        <f>IF('LISTA DE PRECIOS'!$H1192&gt;0,'LISTA DE PRECIOS'!F1192,"")</f>
        <v/>
      </c>
      <c r="G1178" s="31" t="str">
        <f>IF('LISTA DE PRECIOS'!$H1192&gt;0,'LISTA DE PRECIOS'!G1192,"")</f>
        <v/>
      </c>
      <c r="H1178" s="67" t="str">
        <f>IF('LISTA DE PRECIOS'!$H1192&gt;0,'LISTA DE PRECIOS'!H1192,"")</f>
        <v/>
      </c>
      <c r="I1178" s="31" t="str">
        <f t="shared" si="17"/>
        <v/>
      </c>
    </row>
    <row r="1179" spans="1:9">
      <c r="A1179" t="str">
        <f>IF('LISTA DE PRECIOS'!$H1193&gt;0,'LISTA DE PRECIOS'!A1193,"")</f>
        <v/>
      </c>
      <c r="B1179" t="str">
        <f>IF('LISTA DE PRECIOS'!$H1193&gt;0,'LISTA DE PRECIOS'!B1193,"")</f>
        <v/>
      </c>
      <c r="C1179" t="str">
        <f>IF('LISTA DE PRECIOS'!$H1193&gt;0,'LISTA DE PRECIOS'!C1193,"")</f>
        <v/>
      </c>
      <c r="D1179" s="67" t="str">
        <f>IF('LISTA DE PRECIOS'!$H1193&gt;0,'LISTA DE PRECIOS'!D1193,"")</f>
        <v/>
      </c>
      <c r="E1179" t="str">
        <f>IF('LISTA DE PRECIOS'!$H1193&gt;0,'LISTA DE PRECIOS'!E1193,"")</f>
        <v/>
      </c>
      <c r="F1179" t="str">
        <f>IF('LISTA DE PRECIOS'!$H1193&gt;0,'LISTA DE PRECIOS'!F1193,"")</f>
        <v/>
      </c>
      <c r="G1179" s="31" t="str">
        <f>IF('LISTA DE PRECIOS'!$H1193&gt;0,'LISTA DE PRECIOS'!G1193,"")</f>
        <v/>
      </c>
      <c r="H1179" s="67" t="str">
        <f>IF('LISTA DE PRECIOS'!$H1193&gt;0,'LISTA DE PRECIOS'!H1193,"")</f>
        <v/>
      </c>
      <c r="I1179" s="31" t="str">
        <f t="shared" si="17"/>
        <v/>
      </c>
    </row>
    <row r="1180" spans="1:9">
      <c r="A1180" t="str">
        <f>IF('LISTA DE PRECIOS'!$H1194&gt;0,'LISTA DE PRECIOS'!A1194,"")</f>
        <v/>
      </c>
      <c r="B1180" t="str">
        <f>IF('LISTA DE PRECIOS'!$H1194&gt;0,'LISTA DE PRECIOS'!B1194,"")</f>
        <v/>
      </c>
      <c r="C1180" t="str">
        <f>IF('LISTA DE PRECIOS'!$H1194&gt;0,'LISTA DE PRECIOS'!C1194,"")</f>
        <v/>
      </c>
      <c r="D1180" s="67" t="str">
        <f>IF('LISTA DE PRECIOS'!$H1194&gt;0,'LISTA DE PRECIOS'!D1194,"")</f>
        <v/>
      </c>
      <c r="E1180" t="str">
        <f>IF('LISTA DE PRECIOS'!$H1194&gt;0,'LISTA DE PRECIOS'!E1194,"")</f>
        <v/>
      </c>
      <c r="F1180" t="str">
        <f>IF('LISTA DE PRECIOS'!$H1194&gt;0,'LISTA DE PRECIOS'!F1194,"")</f>
        <v/>
      </c>
      <c r="G1180" s="31" t="str">
        <f>IF('LISTA DE PRECIOS'!$H1194&gt;0,'LISTA DE PRECIOS'!G1194,"")</f>
        <v/>
      </c>
      <c r="H1180" s="67" t="str">
        <f>IF('LISTA DE PRECIOS'!$H1194&gt;0,'LISTA DE PRECIOS'!H1194,"")</f>
        <v/>
      </c>
      <c r="I1180" s="31" t="str">
        <f t="shared" si="17"/>
        <v/>
      </c>
    </row>
    <row r="1181" spans="1:9">
      <c r="A1181" t="str">
        <f>IF('LISTA DE PRECIOS'!$H1195&gt;0,'LISTA DE PRECIOS'!A1195,"")</f>
        <v/>
      </c>
      <c r="B1181" t="str">
        <f>IF('LISTA DE PRECIOS'!$H1195&gt;0,'LISTA DE PRECIOS'!B1195,"")</f>
        <v/>
      </c>
      <c r="C1181" t="str">
        <f>IF('LISTA DE PRECIOS'!$H1195&gt;0,'LISTA DE PRECIOS'!C1195,"")</f>
        <v/>
      </c>
      <c r="D1181" s="67" t="str">
        <f>IF('LISTA DE PRECIOS'!$H1195&gt;0,'LISTA DE PRECIOS'!D1195,"")</f>
        <v/>
      </c>
      <c r="E1181" t="str">
        <f>IF('LISTA DE PRECIOS'!$H1195&gt;0,'LISTA DE PRECIOS'!E1195,"")</f>
        <v/>
      </c>
      <c r="F1181" t="str">
        <f>IF('LISTA DE PRECIOS'!$H1195&gt;0,'LISTA DE PRECIOS'!F1195,"")</f>
        <v/>
      </c>
      <c r="G1181" s="31" t="str">
        <f>IF('LISTA DE PRECIOS'!$H1195&gt;0,'LISTA DE PRECIOS'!G1195,"")</f>
        <v/>
      </c>
      <c r="H1181" s="67" t="str">
        <f>IF('LISTA DE PRECIOS'!$H1195&gt;0,'LISTA DE PRECIOS'!H1195,"")</f>
        <v/>
      </c>
      <c r="I1181" s="31" t="str">
        <f t="shared" si="17"/>
        <v/>
      </c>
    </row>
    <row r="1182" spans="1:9">
      <c r="A1182" t="str">
        <f>IF('LISTA DE PRECIOS'!$H1196&gt;0,'LISTA DE PRECIOS'!A1196,"")</f>
        <v/>
      </c>
      <c r="B1182" t="str">
        <f>IF('LISTA DE PRECIOS'!$H1196&gt;0,'LISTA DE PRECIOS'!B1196,"")</f>
        <v/>
      </c>
      <c r="C1182" t="str">
        <f>IF('LISTA DE PRECIOS'!$H1196&gt;0,'LISTA DE PRECIOS'!C1196,"")</f>
        <v/>
      </c>
      <c r="D1182" s="67" t="str">
        <f>IF('LISTA DE PRECIOS'!$H1196&gt;0,'LISTA DE PRECIOS'!D1196,"")</f>
        <v/>
      </c>
      <c r="E1182" t="str">
        <f>IF('LISTA DE PRECIOS'!$H1196&gt;0,'LISTA DE PRECIOS'!E1196,"")</f>
        <v/>
      </c>
      <c r="F1182" t="str">
        <f>IF('LISTA DE PRECIOS'!$H1196&gt;0,'LISTA DE PRECIOS'!F1196,"")</f>
        <v/>
      </c>
      <c r="G1182" s="31" t="str">
        <f>IF('LISTA DE PRECIOS'!$H1196&gt;0,'LISTA DE PRECIOS'!G1196,"")</f>
        <v/>
      </c>
      <c r="H1182" s="67" t="str">
        <f>IF('LISTA DE PRECIOS'!$H1196&gt;0,'LISTA DE PRECIOS'!H1196,"")</f>
        <v/>
      </c>
      <c r="I1182" s="31" t="str">
        <f t="shared" si="17"/>
        <v/>
      </c>
    </row>
    <row r="1183" spans="1:9">
      <c r="A1183" t="str">
        <f>IF('LISTA DE PRECIOS'!$H1197&gt;0,'LISTA DE PRECIOS'!A1197,"")</f>
        <v/>
      </c>
      <c r="B1183" t="str">
        <f>IF('LISTA DE PRECIOS'!$H1197&gt;0,'LISTA DE PRECIOS'!B1197,"")</f>
        <v/>
      </c>
      <c r="C1183" t="str">
        <f>IF('LISTA DE PRECIOS'!$H1197&gt;0,'LISTA DE PRECIOS'!C1197,"")</f>
        <v/>
      </c>
      <c r="D1183" s="67" t="str">
        <f>IF('LISTA DE PRECIOS'!$H1197&gt;0,'LISTA DE PRECIOS'!D1197,"")</f>
        <v/>
      </c>
      <c r="E1183" t="str">
        <f>IF('LISTA DE PRECIOS'!$H1197&gt;0,'LISTA DE PRECIOS'!E1197,"")</f>
        <v/>
      </c>
      <c r="F1183" t="str">
        <f>IF('LISTA DE PRECIOS'!$H1197&gt;0,'LISTA DE PRECIOS'!F1197,"")</f>
        <v/>
      </c>
      <c r="G1183" s="31" t="str">
        <f>IF('LISTA DE PRECIOS'!$H1197&gt;0,'LISTA DE PRECIOS'!G1197,"")</f>
        <v/>
      </c>
      <c r="H1183" s="67" t="str">
        <f>IF('LISTA DE PRECIOS'!$H1197&gt;0,'LISTA DE PRECIOS'!H1197,"")</f>
        <v/>
      </c>
      <c r="I1183" s="31" t="str">
        <f t="shared" si="17"/>
        <v/>
      </c>
    </row>
    <row r="1184" spans="1:9">
      <c r="A1184" t="str">
        <f>IF('LISTA DE PRECIOS'!$H1198&gt;0,'LISTA DE PRECIOS'!A1198,"")</f>
        <v/>
      </c>
      <c r="B1184" t="str">
        <f>IF('LISTA DE PRECIOS'!$H1198&gt;0,'LISTA DE PRECIOS'!B1198,"")</f>
        <v/>
      </c>
      <c r="C1184" t="str">
        <f>IF('LISTA DE PRECIOS'!$H1198&gt;0,'LISTA DE PRECIOS'!C1198,"")</f>
        <v/>
      </c>
      <c r="D1184" s="67" t="str">
        <f>IF('LISTA DE PRECIOS'!$H1198&gt;0,'LISTA DE PRECIOS'!D1198,"")</f>
        <v/>
      </c>
      <c r="E1184" t="str">
        <f>IF('LISTA DE PRECIOS'!$H1198&gt;0,'LISTA DE PRECIOS'!E1198,"")</f>
        <v/>
      </c>
      <c r="F1184" t="str">
        <f>IF('LISTA DE PRECIOS'!$H1198&gt;0,'LISTA DE PRECIOS'!F1198,"")</f>
        <v/>
      </c>
      <c r="G1184" s="31" t="str">
        <f>IF('LISTA DE PRECIOS'!$H1198&gt;0,'LISTA DE PRECIOS'!G1198,"")</f>
        <v/>
      </c>
      <c r="H1184" s="67" t="str">
        <f>IF('LISTA DE PRECIOS'!$H1198&gt;0,'LISTA DE PRECIOS'!H1198,"")</f>
        <v/>
      </c>
      <c r="I1184" s="31" t="str">
        <f t="shared" si="17"/>
        <v/>
      </c>
    </row>
    <row r="1185" spans="1:9">
      <c r="A1185" t="str">
        <f>IF('LISTA DE PRECIOS'!$H1199&gt;0,'LISTA DE PRECIOS'!A1199,"")</f>
        <v/>
      </c>
      <c r="B1185" t="str">
        <f>IF('LISTA DE PRECIOS'!$H1199&gt;0,'LISTA DE PRECIOS'!B1199,"")</f>
        <v/>
      </c>
      <c r="C1185" t="str">
        <f>IF('LISTA DE PRECIOS'!$H1199&gt;0,'LISTA DE PRECIOS'!C1199,"")</f>
        <v/>
      </c>
      <c r="D1185" s="67" t="str">
        <f>IF('LISTA DE PRECIOS'!$H1199&gt;0,'LISTA DE PRECIOS'!D1199,"")</f>
        <v/>
      </c>
      <c r="E1185" t="str">
        <f>IF('LISTA DE PRECIOS'!$H1199&gt;0,'LISTA DE PRECIOS'!E1199,"")</f>
        <v/>
      </c>
      <c r="F1185" t="str">
        <f>IF('LISTA DE PRECIOS'!$H1199&gt;0,'LISTA DE PRECIOS'!F1199,"")</f>
        <v/>
      </c>
      <c r="G1185" s="31" t="str">
        <f>IF('LISTA DE PRECIOS'!$H1199&gt;0,'LISTA DE PRECIOS'!G1199,"")</f>
        <v/>
      </c>
      <c r="H1185" s="67" t="str">
        <f>IF('LISTA DE PRECIOS'!$H1199&gt;0,'LISTA DE PRECIOS'!H1199,"")</f>
        <v/>
      </c>
      <c r="I1185" s="31" t="str">
        <f t="shared" si="17"/>
        <v/>
      </c>
    </row>
    <row r="1186" spans="1:9">
      <c r="A1186" t="str">
        <f>IF('LISTA DE PRECIOS'!$H1200&gt;0,'LISTA DE PRECIOS'!A1200,"")</f>
        <v/>
      </c>
      <c r="B1186" t="str">
        <f>IF('LISTA DE PRECIOS'!$H1200&gt;0,'LISTA DE PRECIOS'!B1200,"")</f>
        <v/>
      </c>
      <c r="C1186" t="str">
        <f>IF('LISTA DE PRECIOS'!$H1200&gt;0,'LISTA DE PRECIOS'!C1200,"")</f>
        <v/>
      </c>
      <c r="D1186" s="67" t="str">
        <f>IF('LISTA DE PRECIOS'!$H1200&gt;0,'LISTA DE PRECIOS'!D1200,"")</f>
        <v/>
      </c>
      <c r="E1186" t="str">
        <f>IF('LISTA DE PRECIOS'!$H1200&gt;0,'LISTA DE PRECIOS'!E1200,"")</f>
        <v/>
      </c>
      <c r="F1186" t="str">
        <f>IF('LISTA DE PRECIOS'!$H1200&gt;0,'LISTA DE PRECIOS'!F1200,"")</f>
        <v/>
      </c>
      <c r="G1186" s="31" t="str">
        <f>IF('LISTA DE PRECIOS'!$H1200&gt;0,'LISTA DE PRECIOS'!G1200,"")</f>
        <v/>
      </c>
      <c r="H1186" s="67" t="str">
        <f>IF('LISTA DE PRECIOS'!$H1200&gt;0,'LISTA DE PRECIOS'!H1200,"")</f>
        <v/>
      </c>
      <c r="I1186" s="31" t="str">
        <f t="shared" si="17"/>
        <v/>
      </c>
    </row>
    <row r="1187" spans="1:9">
      <c r="A1187" t="str">
        <f>IF('LISTA DE PRECIOS'!$H1201&gt;0,'LISTA DE PRECIOS'!A1201,"")</f>
        <v/>
      </c>
      <c r="B1187" t="str">
        <f>IF('LISTA DE PRECIOS'!$H1201&gt;0,'LISTA DE PRECIOS'!B1201,"")</f>
        <v/>
      </c>
      <c r="C1187" t="str">
        <f>IF('LISTA DE PRECIOS'!$H1201&gt;0,'LISTA DE PRECIOS'!C1201,"")</f>
        <v/>
      </c>
      <c r="D1187" s="67" t="str">
        <f>IF('LISTA DE PRECIOS'!$H1201&gt;0,'LISTA DE PRECIOS'!D1201,"")</f>
        <v/>
      </c>
      <c r="E1187" t="str">
        <f>IF('LISTA DE PRECIOS'!$H1201&gt;0,'LISTA DE PRECIOS'!E1201,"")</f>
        <v/>
      </c>
      <c r="F1187" t="str">
        <f>IF('LISTA DE PRECIOS'!$H1201&gt;0,'LISTA DE PRECIOS'!F1201,"")</f>
        <v/>
      </c>
      <c r="G1187" s="31" t="str">
        <f>IF('LISTA DE PRECIOS'!$H1201&gt;0,'LISTA DE PRECIOS'!G1201,"")</f>
        <v/>
      </c>
      <c r="H1187" s="67" t="str">
        <f>IF('LISTA DE PRECIOS'!$H1201&gt;0,'LISTA DE PRECIOS'!H1201,"")</f>
        <v/>
      </c>
      <c r="I1187" s="31" t="str">
        <f t="shared" si="17"/>
        <v/>
      </c>
    </row>
    <row r="1188" spans="1:9">
      <c r="A1188" t="str">
        <f>IF('LISTA DE PRECIOS'!$H1202&gt;0,'LISTA DE PRECIOS'!A1202,"")</f>
        <v/>
      </c>
      <c r="B1188" t="str">
        <f>IF('LISTA DE PRECIOS'!$H1202&gt;0,'LISTA DE PRECIOS'!B1202,"")</f>
        <v/>
      </c>
      <c r="C1188" t="str">
        <f>IF('LISTA DE PRECIOS'!$H1202&gt;0,'LISTA DE PRECIOS'!C1202,"")</f>
        <v/>
      </c>
      <c r="D1188" s="67" t="str">
        <f>IF('LISTA DE PRECIOS'!$H1202&gt;0,'LISTA DE PRECIOS'!D1202,"")</f>
        <v/>
      </c>
      <c r="E1188" t="str">
        <f>IF('LISTA DE PRECIOS'!$H1202&gt;0,'LISTA DE PRECIOS'!E1202,"")</f>
        <v/>
      </c>
      <c r="F1188" t="str">
        <f>IF('LISTA DE PRECIOS'!$H1202&gt;0,'LISTA DE PRECIOS'!F1202,"")</f>
        <v/>
      </c>
      <c r="G1188" s="31" t="str">
        <f>IF('LISTA DE PRECIOS'!$H1202&gt;0,'LISTA DE PRECIOS'!G1202,"")</f>
        <v/>
      </c>
      <c r="H1188" s="67" t="str">
        <f>IF('LISTA DE PRECIOS'!$H1202&gt;0,'LISTA DE PRECIOS'!H1202,"")</f>
        <v/>
      </c>
      <c r="I1188" s="31" t="str">
        <f t="shared" si="17"/>
        <v/>
      </c>
    </row>
    <row r="1189" spans="1:9">
      <c r="A1189" t="str">
        <f>IF('LISTA DE PRECIOS'!$H1203&gt;0,'LISTA DE PRECIOS'!A1203,"")</f>
        <v/>
      </c>
      <c r="B1189" t="str">
        <f>IF('LISTA DE PRECIOS'!$H1203&gt;0,'LISTA DE PRECIOS'!B1203,"")</f>
        <v/>
      </c>
      <c r="C1189" t="str">
        <f>IF('LISTA DE PRECIOS'!$H1203&gt;0,'LISTA DE PRECIOS'!C1203,"")</f>
        <v/>
      </c>
      <c r="D1189" s="67" t="str">
        <f>IF('LISTA DE PRECIOS'!$H1203&gt;0,'LISTA DE PRECIOS'!D1203,"")</f>
        <v/>
      </c>
      <c r="E1189" t="str">
        <f>IF('LISTA DE PRECIOS'!$H1203&gt;0,'LISTA DE PRECIOS'!E1203,"")</f>
        <v/>
      </c>
      <c r="F1189" t="str">
        <f>IF('LISTA DE PRECIOS'!$H1203&gt;0,'LISTA DE PRECIOS'!F1203,"")</f>
        <v/>
      </c>
      <c r="G1189" s="31" t="str">
        <f>IF('LISTA DE PRECIOS'!$H1203&gt;0,'LISTA DE PRECIOS'!G1203,"")</f>
        <v/>
      </c>
      <c r="H1189" s="67" t="str">
        <f>IF('LISTA DE PRECIOS'!$H1203&gt;0,'LISTA DE PRECIOS'!H1203,"")</f>
        <v/>
      </c>
      <c r="I1189" s="31" t="str">
        <f t="shared" si="17"/>
        <v/>
      </c>
    </row>
    <row r="1190" spans="1:9">
      <c r="A1190" t="str">
        <f>IF('LISTA DE PRECIOS'!$H1204&gt;0,'LISTA DE PRECIOS'!A1204,"")</f>
        <v/>
      </c>
      <c r="B1190" t="str">
        <f>IF('LISTA DE PRECIOS'!$H1204&gt;0,'LISTA DE PRECIOS'!B1204,"")</f>
        <v/>
      </c>
      <c r="C1190" t="str">
        <f>IF('LISTA DE PRECIOS'!$H1204&gt;0,'LISTA DE PRECIOS'!C1204,"")</f>
        <v/>
      </c>
      <c r="D1190" s="67" t="str">
        <f>IF('LISTA DE PRECIOS'!$H1204&gt;0,'LISTA DE PRECIOS'!D1204,"")</f>
        <v/>
      </c>
      <c r="E1190" t="str">
        <f>IF('LISTA DE PRECIOS'!$H1204&gt;0,'LISTA DE PRECIOS'!E1204,"")</f>
        <v/>
      </c>
      <c r="F1190" t="str">
        <f>IF('LISTA DE PRECIOS'!$H1204&gt;0,'LISTA DE PRECIOS'!F1204,"")</f>
        <v/>
      </c>
      <c r="G1190" s="31" t="str">
        <f>IF('LISTA DE PRECIOS'!$H1204&gt;0,'LISTA DE PRECIOS'!G1204,"")</f>
        <v/>
      </c>
      <c r="H1190" s="67" t="str">
        <f>IF('LISTA DE PRECIOS'!$H1204&gt;0,'LISTA DE PRECIOS'!H1204,"")</f>
        <v/>
      </c>
      <c r="I1190" s="31" t="str">
        <f t="shared" si="17"/>
        <v/>
      </c>
    </row>
    <row r="1191" spans="1:9">
      <c r="A1191" t="str">
        <f>IF('LISTA DE PRECIOS'!$H1205&gt;0,'LISTA DE PRECIOS'!A1205,"")</f>
        <v/>
      </c>
      <c r="B1191" t="str">
        <f>IF('LISTA DE PRECIOS'!$H1205&gt;0,'LISTA DE PRECIOS'!B1205,"")</f>
        <v/>
      </c>
      <c r="C1191" t="str">
        <f>IF('LISTA DE PRECIOS'!$H1205&gt;0,'LISTA DE PRECIOS'!C1205,"")</f>
        <v/>
      </c>
      <c r="D1191" s="67" t="str">
        <f>IF('LISTA DE PRECIOS'!$H1205&gt;0,'LISTA DE PRECIOS'!D1205,"")</f>
        <v/>
      </c>
      <c r="E1191" t="str">
        <f>IF('LISTA DE PRECIOS'!$H1205&gt;0,'LISTA DE PRECIOS'!E1205,"")</f>
        <v/>
      </c>
      <c r="F1191" t="str">
        <f>IF('LISTA DE PRECIOS'!$H1205&gt;0,'LISTA DE PRECIOS'!F1205,"")</f>
        <v/>
      </c>
      <c r="G1191" s="31" t="str">
        <f>IF('LISTA DE PRECIOS'!$H1205&gt;0,'LISTA DE PRECIOS'!G1205,"")</f>
        <v/>
      </c>
      <c r="H1191" s="67" t="str">
        <f>IF('LISTA DE PRECIOS'!$H1205&gt;0,'LISTA DE PRECIOS'!H1205,"")</f>
        <v/>
      </c>
      <c r="I1191" s="31" t="str">
        <f t="shared" si="17"/>
        <v/>
      </c>
    </row>
    <row r="1192" spans="1:9">
      <c r="A1192" t="str">
        <f>IF('LISTA DE PRECIOS'!$H1206&gt;0,'LISTA DE PRECIOS'!A1206,"")</f>
        <v/>
      </c>
      <c r="B1192" t="str">
        <f>IF('LISTA DE PRECIOS'!$H1206&gt;0,'LISTA DE PRECIOS'!B1206,"")</f>
        <v/>
      </c>
      <c r="C1192" t="str">
        <f>IF('LISTA DE PRECIOS'!$H1206&gt;0,'LISTA DE PRECIOS'!C1206,"")</f>
        <v/>
      </c>
      <c r="D1192" s="67" t="str">
        <f>IF('LISTA DE PRECIOS'!$H1206&gt;0,'LISTA DE PRECIOS'!D1206,"")</f>
        <v/>
      </c>
      <c r="E1192" t="str">
        <f>IF('LISTA DE PRECIOS'!$H1206&gt;0,'LISTA DE PRECIOS'!E1206,"")</f>
        <v/>
      </c>
      <c r="F1192" t="str">
        <f>IF('LISTA DE PRECIOS'!$H1206&gt;0,'LISTA DE PRECIOS'!F1206,"")</f>
        <v/>
      </c>
      <c r="G1192" s="31" t="str">
        <f>IF('LISTA DE PRECIOS'!$H1206&gt;0,'LISTA DE PRECIOS'!G1206,"")</f>
        <v/>
      </c>
      <c r="H1192" s="67" t="str">
        <f>IF('LISTA DE PRECIOS'!$H1206&gt;0,'LISTA DE PRECIOS'!H1206,"")</f>
        <v/>
      </c>
      <c r="I1192" s="31" t="str">
        <f t="shared" si="17"/>
        <v/>
      </c>
    </row>
    <row r="1193" spans="1:9">
      <c r="A1193" t="str">
        <f>IF('LISTA DE PRECIOS'!$H1207&gt;0,'LISTA DE PRECIOS'!A1207,"")</f>
        <v/>
      </c>
      <c r="B1193" t="str">
        <f>IF('LISTA DE PRECIOS'!$H1207&gt;0,'LISTA DE PRECIOS'!B1207,"")</f>
        <v/>
      </c>
      <c r="C1193" t="str">
        <f>IF('LISTA DE PRECIOS'!$H1207&gt;0,'LISTA DE PRECIOS'!C1207,"")</f>
        <v/>
      </c>
      <c r="D1193" s="67" t="str">
        <f>IF('LISTA DE PRECIOS'!$H1207&gt;0,'LISTA DE PRECIOS'!D1207,"")</f>
        <v/>
      </c>
      <c r="E1193" t="str">
        <f>IF('LISTA DE PRECIOS'!$H1207&gt;0,'LISTA DE PRECIOS'!E1207,"")</f>
        <v/>
      </c>
      <c r="F1193" t="str">
        <f>IF('LISTA DE PRECIOS'!$H1207&gt;0,'LISTA DE PRECIOS'!F1207,"")</f>
        <v/>
      </c>
      <c r="G1193" s="31" t="str">
        <f>IF('LISTA DE PRECIOS'!$H1207&gt;0,'LISTA DE PRECIOS'!G1207,"")</f>
        <v/>
      </c>
      <c r="H1193" s="67" t="str">
        <f>IF('LISTA DE PRECIOS'!$H1207&gt;0,'LISTA DE PRECIOS'!H1207,"")</f>
        <v/>
      </c>
      <c r="I1193" s="31" t="str">
        <f t="shared" si="17"/>
        <v/>
      </c>
    </row>
    <row r="1194" spans="1:9">
      <c r="A1194" t="str">
        <f>IF('LISTA DE PRECIOS'!$H1208&gt;0,'LISTA DE PRECIOS'!A1208,"")</f>
        <v/>
      </c>
      <c r="B1194" t="str">
        <f>IF('LISTA DE PRECIOS'!$H1208&gt;0,'LISTA DE PRECIOS'!B1208,"")</f>
        <v/>
      </c>
      <c r="C1194" t="str">
        <f>IF('LISTA DE PRECIOS'!$H1208&gt;0,'LISTA DE PRECIOS'!C1208,"")</f>
        <v/>
      </c>
      <c r="D1194" s="67" t="str">
        <f>IF('LISTA DE PRECIOS'!$H1208&gt;0,'LISTA DE PRECIOS'!D1208,"")</f>
        <v/>
      </c>
      <c r="E1194" t="str">
        <f>IF('LISTA DE PRECIOS'!$H1208&gt;0,'LISTA DE PRECIOS'!E1208,"")</f>
        <v/>
      </c>
      <c r="F1194" t="str">
        <f>IF('LISTA DE PRECIOS'!$H1208&gt;0,'LISTA DE PRECIOS'!F1208,"")</f>
        <v/>
      </c>
      <c r="G1194" s="31" t="str">
        <f>IF('LISTA DE PRECIOS'!$H1208&gt;0,'LISTA DE PRECIOS'!G1208,"")</f>
        <v/>
      </c>
      <c r="H1194" s="67" t="str">
        <f>IF('LISTA DE PRECIOS'!$H1208&gt;0,'LISTA DE PRECIOS'!H1208,"")</f>
        <v/>
      </c>
      <c r="I1194" s="31" t="str">
        <f t="shared" si="17"/>
        <v/>
      </c>
    </row>
    <row r="1195" spans="1:9">
      <c r="A1195" t="str">
        <f>IF('LISTA DE PRECIOS'!$H1209&gt;0,'LISTA DE PRECIOS'!A1209,"")</f>
        <v/>
      </c>
      <c r="B1195" t="str">
        <f>IF('LISTA DE PRECIOS'!$H1209&gt;0,'LISTA DE PRECIOS'!B1209,"")</f>
        <v/>
      </c>
      <c r="C1195" t="str">
        <f>IF('LISTA DE PRECIOS'!$H1209&gt;0,'LISTA DE PRECIOS'!C1209,"")</f>
        <v/>
      </c>
      <c r="D1195" s="67" t="str">
        <f>IF('LISTA DE PRECIOS'!$H1209&gt;0,'LISTA DE PRECIOS'!D1209,"")</f>
        <v/>
      </c>
      <c r="E1195" t="str">
        <f>IF('LISTA DE PRECIOS'!$H1209&gt;0,'LISTA DE PRECIOS'!E1209,"")</f>
        <v/>
      </c>
      <c r="F1195" t="str">
        <f>IF('LISTA DE PRECIOS'!$H1209&gt;0,'LISTA DE PRECIOS'!F1209,"")</f>
        <v/>
      </c>
      <c r="G1195" s="31" t="str">
        <f>IF('LISTA DE PRECIOS'!$H1209&gt;0,'LISTA DE PRECIOS'!G1209,"")</f>
        <v/>
      </c>
      <c r="H1195" s="67" t="str">
        <f>IF('LISTA DE PRECIOS'!$H1209&gt;0,'LISTA DE PRECIOS'!H1209,"")</f>
        <v/>
      </c>
      <c r="I1195" s="31" t="str">
        <f t="shared" si="17"/>
        <v/>
      </c>
    </row>
    <row r="1196" spans="1:9">
      <c r="A1196" t="str">
        <f>IF('LISTA DE PRECIOS'!$H1210&gt;0,'LISTA DE PRECIOS'!A1210,"")</f>
        <v/>
      </c>
      <c r="B1196" t="str">
        <f>IF('LISTA DE PRECIOS'!$H1210&gt;0,'LISTA DE PRECIOS'!B1210,"")</f>
        <v/>
      </c>
      <c r="C1196" t="str">
        <f>IF('LISTA DE PRECIOS'!$H1210&gt;0,'LISTA DE PRECIOS'!C1210,"")</f>
        <v/>
      </c>
      <c r="D1196" s="67" t="str">
        <f>IF('LISTA DE PRECIOS'!$H1210&gt;0,'LISTA DE PRECIOS'!D1210,"")</f>
        <v/>
      </c>
      <c r="E1196" t="str">
        <f>IF('LISTA DE PRECIOS'!$H1210&gt;0,'LISTA DE PRECIOS'!E1210,"")</f>
        <v/>
      </c>
      <c r="F1196" t="str">
        <f>IF('LISTA DE PRECIOS'!$H1210&gt;0,'LISTA DE PRECIOS'!F1210,"")</f>
        <v/>
      </c>
      <c r="G1196" s="31" t="str">
        <f>IF('LISTA DE PRECIOS'!$H1210&gt;0,'LISTA DE PRECIOS'!G1210,"")</f>
        <v/>
      </c>
      <c r="H1196" s="67" t="str">
        <f>IF('LISTA DE PRECIOS'!$H1210&gt;0,'LISTA DE PRECIOS'!H1210,"")</f>
        <v/>
      </c>
      <c r="I1196" s="31" t="str">
        <f t="shared" si="17"/>
        <v/>
      </c>
    </row>
    <row r="1197" spans="1:9">
      <c r="A1197" t="str">
        <f>IF('LISTA DE PRECIOS'!$H1211&gt;0,'LISTA DE PRECIOS'!A1211,"")</f>
        <v/>
      </c>
      <c r="B1197" t="str">
        <f>IF('LISTA DE PRECIOS'!$H1211&gt;0,'LISTA DE PRECIOS'!B1211,"")</f>
        <v/>
      </c>
      <c r="C1197" t="str">
        <f>IF('LISTA DE PRECIOS'!$H1211&gt;0,'LISTA DE PRECIOS'!C1211,"")</f>
        <v/>
      </c>
      <c r="D1197" s="67" t="str">
        <f>IF('LISTA DE PRECIOS'!$H1211&gt;0,'LISTA DE PRECIOS'!D1211,"")</f>
        <v/>
      </c>
      <c r="E1197" t="str">
        <f>IF('LISTA DE PRECIOS'!$H1211&gt;0,'LISTA DE PRECIOS'!E1211,"")</f>
        <v/>
      </c>
      <c r="F1197" t="str">
        <f>IF('LISTA DE PRECIOS'!$H1211&gt;0,'LISTA DE PRECIOS'!F1211,"")</f>
        <v/>
      </c>
      <c r="G1197" s="31" t="str">
        <f>IF('LISTA DE PRECIOS'!$H1211&gt;0,'LISTA DE PRECIOS'!G1211,"")</f>
        <v/>
      </c>
      <c r="H1197" s="67" t="str">
        <f>IF('LISTA DE PRECIOS'!$H1211&gt;0,'LISTA DE PRECIOS'!H1211,"")</f>
        <v/>
      </c>
      <c r="I1197" s="31" t="str">
        <f t="shared" si="17"/>
        <v/>
      </c>
    </row>
    <row r="1198" spans="1:9">
      <c r="A1198" t="str">
        <f>IF('LISTA DE PRECIOS'!$H1212&gt;0,'LISTA DE PRECIOS'!A1212,"")</f>
        <v/>
      </c>
      <c r="B1198" t="str">
        <f>IF('LISTA DE PRECIOS'!$H1212&gt;0,'LISTA DE PRECIOS'!B1212,"")</f>
        <v/>
      </c>
      <c r="C1198" t="str">
        <f>IF('LISTA DE PRECIOS'!$H1212&gt;0,'LISTA DE PRECIOS'!C1212,"")</f>
        <v/>
      </c>
      <c r="D1198" s="67" t="str">
        <f>IF('LISTA DE PRECIOS'!$H1212&gt;0,'LISTA DE PRECIOS'!D1212,"")</f>
        <v/>
      </c>
      <c r="E1198" t="str">
        <f>IF('LISTA DE PRECIOS'!$H1212&gt;0,'LISTA DE PRECIOS'!E1212,"")</f>
        <v/>
      </c>
      <c r="F1198" t="str">
        <f>IF('LISTA DE PRECIOS'!$H1212&gt;0,'LISTA DE PRECIOS'!F1212,"")</f>
        <v/>
      </c>
      <c r="G1198" s="31" t="str">
        <f>IF('LISTA DE PRECIOS'!$H1212&gt;0,'LISTA DE PRECIOS'!G1212,"")</f>
        <v/>
      </c>
      <c r="H1198" s="67" t="str">
        <f>IF('LISTA DE PRECIOS'!$H1212&gt;0,'LISTA DE PRECIOS'!H1212,"")</f>
        <v/>
      </c>
      <c r="I1198" s="31" t="str">
        <f t="shared" si="17"/>
        <v/>
      </c>
    </row>
    <row r="1199" spans="1:9">
      <c r="A1199" t="str">
        <f>IF('LISTA DE PRECIOS'!$H1213&gt;0,'LISTA DE PRECIOS'!A1213,"")</f>
        <v/>
      </c>
      <c r="B1199" t="str">
        <f>IF('LISTA DE PRECIOS'!$H1213&gt;0,'LISTA DE PRECIOS'!B1213,"")</f>
        <v/>
      </c>
      <c r="C1199" t="str">
        <f>IF('LISTA DE PRECIOS'!$H1213&gt;0,'LISTA DE PRECIOS'!C1213,"")</f>
        <v/>
      </c>
      <c r="D1199" s="67" t="str">
        <f>IF('LISTA DE PRECIOS'!$H1213&gt;0,'LISTA DE PRECIOS'!D1213,"")</f>
        <v/>
      </c>
      <c r="E1199" t="str">
        <f>IF('LISTA DE PRECIOS'!$H1213&gt;0,'LISTA DE PRECIOS'!E1213,"")</f>
        <v/>
      </c>
      <c r="F1199" t="str">
        <f>IF('LISTA DE PRECIOS'!$H1213&gt;0,'LISTA DE PRECIOS'!F1213,"")</f>
        <v/>
      </c>
      <c r="G1199" s="31" t="str">
        <f>IF('LISTA DE PRECIOS'!$H1213&gt;0,'LISTA DE PRECIOS'!G1213,"")</f>
        <v/>
      </c>
      <c r="H1199" s="67" t="str">
        <f>IF('LISTA DE PRECIOS'!$H1213&gt;0,'LISTA DE PRECIOS'!H1213,"")</f>
        <v/>
      </c>
      <c r="I1199" s="31" t="str">
        <f t="shared" si="17"/>
        <v/>
      </c>
    </row>
    <row r="1200" spans="1:9">
      <c r="A1200" t="str">
        <f>IF('LISTA DE PRECIOS'!$H1214&gt;0,'LISTA DE PRECIOS'!A1214,"")</f>
        <v/>
      </c>
      <c r="B1200" t="str">
        <f>IF('LISTA DE PRECIOS'!$H1214&gt;0,'LISTA DE PRECIOS'!B1214,"")</f>
        <v/>
      </c>
      <c r="C1200" t="str">
        <f>IF('LISTA DE PRECIOS'!$H1214&gt;0,'LISTA DE PRECIOS'!C1214,"")</f>
        <v/>
      </c>
      <c r="D1200" s="67" t="str">
        <f>IF('LISTA DE PRECIOS'!$H1214&gt;0,'LISTA DE PRECIOS'!D1214,"")</f>
        <v/>
      </c>
      <c r="E1200" t="str">
        <f>IF('LISTA DE PRECIOS'!$H1214&gt;0,'LISTA DE PRECIOS'!E1214,"")</f>
        <v/>
      </c>
      <c r="F1200" t="str">
        <f>IF('LISTA DE PRECIOS'!$H1214&gt;0,'LISTA DE PRECIOS'!F1214,"")</f>
        <v/>
      </c>
      <c r="G1200" s="31" t="str">
        <f>IF('LISTA DE PRECIOS'!$H1214&gt;0,'LISTA DE PRECIOS'!G1214,"")</f>
        <v/>
      </c>
      <c r="H1200" s="67" t="str">
        <f>IF('LISTA DE PRECIOS'!$H1214&gt;0,'LISTA DE PRECIOS'!H1214,"")</f>
        <v/>
      </c>
      <c r="I1200" s="31" t="str">
        <f t="shared" si="17"/>
        <v/>
      </c>
    </row>
    <row r="1201" spans="1:9">
      <c r="A1201" t="str">
        <f>IF('LISTA DE PRECIOS'!$H1215&gt;0,'LISTA DE PRECIOS'!A1215,"")</f>
        <v/>
      </c>
      <c r="B1201" t="str">
        <f>IF('LISTA DE PRECIOS'!$H1215&gt;0,'LISTA DE PRECIOS'!B1215,"")</f>
        <v/>
      </c>
      <c r="C1201" t="str">
        <f>IF('LISTA DE PRECIOS'!$H1215&gt;0,'LISTA DE PRECIOS'!C1215,"")</f>
        <v/>
      </c>
      <c r="D1201" s="67" t="str">
        <f>IF('LISTA DE PRECIOS'!$H1215&gt;0,'LISTA DE PRECIOS'!D1215,"")</f>
        <v/>
      </c>
      <c r="E1201" t="str">
        <f>IF('LISTA DE PRECIOS'!$H1215&gt;0,'LISTA DE PRECIOS'!E1215,"")</f>
        <v/>
      </c>
      <c r="F1201" t="str">
        <f>IF('LISTA DE PRECIOS'!$H1215&gt;0,'LISTA DE PRECIOS'!F1215,"")</f>
        <v/>
      </c>
      <c r="G1201" s="31" t="str">
        <f>IF('LISTA DE PRECIOS'!$H1215&gt;0,'LISTA DE PRECIOS'!G1215,"")</f>
        <v/>
      </c>
      <c r="H1201" s="67" t="str">
        <f>IF('LISTA DE PRECIOS'!$H1215&gt;0,'LISTA DE PRECIOS'!H1215,"")</f>
        <v/>
      </c>
      <c r="I1201" s="31" t="str">
        <f t="shared" si="17"/>
        <v/>
      </c>
    </row>
    <row r="1202" spans="1:9">
      <c r="A1202" t="str">
        <f>IF('LISTA DE PRECIOS'!$H1216&gt;0,'LISTA DE PRECIOS'!A1216,"")</f>
        <v/>
      </c>
      <c r="B1202" t="str">
        <f>IF('LISTA DE PRECIOS'!$H1216&gt;0,'LISTA DE PRECIOS'!B1216,"")</f>
        <v/>
      </c>
      <c r="C1202" t="str">
        <f>IF('LISTA DE PRECIOS'!$H1216&gt;0,'LISTA DE PRECIOS'!C1216,"")</f>
        <v/>
      </c>
      <c r="D1202" s="67" t="str">
        <f>IF('LISTA DE PRECIOS'!$H1216&gt;0,'LISTA DE PRECIOS'!D1216,"")</f>
        <v/>
      </c>
      <c r="E1202" t="str">
        <f>IF('LISTA DE PRECIOS'!$H1216&gt;0,'LISTA DE PRECIOS'!E1216,"")</f>
        <v/>
      </c>
      <c r="F1202" t="str">
        <f>IF('LISTA DE PRECIOS'!$H1216&gt;0,'LISTA DE PRECIOS'!F1216,"")</f>
        <v/>
      </c>
      <c r="G1202" s="31" t="str">
        <f>IF('LISTA DE PRECIOS'!$H1216&gt;0,'LISTA DE PRECIOS'!G1216,"")</f>
        <v/>
      </c>
      <c r="H1202" s="67" t="str">
        <f>IF('LISTA DE PRECIOS'!$H1216&gt;0,'LISTA DE PRECIOS'!H1216,"")</f>
        <v/>
      </c>
      <c r="I1202" s="31" t="str">
        <f t="shared" si="17"/>
        <v/>
      </c>
    </row>
    <row r="1203" spans="1:9">
      <c r="A1203" t="str">
        <f>IF('LISTA DE PRECIOS'!$H1217&gt;0,'LISTA DE PRECIOS'!A1217,"")</f>
        <v/>
      </c>
      <c r="B1203" t="str">
        <f>IF('LISTA DE PRECIOS'!$H1217&gt;0,'LISTA DE PRECIOS'!B1217,"")</f>
        <v/>
      </c>
      <c r="C1203" t="str">
        <f>IF('LISTA DE PRECIOS'!$H1217&gt;0,'LISTA DE PRECIOS'!C1217,"")</f>
        <v/>
      </c>
      <c r="D1203" s="67" t="str">
        <f>IF('LISTA DE PRECIOS'!$H1217&gt;0,'LISTA DE PRECIOS'!D1217,"")</f>
        <v/>
      </c>
      <c r="E1203" t="str">
        <f>IF('LISTA DE PRECIOS'!$H1217&gt;0,'LISTA DE PRECIOS'!E1217,"")</f>
        <v/>
      </c>
      <c r="F1203" t="str">
        <f>IF('LISTA DE PRECIOS'!$H1217&gt;0,'LISTA DE PRECIOS'!F1217,"")</f>
        <v/>
      </c>
      <c r="G1203" s="31" t="str">
        <f>IF('LISTA DE PRECIOS'!$H1217&gt;0,'LISTA DE PRECIOS'!G1217,"")</f>
        <v/>
      </c>
      <c r="H1203" s="67" t="str">
        <f>IF('LISTA DE PRECIOS'!$H1217&gt;0,'LISTA DE PRECIOS'!H1217,"")</f>
        <v/>
      </c>
      <c r="I1203" s="31" t="str">
        <f t="shared" si="17"/>
        <v/>
      </c>
    </row>
    <row r="1204" spans="1:9">
      <c r="A1204" t="str">
        <f>IF('LISTA DE PRECIOS'!$H1218&gt;0,'LISTA DE PRECIOS'!A1218,"")</f>
        <v/>
      </c>
      <c r="B1204" t="str">
        <f>IF('LISTA DE PRECIOS'!$H1218&gt;0,'LISTA DE PRECIOS'!B1218,"")</f>
        <v/>
      </c>
      <c r="C1204" t="str">
        <f>IF('LISTA DE PRECIOS'!$H1218&gt;0,'LISTA DE PRECIOS'!C1218,"")</f>
        <v/>
      </c>
      <c r="D1204" s="67" t="str">
        <f>IF('LISTA DE PRECIOS'!$H1218&gt;0,'LISTA DE PRECIOS'!D1218,"")</f>
        <v/>
      </c>
      <c r="E1204" t="str">
        <f>IF('LISTA DE PRECIOS'!$H1218&gt;0,'LISTA DE PRECIOS'!E1218,"")</f>
        <v/>
      </c>
      <c r="F1204" t="str">
        <f>IF('LISTA DE PRECIOS'!$H1218&gt;0,'LISTA DE PRECIOS'!F1218,"")</f>
        <v/>
      </c>
      <c r="G1204" s="31" t="str">
        <f>IF('LISTA DE PRECIOS'!$H1218&gt;0,'LISTA DE PRECIOS'!G1218,"")</f>
        <v/>
      </c>
      <c r="H1204" s="67" t="str">
        <f>IF('LISTA DE PRECIOS'!$H1218&gt;0,'LISTA DE PRECIOS'!H1218,"")</f>
        <v/>
      </c>
      <c r="I1204" s="31" t="str">
        <f t="shared" si="17"/>
        <v/>
      </c>
    </row>
    <row r="1205" spans="1:9">
      <c r="A1205" t="str">
        <f>IF('LISTA DE PRECIOS'!$H1219&gt;0,'LISTA DE PRECIOS'!A1219,"")</f>
        <v/>
      </c>
      <c r="B1205" t="str">
        <f>IF('LISTA DE PRECIOS'!$H1219&gt;0,'LISTA DE PRECIOS'!B1219,"")</f>
        <v/>
      </c>
      <c r="C1205" t="str">
        <f>IF('LISTA DE PRECIOS'!$H1219&gt;0,'LISTA DE PRECIOS'!C1219,"")</f>
        <v/>
      </c>
      <c r="D1205" s="67" t="str">
        <f>IF('LISTA DE PRECIOS'!$H1219&gt;0,'LISTA DE PRECIOS'!D1219,"")</f>
        <v/>
      </c>
      <c r="E1205" t="str">
        <f>IF('LISTA DE PRECIOS'!$H1219&gt;0,'LISTA DE PRECIOS'!E1219,"")</f>
        <v/>
      </c>
      <c r="F1205" t="str">
        <f>IF('LISTA DE PRECIOS'!$H1219&gt;0,'LISTA DE PRECIOS'!F1219,"")</f>
        <v/>
      </c>
      <c r="G1205" s="31" t="str">
        <f>IF('LISTA DE PRECIOS'!$H1219&gt;0,'LISTA DE PRECIOS'!G1219,"")</f>
        <v/>
      </c>
      <c r="H1205" s="67" t="str">
        <f>IF('LISTA DE PRECIOS'!$H1219&gt;0,'LISTA DE PRECIOS'!H1219,"")</f>
        <v/>
      </c>
      <c r="I1205" s="31" t="str">
        <f t="shared" si="17"/>
        <v/>
      </c>
    </row>
    <row r="1206" spans="1:9">
      <c r="A1206" t="str">
        <f>IF('LISTA DE PRECIOS'!$H1220&gt;0,'LISTA DE PRECIOS'!A1220,"")</f>
        <v/>
      </c>
      <c r="B1206" t="str">
        <f>IF('LISTA DE PRECIOS'!$H1220&gt;0,'LISTA DE PRECIOS'!B1220,"")</f>
        <v/>
      </c>
      <c r="C1206" t="str">
        <f>IF('LISTA DE PRECIOS'!$H1220&gt;0,'LISTA DE PRECIOS'!C1220,"")</f>
        <v/>
      </c>
      <c r="D1206" s="67" t="str">
        <f>IF('LISTA DE PRECIOS'!$H1220&gt;0,'LISTA DE PRECIOS'!D1220,"")</f>
        <v/>
      </c>
      <c r="E1206" t="str">
        <f>IF('LISTA DE PRECIOS'!$H1220&gt;0,'LISTA DE PRECIOS'!E1220,"")</f>
        <v/>
      </c>
      <c r="F1206" t="str">
        <f>IF('LISTA DE PRECIOS'!$H1220&gt;0,'LISTA DE PRECIOS'!F1220,"")</f>
        <v/>
      </c>
      <c r="G1206" s="31" t="str">
        <f>IF('LISTA DE PRECIOS'!$H1220&gt;0,'LISTA DE PRECIOS'!G1220,"")</f>
        <v/>
      </c>
      <c r="H1206" s="67" t="str">
        <f>IF('LISTA DE PRECIOS'!$H1220&gt;0,'LISTA DE PRECIOS'!H1220,"")</f>
        <v/>
      </c>
      <c r="I1206" s="31" t="str">
        <f t="shared" si="17"/>
        <v/>
      </c>
    </row>
    <row r="1207" spans="1:9">
      <c r="A1207" t="str">
        <f>IF('LISTA DE PRECIOS'!$H1221&gt;0,'LISTA DE PRECIOS'!A1221,"")</f>
        <v/>
      </c>
      <c r="B1207" t="str">
        <f>IF('LISTA DE PRECIOS'!$H1221&gt;0,'LISTA DE PRECIOS'!B1221,"")</f>
        <v/>
      </c>
      <c r="C1207" t="str">
        <f>IF('LISTA DE PRECIOS'!$H1221&gt;0,'LISTA DE PRECIOS'!C1221,"")</f>
        <v/>
      </c>
      <c r="D1207" s="67" t="str">
        <f>IF('LISTA DE PRECIOS'!$H1221&gt;0,'LISTA DE PRECIOS'!D1221,"")</f>
        <v/>
      </c>
      <c r="E1207" t="str">
        <f>IF('LISTA DE PRECIOS'!$H1221&gt;0,'LISTA DE PRECIOS'!E1221,"")</f>
        <v/>
      </c>
      <c r="F1207" t="str">
        <f>IF('LISTA DE PRECIOS'!$H1221&gt;0,'LISTA DE PRECIOS'!F1221,"")</f>
        <v/>
      </c>
      <c r="G1207" s="31" t="str">
        <f>IF('LISTA DE PRECIOS'!$H1221&gt;0,'LISTA DE PRECIOS'!G1221,"")</f>
        <v/>
      </c>
      <c r="H1207" s="67" t="str">
        <f>IF('LISTA DE PRECIOS'!$H1221&gt;0,'LISTA DE PRECIOS'!H1221,"")</f>
        <v/>
      </c>
      <c r="I1207" s="31" t="str">
        <f t="shared" si="17"/>
        <v/>
      </c>
    </row>
    <row r="1208" spans="1:9">
      <c r="A1208" t="str">
        <f>IF('LISTA DE PRECIOS'!$H1222&gt;0,'LISTA DE PRECIOS'!A1222,"")</f>
        <v/>
      </c>
      <c r="B1208" t="str">
        <f>IF('LISTA DE PRECIOS'!$H1222&gt;0,'LISTA DE PRECIOS'!B1222,"")</f>
        <v/>
      </c>
      <c r="C1208" t="str">
        <f>IF('LISTA DE PRECIOS'!$H1222&gt;0,'LISTA DE PRECIOS'!C1222,"")</f>
        <v/>
      </c>
      <c r="D1208" s="67" t="str">
        <f>IF('LISTA DE PRECIOS'!$H1222&gt;0,'LISTA DE PRECIOS'!D1222,"")</f>
        <v/>
      </c>
      <c r="E1208" t="str">
        <f>IF('LISTA DE PRECIOS'!$H1222&gt;0,'LISTA DE PRECIOS'!E1222,"")</f>
        <v/>
      </c>
      <c r="F1208" t="str">
        <f>IF('LISTA DE PRECIOS'!$H1222&gt;0,'LISTA DE PRECIOS'!F1222,"")</f>
        <v/>
      </c>
      <c r="G1208" s="31" t="str">
        <f>IF('LISTA DE PRECIOS'!$H1222&gt;0,'LISTA DE PRECIOS'!G1222,"")</f>
        <v/>
      </c>
      <c r="H1208" s="67" t="str">
        <f>IF('LISTA DE PRECIOS'!$H1222&gt;0,'LISTA DE PRECIOS'!H1222,"")</f>
        <v/>
      </c>
      <c r="I1208" s="31" t="str">
        <f t="shared" si="17"/>
        <v/>
      </c>
    </row>
    <row r="1209" spans="1:9">
      <c r="A1209" t="str">
        <f>IF('LISTA DE PRECIOS'!$H1223&gt;0,'LISTA DE PRECIOS'!A1223,"")</f>
        <v/>
      </c>
      <c r="B1209" t="str">
        <f>IF('LISTA DE PRECIOS'!$H1223&gt;0,'LISTA DE PRECIOS'!B1223,"")</f>
        <v/>
      </c>
      <c r="C1209" t="str">
        <f>IF('LISTA DE PRECIOS'!$H1223&gt;0,'LISTA DE PRECIOS'!C1223,"")</f>
        <v/>
      </c>
      <c r="D1209" s="67" t="str">
        <f>IF('LISTA DE PRECIOS'!$H1223&gt;0,'LISTA DE PRECIOS'!D1223,"")</f>
        <v/>
      </c>
      <c r="E1209" t="str">
        <f>IF('LISTA DE PRECIOS'!$H1223&gt;0,'LISTA DE PRECIOS'!E1223,"")</f>
        <v/>
      </c>
      <c r="F1209" t="str">
        <f>IF('LISTA DE PRECIOS'!$H1223&gt;0,'LISTA DE PRECIOS'!F1223,"")</f>
        <v/>
      </c>
      <c r="G1209" s="31" t="str">
        <f>IF('LISTA DE PRECIOS'!$H1223&gt;0,'LISTA DE PRECIOS'!G1223,"")</f>
        <v/>
      </c>
      <c r="H1209" s="67" t="str">
        <f>IF('LISTA DE PRECIOS'!$H1223&gt;0,'LISTA DE PRECIOS'!H1223,"")</f>
        <v/>
      </c>
      <c r="I1209" s="31" t="str">
        <f t="shared" si="17"/>
        <v/>
      </c>
    </row>
    <row r="1210" spans="1:9">
      <c r="A1210" t="str">
        <f>IF('LISTA DE PRECIOS'!$H1224&gt;0,'LISTA DE PRECIOS'!A1224,"")</f>
        <v/>
      </c>
      <c r="B1210" t="str">
        <f>IF('LISTA DE PRECIOS'!$H1224&gt;0,'LISTA DE PRECIOS'!B1224,"")</f>
        <v/>
      </c>
      <c r="C1210" t="str">
        <f>IF('LISTA DE PRECIOS'!$H1224&gt;0,'LISTA DE PRECIOS'!C1224,"")</f>
        <v/>
      </c>
      <c r="D1210" s="67" t="str">
        <f>IF('LISTA DE PRECIOS'!$H1224&gt;0,'LISTA DE PRECIOS'!D1224,"")</f>
        <v/>
      </c>
      <c r="E1210" t="str">
        <f>IF('LISTA DE PRECIOS'!$H1224&gt;0,'LISTA DE PRECIOS'!E1224,"")</f>
        <v/>
      </c>
      <c r="F1210" t="str">
        <f>IF('LISTA DE PRECIOS'!$H1224&gt;0,'LISTA DE PRECIOS'!F1224,"")</f>
        <v/>
      </c>
      <c r="G1210" s="31" t="str">
        <f>IF('LISTA DE PRECIOS'!$H1224&gt;0,'LISTA DE PRECIOS'!G1224,"")</f>
        <v/>
      </c>
      <c r="H1210" s="67" t="str">
        <f>IF('LISTA DE PRECIOS'!$H1224&gt;0,'LISTA DE PRECIOS'!H1224,"")</f>
        <v/>
      </c>
      <c r="I1210" s="31" t="str">
        <f t="shared" si="17"/>
        <v/>
      </c>
    </row>
    <row r="1211" spans="1:9">
      <c r="A1211" t="str">
        <f>IF('LISTA DE PRECIOS'!$H1225&gt;0,'LISTA DE PRECIOS'!A1225,"")</f>
        <v/>
      </c>
      <c r="B1211" t="str">
        <f>IF('LISTA DE PRECIOS'!$H1225&gt;0,'LISTA DE PRECIOS'!B1225,"")</f>
        <v/>
      </c>
      <c r="C1211" t="str">
        <f>IF('LISTA DE PRECIOS'!$H1225&gt;0,'LISTA DE PRECIOS'!C1225,"")</f>
        <v/>
      </c>
      <c r="D1211" s="67" t="str">
        <f>IF('LISTA DE PRECIOS'!$H1225&gt;0,'LISTA DE PRECIOS'!D1225,"")</f>
        <v/>
      </c>
      <c r="E1211" t="str">
        <f>IF('LISTA DE PRECIOS'!$H1225&gt;0,'LISTA DE PRECIOS'!E1225,"")</f>
        <v/>
      </c>
      <c r="F1211" t="str">
        <f>IF('LISTA DE PRECIOS'!$H1225&gt;0,'LISTA DE PRECIOS'!F1225,"")</f>
        <v/>
      </c>
      <c r="G1211" s="31" t="str">
        <f>IF('LISTA DE PRECIOS'!$H1225&gt;0,'LISTA DE PRECIOS'!G1225,"")</f>
        <v/>
      </c>
      <c r="H1211" s="67" t="str">
        <f>IF('LISTA DE PRECIOS'!$H1225&gt;0,'LISTA DE PRECIOS'!H1225,"")</f>
        <v/>
      </c>
      <c r="I1211" s="31" t="str">
        <f t="shared" si="17"/>
        <v/>
      </c>
    </row>
    <row r="1212" spans="1:9">
      <c r="A1212" t="str">
        <f>IF('LISTA DE PRECIOS'!$H1226&gt;0,'LISTA DE PRECIOS'!A1226,"")</f>
        <v/>
      </c>
      <c r="B1212" t="str">
        <f>IF('LISTA DE PRECIOS'!$H1226&gt;0,'LISTA DE PRECIOS'!B1226,"")</f>
        <v/>
      </c>
      <c r="C1212" t="str">
        <f>IF('LISTA DE PRECIOS'!$H1226&gt;0,'LISTA DE PRECIOS'!C1226,"")</f>
        <v/>
      </c>
      <c r="D1212" s="67" t="str">
        <f>IF('LISTA DE PRECIOS'!$H1226&gt;0,'LISTA DE PRECIOS'!D1226,"")</f>
        <v/>
      </c>
      <c r="E1212" t="str">
        <f>IF('LISTA DE PRECIOS'!$H1226&gt;0,'LISTA DE PRECIOS'!E1226,"")</f>
        <v/>
      </c>
      <c r="F1212" t="str">
        <f>IF('LISTA DE PRECIOS'!$H1226&gt;0,'LISTA DE PRECIOS'!F1226,"")</f>
        <v/>
      </c>
      <c r="G1212" s="31" t="str">
        <f>IF('LISTA DE PRECIOS'!$H1226&gt;0,'LISTA DE PRECIOS'!G1226,"")</f>
        <v/>
      </c>
      <c r="H1212" s="67" t="str">
        <f>IF('LISTA DE PRECIOS'!$H1226&gt;0,'LISTA DE PRECIOS'!H1226,"")</f>
        <v/>
      </c>
      <c r="I1212" s="31" t="str">
        <f t="shared" si="17"/>
        <v/>
      </c>
    </row>
    <row r="1213" spans="1:9">
      <c r="A1213" t="str">
        <f>IF('LISTA DE PRECIOS'!$H1227&gt;0,'LISTA DE PRECIOS'!A1227,"")</f>
        <v/>
      </c>
      <c r="B1213" t="str">
        <f>IF('LISTA DE PRECIOS'!$H1227&gt;0,'LISTA DE PRECIOS'!B1227,"")</f>
        <v/>
      </c>
      <c r="C1213" t="str">
        <f>IF('LISTA DE PRECIOS'!$H1227&gt;0,'LISTA DE PRECIOS'!C1227,"")</f>
        <v/>
      </c>
      <c r="D1213" s="67" t="str">
        <f>IF('LISTA DE PRECIOS'!$H1227&gt;0,'LISTA DE PRECIOS'!D1227,"")</f>
        <v/>
      </c>
      <c r="E1213" t="str">
        <f>IF('LISTA DE PRECIOS'!$H1227&gt;0,'LISTA DE PRECIOS'!E1227,"")</f>
        <v/>
      </c>
      <c r="F1213" t="str">
        <f>IF('LISTA DE PRECIOS'!$H1227&gt;0,'LISTA DE PRECIOS'!F1227,"")</f>
        <v/>
      </c>
      <c r="G1213" s="31" t="str">
        <f>IF('LISTA DE PRECIOS'!$H1227&gt;0,'LISTA DE PRECIOS'!G1227,"")</f>
        <v/>
      </c>
      <c r="H1213" s="67" t="str">
        <f>IF('LISTA DE PRECIOS'!$H1227&gt;0,'LISTA DE PRECIOS'!H1227,"")</f>
        <v/>
      </c>
      <c r="I1213" s="31" t="str">
        <f t="shared" si="17"/>
        <v/>
      </c>
    </row>
    <row r="1214" spans="1:9">
      <c r="A1214" t="str">
        <f>IF('LISTA DE PRECIOS'!$H1228&gt;0,'LISTA DE PRECIOS'!A1228,"")</f>
        <v/>
      </c>
      <c r="B1214" t="str">
        <f>IF('LISTA DE PRECIOS'!$H1228&gt;0,'LISTA DE PRECIOS'!B1228,"")</f>
        <v/>
      </c>
      <c r="C1214" t="str">
        <f>IF('LISTA DE PRECIOS'!$H1228&gt;0,'LISTA DE PRECIOS'!C1228,"")</f>
        <v/>
      </c>
      <c r="D1214" s="67" t="str">
        <f>IF('LISTA DE PRECIOS'!$H1228&gt;0,'LISTA DE PRECIOS'!D1228,"")</f>
        <v/>
      </c>
      <c r="E1214" t="str">
        <f>IF('LISTA DE PRECIOS'!$H1228&gt;0,'LISTA DE PRECIOS'!E1228,"")</f>
        <v/>
      </c>
      <c r="F1214" t="str">
        <f>IF('LISTA DE PRECIOS'!$H1228&gt;0,'LISTA DE PRECIOS'!F1228,"")</f>
        <v/>
      </c>
      <c r="G1214" s="31" t="str">
        <f>IF('LISTA DE PRECIOS'!$H1228&gt;0,'LISTA DE PRECIOS'!G1228,"")</f>
        <v/>
      </c>
      <c r="H1214" s="67" t="str">
        <f>IF('LISTA DE PRECIOS'!$H1228&gt;0,'LISTA DE PRECIOS'!H1228,"")</f>
        <v/>
      </c>
      <c r="I1214" s="31" t="str">
        <f t="shared" si="17"/>
        <v/>
      </c>
    </row>
    <row r="1215" spans="1:9">
      <c r="A1215" t="str">
        <f>IF('LISTA DE PRECIOS'!$H1229&gt;0,'LISTA DE PRECIOS'!A1229,"")</f>
        <v/>
      </c>
      <c r="B1215" t="str">
        <f>IF('LISTA DE PRECIOS'!$H1229&gt;0,'LISTA DE PRECIOS'!B1229,"")</f>
        <v/>
      </c>
      <c r="C1215" t="str">
        <f>IF('LISTA DE PRECIOS'!$H1229&gt;0,'LISTA DE PRECIOS'!C1229,"")</f>
        <v/>
      </c>
      <c r="D1215" s="67" t="str">
        <f>IF('LISTA DE PRECIOS'!$H1229&gt;0,'LISTA DE PRECIOS'!D1229,"")</f>
        <v/>
      </c>
      <c r="E1215" t="str">
        <f>IF('LISTA DE PRECIOS'!$H1229&gt;0,'LISTA DE PRECIOS'!E1229,"")</f>
        <v/>
      </c>
      <c r="F1215" t="str">
        <f>IF('LISTA DE PRECIOS'!$H1229&gt;0,'LISTA DE PRECIOS'!F1229,"")</f>
        <v/>
      </c>
      <c r="G1215" s="31" t="str">
        <f>IF('LISTA DE PRECIOS'!$H1229&gt;0,'LISTA DE PRECIOS'!G1229,"")</f>
        <v/>
      </c>
      <c r="H1215" s="67" t="str">
        <f>IF('LISTA DE PRECIOS'!$H1229&gt;0,'LISTA DE PRECIOS'!H1229,"")</f>
        <v/>
      </c>
      <c r="I1215" s="31" t="str">
        <f t="shared" si="17"/>
        <v/>
      </c>
    </row>
    <row r="1216" spans="1:9">
      <c r="A1216" t="str">
        <f>IF('LISTA DE PRECIOS'!$H1230&gt;0,'LISTA DE PRECIOS'!A1230,"")</f>
        <v/>
      </c>
      <c r="B1216" t="str">
        <f>IF('LISTA DE PRECIOS'!$H1230&gt;0,'LISTA DE PRECIOS'!B1230,"")</f>
        <v/>
      </c>
      <c r="C1216" t="str">
        <f>IF('LISTA DE PRECIOS'!$H1230&gt;0,'LISTA DE PRECIOS'!C1230,"")</f>
        <v/>
      </c>
      <c r="D1216" s="67" t="str">
        <f>IF('LISTA DE PRECIOS'!$H1230&gt;0,'LISTA DE PRECIOS'!D1230,"")</f>
        <v/>
      </c>
      <c r="E1216" t="str">
        <f>IF('LISTA DE PRECIOS'!$H1230&gt;0,'LISTA DE PRECIOS'!E1230,"")</f>
        <v/>
      </c>
      <c r="F1216" t="str">
        <f>IF('LISTA DE PRECIOS'!$H1230&gt;0,'LISTA DE PRECIOS'!F1230,"")</f>
        <v/>
      </c>
      <c r="G1216" s="31" t="str">
        <f>IF('LISTA DE PRECIOS'!$H1230&gt;0,'LISTA DE PRECIOS'!G1230,"")</f>
        <v/>
      </c>
      <c r="H1216" s="67" t="str">
        <f>IF('LISTA DE PRECIOS'!$H1230&gt;0,'LISTA DE PRECIOS'!H1230,"")</f>
        <v/>
      </c>
      <c r="I1216" s="31" t="str">
        <f t="shared" si="17"/>
        <v/>
      </c>
    </row>
    <row r="1217" spans="1:9">
      <c r="A1217" t="str">
        <f>IF('LISTA DE PRECIOS'!$H1231&gt;0,'LISTA DE PRECIOS'!A1231,"")</f>
        <v/>
      </c>
      <c r="B1217" t="str">
        <f>IF('LISTA DE PRECIOS'!$H1231&gt;0,'LISTA DE PRECIOS'!B1231,"")</f>
        <v/>
      </c>
      <c r="C1217" t="str">
        <f>IF('LISTA DE PRECIOS'!$H1231&gt;0,'LISTA DE PRECIOS'!C1231,"")</f>
        <v/>
      </c>
      <c r="D1217" s="67" t="str">
        <f>IF('LISTA DE PRECIOS'!$H1231&gt;0,'LISTA DE PRECIOS'!D1231,"")</f>
        <v/>
      </c>
      <c r="E1217" t="str">
        <f>IF('LISTA DE PRECIOS'!$H1231&gt;0,'LISTA DE PRECIOS'!E1231,"")</f>
        <v/>
      </c>
      <c r="F1217" t="str">
        <f>IF('LISTA DE PRECIOS'!$H1231&gt;0,'LISTA DE PRECIOS'!F1231,"")</f>
        <v/>
      </c>
      <c r="G1217" s="31" t="str">
        <f>IF('LISTA DE PRECIOS'!$H1231&gt;0,'LISTA DE PRECIOS'!G1231,"")</f>
        <v/>
      </c>
      <c r="H1217" s="67" t="str">
        <f>IF('LISTA DE PRECIOS'!$H1231&gt;0,'LISTA DE PRECIOS'!H1231,"")</f>
        <v/>
      </c>
      <c r="I1217" s="31" t="str">
        <f t="shared" si="17"/>
        <v/>
      </c>
    </row>
    <row r="1218" spans="1:9">
      <c r="A1218" t="str">
        <f>IF('LISTA DE PRECIOS'!$H1232&gt;0,'LISTA DE PRECIOS'!A1232,"")</f>
        <v/>
      </c>
      <c r="B1218" t="str">
        <f>IF('LISTA DE PRECIOS'!$H1232&gt;0,'LISTA DE PRECIOS'!B1232,"")</f>
        <v/>
      </c>
      <c r="C1218" t="str">
        <f>IF('LISTA DE PRECIOS'!$H1232&gt;0,'LISTA DE PRECIOS'!C1232,"")</f>
        <v/>
      </c>
      <c r="D1218" s="67" t="str">
        <f>IF('LISTA DE PRECIOS'!$H1232&gt;0,'LISTA DE PRECIOS'!D1232,"")</f>
        <v/>
      </c>
      <c r="E1218" t="str">
        <f>IF('LISTA DE PRECIOS'!$H1232&gt;0,'LISTA DE PRECIOS'!E1232,"")</f>
        <v/>
      </c>
      <c r="F1218" t="str">
        <f>IF('LISTA DE PRECIOS'!$H1232&gt;0,'LISTA DE PRECIOS'!F1232,"")</f>
        <v/>
      </c>
      <c r="G1218" s="31" t="str">
        <f>IF('LISTA DE PRECIOS'!$H1232&gt;0,'LISTA DE PRECIOS'!G1232,"")</f>
        <v/>
      </c>
      <c r="H1218" s="67" t="str">
        <f>IF('LISTA DE PRECIOS'!$H1232&gt;0,'LISTA DE PRECIOS'!H1232,"")</f>
        <v/>
      </c>
      <c r="I1218" s="31" t="str">
        <f t="shared" si="17"/>
        <v/>
      </c>
    </row>
    <row r="1219" spans="1:9">
      <c r="A1219" t="str">
        <f>IF('LISTA DE PRECIOS'!$H1233&gt;0,'LISTA DE PRECIOS'!A1233,"")</f>
        <v/>
      </c>
      <c r="B1219" t="str">
        <f>IF('LISTA DE PRECIOS'!$H1233&gt;0,'LISTA DE PRECIOS'!B1233,"")</f>
        <v/>
      </c>
      <c r="C1219" t="str">
        <f>IF('LISTA DE PRECIOS'!$H1233&gt;0,'LISTA DE PRECIOS'!C1233,"")</f>
        <v/>
      </c>
      <c r="D1219" s="67" t="str">
        <f>IF('LISTA DE PRECIOS'!$H1233&gt;0,'LISTA DE PRECIOS'!D1233,"")</f>
        <v/>
      </c>
      <c r="E1219" t="str">
        <f>IF('LISTA DE PRECIOS'!$H1233&gt;0,'LISTA DE PRECIOS'!E1233,"")</f>
        <v/>
      </c>
      <c r="F1219" t="str">
        <f>IF('LISTA DE PRECIOS'!$H1233&gt;0,'LISTA DE PRECIOS'!F1233,"")</f>
        <v/>
      </c>
      <c r="G1219" s="31" t="str">
        <f>IF('LISTA DE PRECIOS'!$H1233&gt;0,'LISTA DE PRECIOS'!G1233,"")</f>
        <v/>
      </c>
      <c r="H1219" s="67" t="str">
        <f>IF('LISTA DE PRECIOS'!$H1233&gt;0,'LISTA DE PRECIOS'!H1233,"")</f>
        <v/>
      </c>
      <c r="I1219" s="31" t="str">
        <f t="shared" si="17"/>
        <v/>
      </c>
    </row>
    <row r="1220" spans="1:9">
      <c r="A1220" t="str">
        <f>IF('LISTA DE PRECIOS'!$H1234&gt;0,'LISTA DE PRECIOS'!A1234,"")</f>
        <v/>
      </c>
      <c r="B1220" t="str">
        <f>IF('LISTA DE PRECIOS'!$H1234&gt;0,'LISTA DE PRECIOS'!B1234,"")</f>
        <v/>
      </c>
      <c r="C1220" t="str">
        <f>IF('LISTA DE PRECIOS'!$H1234&gt;0,'LISTA DE PRECIOS'!C1234,"")</f>
        <v/>
      </c>
      <c r="D1220" s="67" t="str">
        <f>IF('LISTA DE PRECIOS'!$H1234&gt;0,'LISTA DE PRECIOS'!D1234,"")</f>
        <v/>
      </c>
      <c r="E1220" t="str">
        <f>IF('LISTA DE PRECIOS'!$H1234&gt;0,'LISTA DE PRECIOS'!E1234,"")</f>
        <v/>
      </c>
      <c r="F1220" t="str">
        <f>IF('LISTA DE PRECIOS'!$H1234&gt;0,'LISTA DE PRECIOS'!F1234,"")</f>
        <v/>
      </c>
      <c r="G1220" s="31" t="str">
        <f>IF('LISTA DE PRECIOS'!$H1234&gt;0,'LISTA DE PRECIOS'!G1234,"")</f>
        <v/>
      </c>
      <c r="H1220" s="67" t="str">
        <f>IF('LISTA DE PRECIOS'!$H1234&gt;0,'LISTA DE PRECIOS'!H1234,"")</f>
        <v/>
      </c>
      <c r="I1220" s="31" t="str">
        <f t="shared" si="17"/>
        <v/>
      </c>
    </row>
    <row r="1221" spans="1:9">
      <c r="A1221" t="str">
        <f>IF('LISTA DE PRECIOS'!$H1235&gt;0,'LISTA DE PRECIOS'!A1235,"")</f>
        <v/>
      </c>
      <c r="B1221" t="str">
        <f>IF('LISTA DE PRECIOS'!$H1235&gt;0,'LISTA DE PRECIOS'!B1235,"")</f>
        <v/>
      </c>
      <c r="C1221" t="str">
        <f>IF('LISTA DE PRECIOS'!$H1235&gt;0,'LISTA DE PRECIOS'!C1235,"")</f>
        <v/>
      </c>
      <c r="D1221" s="67" t="str">
        <f>IF('LISTA DE PRECIOS'!$H1235&gt;0,'LISTA DE PRECIOS'!D1235,"")</f>
        <v/>
      </c>
      <c r="E1221" t="str">
        <f>IF('LISTA DE PRECIOS'!$H1235&gt;0,'LISTA DE PRECIOS'!E1235,"")</f>
        <v/>
      </c>
      <c r="F1221" t="str">
        <f>IF('LISTA DE PRECIOS'!$H1235&gt;0,'LISTA DE PRECIOS'!F1235,"")</f>
        <v/>
      </c>
      <c r="G1221" s="31" t="str">
        <f>IF('LISTA DE PRECIOS'!$H1235&gt;0,'LISTA DE PRECIOS'!G1235,"")</f>
        <v/>
      </c>
      <c r="H1221" s="67" t="str">
        <f>IF('LISTA DE PRECIOS'!$H1235&gt;0,'LISTA DE PRECIOS'!H1235,"")</f>
        <v/>
      </c>
      <c r="I1221" s="31" t="str">
        <f t="shared" si="17"/>
        <v/>
      </c>
    </row>
    <row r="1222" spans="1:9">
      <c r="A1222" t="str">
        <f>IF('LISTA DE PRECIOS'!$H1236&gt;0,'LISTA DE PRECIOS'!A1236,"")</f>
        <v/>
      </c>
      <c r="B1222" t="str">
        <f>IF('LISTA DE PRECIOS'!$H1236&gt;0,'LISTA DE PRECIOS'!B1236,"")</f>
        <v/>
      </c>
      <c r="C1222" t="str">
        <f>IF('LISTA DE PRECIOS'!$H1236&gt;0,'LISTA DE PRECIOS'!C1236,"")</f>
        <v/>
      </c>
      <c r="D1222" s="67" t="str">
        <f>IF('LISTA DE PRECIOS'!$H1236&gt;0,'LISTA DE PRECIOS'!D1236,"")</f>
        <v/>
      </c>
      <c r="E1222" t="str">
        <f>IF('LISTA DE PRECIOS'!$H1236&gt;0,'LISTA DE PRECIOS'!E1236,"")</f>
        <v/>
      </c>
      <c r="F1222" t="str">
        <f>IF('LISTA DE PRECIOS'!$H1236&gt;0,'LISTA DE PRECIOS'!F1236,"")</f>
        <v/>
      </c>
      <c r="G1222" s="31" t="str">
        <f>IF('LISTA DE PRECIOS'!$H1236&gt;0,'LISTA DE PRECIOS'!G1236,"")</f>
        <v/>
      </c>
      <c r="H1222" s="67" t="str">
        <f>IF('LISTA DE PRECIOS'!$H1236&gt;0,'LISTA DE PRECIOS'!H1236,"")</f>
        <v/>
      </c>
      <c r="I1222" s="31" t="str">
        <f t="shared" si="17"/>
        <v/>
      </c>
    </row>
    <row r="1223" spans="1:9">
      <c r="A1223" t="str">
        <f>IF('LISTA DE PRECIOS'!$H1237&gt;0,'LISTA DE PRECIOS'!A1237,"")</f>
        <v/>
      </c>
      <c r="B1223" t="str">
        <f>IF('LISTA DE PRECIOS'!$H1237&gt;0,'LISTA DE PRECIOS'!B1237,"")</f>
        <v/>
      </c>
      <c r="C1223" t="str">
        <f>IF('LISTA DE PRECIOS'!$H1237&gt;0,'LISTA DE PRECIOS'!C1237,"")</f>
        <v/>
      </c>
      <c r="D1223" s="67" t="str">
        <f>IF('LISTA DE PRECIOS'!$H1237&gt;0,'LISTA DE PRECIOS'!D1237,"")</f>
        <v/>
      </c>
      <c r="E1223" t="str">
        <f>IF('LISTA DE PRECIOS'!$H1237&gt;0,'LISTA DE PRECIOS'!E1237,"")</f>
        <v/>
      </c>
      <c r="F1223" t="str">
        <f>IF('LISTA DE PRECIOS'!$H1237&gt;0,'LISTA DE PRECIOS'!F1237,"")</f>
        <v/>
      </c>
      <c r="G1223" s="31" t="str">
        <f>IF('LISTA DE PRECIOS'!$H1237&gt;0,'LISTA DE PRECIOS'!G1237,"")</f>
        <v/>
      </c>
      <c r="H1223" s="67" t="str">
        <f>IF('LISTA DE PRECIOS'!$H1237&gt;0,'LISTA DE PRECIOS'!H1237,"")</f>
        <v/>
      </c>
      <c r="I1223" s="31" t="str">
        <f t="shared" si="17"/>
        <v/>
      </c>
    </row>
    <row r="1224" spans="1:9">
      <c r="A1224" t="str">
        <f>IF('LISTA DE PRECIOS'!$H1238&gt;0,'LISTA DE PRECIOS'!A1238,"")</f>
        <v/>
      </c>
      <c r="B1224" t="str">
        <f>IF('LISTA DE PRECIOS'!$H1238&gt;0,'LISTA DE PRECIOS'!B1238,"")</f>
        <v/>
      </c>
      <c r="C1224" t="str">
        <f>IF('LISTA DE PRECIOS'!$H1238&gt;0,'LISTA DE PRECIOS'!C1238,"")</f>
        <v/>
      </c>
      <c r="D1224" s="67" t="str">
        <f>IF('LISTA DE PRECIOS'!$H1238&gt;0,'LISTA DE PRECIOS'!D1238,"")</f>
        <v/>
      </c>
      <c r="E1224" t="str">
        <f>IF('LISTA DE PRECIOS'!$H1238&gt;0,'LISTA DE PRECIOS'!E1238,"")</f>
        <v/>
      </c>
      <c r="F1224" t="str">
        <f>IF('LISTA DE PRECIOS'!$H1238&gt;0,'LISTA DE PRECIOS'!F1238,"")</f>
        <v/>
      </c>
      <c r="G1224" s="31" t="str">
        <f>IF('LISTA DE PRECIOS'!$H1238&gt;0,'LISTA DE PRECIOS'!G1238,"")</f>
        <v/>
      </c>
      <c r="H1224" s="67" t="str">
        <f>IF('LISTA DE PRECIOS'!$H1238&gt;0,'LISTA DE PRECIOS'!H1238,"")</f>
        <v/>
      </c>
      <c r="I1224" s="31" t="str">
        <f t="shared" si="17"/>
        <v/>
      </c>
    </row>
    <row r="1225" spans="1:9">
      <c r="A1225" t="str">
        <f>IF('LISTA DE PRECIOS'!$H1239&gt;0,'LISTA DE PRECIOS'!A1239,"")</f>
        <v/>
      </c>
      <c r="B1225" t="str">
        <f>IF('LISTA DE PRECIOS'!$H1239&gt;0,'LISTA DE PRECIOS'!B1239,"")</f>
        <v/>
      </c>
      <c r="C1225" t="str">
        <f>IF('LISTA DE PRECIOS'!$H1239&gt;0,'LISTA DE PRECIOS'!C1239,"")</f>
        <v/>
      </c>
      <c r="D1225" s="67" t="str">
        <f>IF('LISTA DE PRECIOS'!$H1239&gt;0,'LISTA DE PRECIOS'!D1239,"")</f>
        <v/>
      </c>
      <c r="E1225" t="str">
        <f>IF('LISTA DE PRECIOS'!$H1239&gt;0,'LISTA DE PRECIOS'!E1239,"")</f>
        <v/>
      </c>
      <c r="F1225" t="str">
        <f>IF('LISTA DE PRECIOS'!$H1239&gt;0,'LISTA DE PRECIOS'!F1239,"")</f>
        <v/>
      </c>
      <c r="G1225" s="31" t="str">
        <f>IF('LISTA DE PRECIOS'!$H1239&gt;0,'LISTA DE PRECIOS'!G1239,"")</f>
        <v/>
      </c>
      <c r="H1225" s="67" t="str">
        <f>IF('LISTA DE PRECIOS'!$H1239&gt;0,'LISTA DE PRECIOS'!H1239,"")</f>
        <v/>
      </c>
      <c r="I1225" s="31" t="str">
        <f t="shared" si="17"/>
        <v/>
      </c>
    </row>
    <row r="1226" spans="1:9">
      <c r="A1226" t="str">
        <f>IF('LISTA DE PRECIOS'!$H1240&gt;0,'LISTA DE PRECIOS'!A1240,"")</f>
        <v/>
      </c>
      <c r="B1226" t="str">
        <f>IF('LISTA DE PRECIOS'!$H1240&gt;0,'LISTA DE PRECIOS'!B1240,"")</f>
        <v/>
      </c>
      <c r="C1226" t="str">
        <f>IF('LISTA DE PRECIOS'!$H1240&gt;0,'LISTA DE PRECIOS'!C1240,"")</f>
        <v/>
      </c>
      <c r="D1226" s="67" t="str">
        <f>IF('LISTA DE PRECIOS'!$H1240&gt;0,'LISTA DE PRECIOS'!D1240,"")</f>
        <v/>
      </c>
      <c r="E1226" t="str">
        <f>IF('LISTA DE PRECIOS'!$H1240&gt;0,'LISTA DE PRECIOS'!E1240,"")</f>
        <v/>
      </c>
      <c r="F1226" t="str">
        <f>IF('LISTA DE PRECIOS'!$H1240&gt;0,'LISTA DE PRECIOS'!F1240,"")</f>
        <v/>
      </c>
      <c r="G1226" s="31" t="str">
        <f>IF('LISTA DE PRECIOS'!$H1240&gt;0,'LISTA DE PRECIOS'!G1240,"")</f>
        <v/>
      </c>
      <c r="H1226" s="67" t="str">
        <f>IF('LISTA DE PRECIOS'!$H1240&gt;0,'LISTA DE PRECIOS'!H1240,"")</f>
        <v/>
      </c>
      <c r="I1226" s="31" t="str">
        <f t="shared" si="17"/>
        <v/>
      </c>
    </row>
    <row r="1227" spans="1:9">
      <c r="A1227" t="str">
        <f>IF('LISTA DE PRECIOS'!$H1241&gt;0,'LISTA DE PRECIOS'!A1241,"")</f>
        <v/>
      </c>
      <c r="B1227" t="str">
        <f>IF('LISTA DE PRECIOS'!$H1241&gt;0,'LISTA DE PRECIOS'!B1241,"")</f>
        <v/>
      </c>
      <c r="C1227" t="str">
        <f>IF('LISTA DE PRECIOS'!$H1241&gt;0,'LISTA DE PRECIOS'!C1241,"")</f>
        <v/>
      </c>
      <c r="D1227" s="67" t="str">
        <f>IF('LISTA DE PRECIOS'!$H1241&gt;0,'LISTA DE PRECIOS'!D1241,"")</f>
        <v/>
      </c>
      <c r="E1227" t="str">
        <f>IF('LISTA DE PRECIOS'!$H1241&gt;0,'LISTA DE PRECIOS'!E1241,"")</f>
        <v/>
      </c>
      <c r="F1227" t="str">
        <f>IF('LISTA DE PRECIOS'!$H1241&gt;0,'LISTA DE PRECIOS'!F1241,"")</f>
        <v/>
      </c>
      <c r="G1227" s="31" t="str">
        <f>IF('LISTA DE PRECIOS'!$H1241&gt;0,'LISTA DE PRECIOS'!G1241,"")</f>
        <v/>
      </c>
      <c r="H1227" s="67" t="str">
        <f>IF('LISTA DE PRECIOS'!$H1241&gt;0,'LISTA DE PRECIOS'!H1241,"")</f>
        <v/>
      </c>
      <c r="I1227" s="31" t="str">
        <f t="shared" si="17"/>
        <v/>
      </c>
    </row>
    <row r="1228" spans="1:9">
      <c r="A1228" t="str">
        <f>IF('LISTA DE PRECIOS'!$H1242&gt;0,'LISTA DE PRECIOS'!A1242,"")</f>
        <v/>
      </c>
      <c r="B1228" t="str">
        <f>IF('LISTA DE PRECIOS'!$H1242&gt;0,'LISTA DE PRECIOS'!B1242,"")</f>
        <v/>
      </c>
      <c r="C1228" t="str">
        <f>IF('LISTA DE PRECIOS'!$H1242&gt;0,'LISTA DE PRECIOS'!C1242,"")</f>
        <v/>
      </c>
      <c r="D1228" s="67" t="str">
        <f>IF('LISTA DE PRECIOS'!$H1242&gt;0,'LISTA DE PRECIOS'!D1242,"")</f>
        <v/>
      </c>
      <c r="E1228" t="str">
        <f>IF('LISTA DE PRECIOS'!$H1242&gt;0,'LISTA DE PRECIOS'!E1242,"")</f>
        <v/>
      </c>
      <c r="F1228" t="str">
        <f>IF('LISTA DE PRECIOS'!$H1242&gt;0,'LISTA DE PRECIOS'!F1242,"")</f>
        <v/>
      </c>
      <c r="G1228" s="31" t="str">
        <f>IF('LISTA DE PRECIOS'!$H1242&gt;0,'LISTA DE PRECIOS'!G1242,"")</f>
        <v/>
      </c>
      <c r="H1228" s="67" t="str">
        <f>IF('LISTA DE PRECIOS'!$H1242&gt;0,'LISTA DE PRECIOS'!H1242,"")</f>
        <v/>
      </c>
      <c r="I1228" s="31" t="str">
        <f t="shared" si="17"/>
        <v/>
      </c>
    </row>
    <row r="1229" spans="1:9">
      <c r="A1229" t="str">
        <f>IF('LISTA DE PRECIOS'!$H1243&gt;0,'LISTA DE PRECIOS'!A1243,"")</f>
        <v/>
      </c>
      <c r="B1229" t="str">
        <f>IF('LISTA DE PRECIOS'!$H1243&gt;0,'LISTA DE PRECIOS'!B1243,"")</f>
        <v/>
      </c>
      <c r="C1229" t="str">
        <f>IF('LISTA DE PRECIOS'!$H1243&gt;0,'LISTA DE PRECIOS'!C1243,"")</f>
        <v/>
      </c>
      <c r="D1229" s="67" t="str">
        <f>IF('LISTA DE PRECIOS'!$H1243&gt;0,'LISTA DE PRECIOS'!D1243,"")</f>
        <v/>
      </c>
      <c r="E1229" t="str">
        <f>IF('LISTA DE PRECIOS'!$H1243&gt;0,'LISTA DE PRECIOS'!E1243,"")</f>
        <v/>
      </c>
      <c r="F1229" t="str">
        <f>IF('LISTA DE PRECIOS'!$H1243&gt;0,'LISTA DE PRECIOS'!F1243,"")</f>
        <v/>
      </c>
      <c r="G1229" s="31" t="str">
        <f>IF('LISTA DE PRECIOS'!$H1243&gt;0,'LISTA DE PRECIOS'!G1243,"")</f>
        <v/>
      </c>
      <c r="H1229" s="67" t="str">
        <f>IF('LISTA DE PRECIOS'!$H1243&gt;0,'LISTA DE PRECIOS'!H1243,"")</f>
        <v/>
      </c>
      <c r="I1229" s="31" t="str">
        <f t="shared" si="17"/>
        <v/>
      </c>
    </row>
    <row r="1230" spans="1:9">
      <c r="A1230" t="str">
        <f>IF('LISTA DE PRECIOS'!$H1244&gt;0,'LISTA DE PRECIOS'!A1244,"")</f>
        <v/>
      </c>
      <c r="B1230" t="str">
        <f>IF('LISTA DE PRECIOS'!$H1244&gt;0,'LISTA DE PRECIOS'!B1244,"")</f>
        <v/>
      </c>
      <c r="C1230" t="str">
        <f>IF('LISTA DE PRECIOS'!$H1244&gt;0,'LISTA DE PRECIOS'!C1244,"")</f>
        <v/>
      </c>
      <c r="D1230" s="67" t="str">
        <f>IF('LISTA DE PRECIOS'!$H1244&gt;0,'LISTA DE PRECIOS'!D1244,"")</f>
        <v/>
      </c>
      <c r="E1230" t="str">
        <f>IF('LISTA DE PRECIOS'!$H1244&gt;0,'LISTA DE PRECIOS'!E1244,"")</f>
        <v/>
      </c>
      <c r="F1230" t="str">
        <f>IF('LISTA DE PRECIOS'!$H1244&gt;0,'LISTA DE PRECIOS'!F1244,"")</f>
        <v/>
      </c>
      <c r="G1230" s="31" t="str">
        <f>IF('LISTA DE PRECIOS'!$H1244&gt;0,'LISTA DE PRECIOS'!G1244,"")</f>
        <v/>
      </c>
      <c r="H1230" s="67" t="str">
        <f>IF('LISTA DE PRECIOS'!$H1244&gt;0,'LISTA DE PRECIOS'!H1244,"")</f>
        <v/>
      </c>
      <c r="I1230" s="31" t="str">
        <f t="shared" si="17"/>
        <v/>
      </c>
    </row>
    <row r="1231" spans="1:9">
      <c r="A1231" t="str">
        <f>IF('LISTA DE PRECIOS'!$H1245&gt;0,'LISTA DE PRECIOS'!A1245,"")</f>
        <v/>
      </c>
      <c r="B1231" t="str">
        <f>IF('LISTA DE PRECIOS'!$H1245&gt;0,'LISTA DE PRECIOS'!B1245,"")</f>
        <v/>
      </c>
      <c r="C1231" t="str">
        <f>IF('LISTA DE PRECIOS'!$H1245&gt;0,'LISTA DE PRECIOS'!C1245,"")</f>
        <v/>
      </c>
      <c r="D1231" s="67" t="str">
        <f>IF('LISTA DE PRECIOS'!$H1245&gt;0,'LISTA DE PRECIOS'!D1245,"")</f>
        <v/>
      </c>
      <c r="E1231" t="str">
        <f>IF('LISTA DE PRECIOS'!$H1245&gt;0,'LISTA DE PRECIOS'!E1245,"")</f>
        <v/>
      </c>
      <c r="F1231" t="str">
        <f>IF('LISTA DE PRECIOS'!$H1245&gt;0,'LISTA DE PRECIOS'!F1245,"")</f>
        <v/>
      </c>
      <c r="G1231" s="31" t="str">
        <f>IF('LISTA DE PRECIOS'!$H1245&gt;0,'LISTA DE PRECIOS'!G1245,"")</f>
        <v/>
      </c>
      <c r="H1231" s="67" t="str">
        <f>IF('LISTA DE PRECIOS'!$H1245&gt;0,'LISTA DE PRECIOS'!H1245,"")</f>
        <v/>
      </c>
      <c r="I1231" s="31" t="str">
        <f t="shared" si="17"/>
        <v/>
      </c>
    </row>
    <row r="1232" spans="1:9">
      <c r="A1232" t="str">
        <f>IF('LISTA DE PRECIOS'!$H1246&gt;0,'LISTA DE PRECIOS'!A1246,"")</f>
        <v/>
      </c>
      <c r="B1232" t="str">
        <f>IF('LISTA DE PRECIOS'!$H1246&gt;0,'LISTA DE PRECIOS'!B1246,"")</f>
        <v/>
      </c>
      <c r="C1232" t="str">
        <f>IF('LISTA DE PRECIOS'!$H1246&gt;0,'LISTA DE PRECIOS'!C1246,"")</f>
        <v/>
      </c>
      <c r="D1232" s="67" t="str">
        <f>IF('LISTA DE PRECIOS'!$H1246&gt;0,'LISTA DE PRECIOS'!D1246,"")</f>
        <v/>
      </c>
      <c r="E1232" t="str">
        <f>IF('LISTA DE PRECIOS'!$H1246&gt;0,'LISTA DE PRECIOS'!E1246,"")</f>
        <v/>
      </c>
      <c r="F1232" t="str">
        <f>IF('LISTA DE PRECIOS'!$H1246&gt;0,'LISTA DE PRECIOS'!F1246,"")</f>
        <v/>
      </c>
      <c r="G1232" s="31" t="str">
        <f>IF('LISTA DE PRECIOS'!$H1246&gt;0,'LISTA DE PRECIOS'!G1246,"")</f>
        <v/>
      </c>
      <c r="H1232" s="67" t="str">
        <f>IF('LISTA DE PRECIOS'!$H1246&gt;0,'LISTA DE PRECIOS'!H1246,"")</f>
        <v/>
      </c>
      <c r="I1232" s="31" t="str">
        <f t="shared" si="17"/>
        <v/>
      </c>
    </row>
    <row r="1233" spans="1:9">
      <c r="A1233" t="str">
        <f>IF('LISTA DE PRECIOS'!$H1247&gt;0,'LISTA DE PRECIOS'!A1247,"")</f>
        <v/>
      </c>
      <c r="B1233" t="str">
        <f>IF('LISTA DE PRECIOS'!$H1247&gt;0,'LISTA DE PRECIOS'!B1247,"")</f>
        <v/>
      </c>
      <c r="C1233" t="str">
        <f>IF('LISTA DE PRECIOS'!$H1247&gt;0,'LISTA DE PRECIOS'!C1247,"")</f>
        <v/>
      </c>
      <c r="D1233" s="67" t="str">
        <f>IF('LISTA DE PRECIOS'!$H1247&gt;0,'LISTA DE PRECIOS'!D1247,"")</f>
        <v/>
      </c>
      <c r="E1233" t="str">
        <f>IF('LISTA DE PRECIOS'!$H1247&gt;0,'LISTA DE PRECIOS'!E1247,"")</f>
        <v/>
      </c>
      <c r="F1233" t="str">
        <f>IF('LISTA DE PRECIOS'!$H1247&gt;0,'LISTA DE PRECIOS'!F1247,"")</f>
        <v/>
      </c>
      <c r="G1233" s="31" t="str">
        <f>IF('LISTA DE PRECIOS'!$H1247&gt;0,'LISTA DE PRECIOS'!G1247,"")</f>
        <v/>
      </c>
      <c r="H1233" s="67" t="str">
        <f>IF('LISTA DE PRECIOS'!$H1247&gt;0,'LISTA DE PRECIOS'!H1247,"")</f>
        <v/>
      </c>
      <c r="I1233" s="31" t="str">
        <f t="shared" ref="I1233:I1296" si="18">IF(OR(G1233="",H1233=""),"",G1233*H1233)</f>
        <v/>
      </c>
    </row>
    <row r="1234" spans="1:9">
      <c r="A1234" t="str">
        <f>IF('LISTA DE PRECIOS'!$H1248&gt;0,'LISTA DE PRECIOS'!A1248,"")</f>
        <v/>
      </c>
      <c r="B1234" t="str">
        <f>IF('LISTA DE PRECIOS'!$H1248&gt;0,'LISTA DE PRECIOS'!B1248,"")</f>
        <v/>
      </c>
      <c r="C1234" t="str">
        <f>IF('LISTA DE PRECIOS'!$H1248&gt;0,'LISTA DE PRECIOS'!C1248,"")</f>
        <v/>
      </c>
      <c r="D1234" s="67" t="str">
        <f>IF('LISTA DE PRECIOS'!$H1248&gt;0,'LISTA DE PRECIOS'!D1248,"")</f>
        <v/>
      </c>
      <c r="E1234" t="str">
        <f>IF('LISTA DE PRECIOS'!$H1248&gt;0,'LISTA DE PRECIOS'!E1248,"")</f>
        <v/>
      </c>
      <c r="F1234" t="str">
        <f>IF('LISTA DE PRECIOS'!$H1248&gt;0,'LISTA DE PRECIOS'!F1248,"")</f>
        <v/>
      </c>
      <c r="G1234" s="31" t="str">
        <f>IF('LISTA DE PRECIOS'!$H1248&gt;0,'LISTA DE PRECIOS'!G1248,"")</f>
        <v/>
      </c>
      <c r="H1234" s="67" t="str">
        <f>IF('LISTA DE PRECIOS'!$H1248&gt;0,'LISTA DE PRECIOS'!H1248,"")</f>
        <v/>
      </c>
      <c r="I1234" s="31" t="str">
        <f t="shared" si="18"/>
        <v/>
      </c>
    </row>
    <row r="1235" spans="1:9">
      <c r="A1235" t="str">
        <f>IF('LISTA DE PRECIOS'!$H1249&gt;0,'LISTA DE PRECIOS'!A1249,"")</f>
        <v/>
      </c>
      <c r="B1235" t="str">
        <f>IF('LISTA DE PRECIOS'!$H1249&gt;0,'LISTA DE PRECIOS'!B1249,"")</f>
        <v/>
      </c>
      <c r="C1235" t="str">
        <f>IF('LISTA DE PRECIOS'!$H1249&gt;0,'LISTA DE PRECIOS'!C1249,"")</f>
        <v/>
      </c>
      <c r="D1235" s="67" t="str">
        <f>IF('LISTA DE PRECIOS'!$H1249&gt;0,'LISTA DE PRECIOS'!D1249,"")</f>
        <v/>
      </c>
      <c r="E1235" t="str">
        <f>IF('LISTA DE PRECIOS'!$H1249&gt;0,'LISTA DE PRECIOS'!E1249,"")</f>
        <v/>
      </c>
      <c r="F1235" t="str">
        <f>IF('LISTA DE PRECIOS'!$H1249&gt;0,'LISTA DE PRECIOS'!F1249,"")</f>
        <v/>
      </c>
      <c r="G1235" s="31" t="str">
        <f>IF('LISTA DE PRECIOS'!$H1249&gt;0,'LISTA DE PRECIOS'!G1249,"")</f>
        <v/>
      </c>
      <c r="H1235" s="67" t="str">
        <f>IF('LISTA DE PRECIOS'!$H1249&gt;0,'LISTA DE PRECIOS'!H1249,"")</f>
        <v/>
      </c>
      <c r="I1235" s="31" t="str">
        <f t="shared" si="18"/>
        <v/>
      </c>
    </row>
    <row r="1236" spans="1:9">
      <c r="A1236" t="str">
        <f>IF('LISTA DE PRECIOS'!$H1250&gt;0,'LISTA DE PRECIOS'!A1250,"")</f>
        <v/>
      </c>
      <c r="B1236" t="str">
        <f>IF('LISTA DE PRECIOS'!$H1250&gt;0,'LISTA DE PRECIOS'!B1250,"")</f>
        <v/>
      </c>
      <c r="C1236" t="str">
        <f>IF('LISTA DE PRECIOS'!$H1250&gt;0,'LISTA DE PRECIOS'!C1250,"")</f>
        <v/>
      </c>
      <c r="D1236" s="67" t="str">
        <f>IF('LISTA DE PRECIOS'!$H1250&gt;0,'LISTA DE PRECIOS'!D1250,"")</f>
        <v/>
      </c>
      <c r="E1236" t="str">
        <f>IF('LISTA DE PRECIOS'!$H1250&gt;0,'LISTA DE PRECIOS'!E1250,"")</f>
        <v/>
      </c>
      <c r="F1236" t="str">
        <f>IF('LISTA DE PRECIOS'!$H1250&gt;0,'LISTA DE PRECIOS'!F1250,"")</f>
        <v/>
      </c>
      <c r="G1236" s="31" t="str">
        <f>IF('LISTA DE PRECIOS'!$H1250&gt;0,'LISTA DE PRECIOS'!G1250,"")</f>
        <v/>
      </c>
      <c r="H1236" s="67" t="str">
        <f>IF('LISTA DE PRECIOS'!$H1250&gt;0,'LISTA DE PRECIOS'!H1250,"")</f>
        <v/>
      </c>
      <c r="I1236" s="31" t="str">
        <f t="shared" si="18"/>
        <v/>
      </c>
    </row>
    <row r="1237" spans="1:9">
      <c r="A1237" t="str">
        <f>IF('LISTA DE PRECIOS'!$H1251&gt;0,'LISTA DE PRECIOS'!A1251,"")</f>
        <v/>
      </c>
      <c r="B1237" t="str">
        <f>IF('LISTA DE PRECIOS'!$H1251&gt;0,'LISTA DE PRECIOS'!B1251,"")</f>
        <v/>
      </c>
      <c r="C1237" t="str">
        <f>IF('LISTA DE PRECIOS'!$H1251&gt;0,'LISTA DE PRECIOS'!C1251,"")</f>
        <v/>
      </c>
      <c r="D1237" s="67" t="str">
        <f>IF('LISTA DE PRECIOS'!$H1251&gt;0,'LISTA DE PRECIOS'!D1251,"")</f>
        <v/>
      </c>
      <c r="E1237" t="str">
        <f>IF('LISTA DE PRECIOS'!$H1251&gt;0,'LISTA DE PRECIOS'!E1251,"")</f>
        <v/>
      </c>
      <c r="F1237" t="str">
        <f>IF('LISTA DE PRECIOS'!$H1251&gt;0,'LISTA DE PRECIOS'!F1251,"")</f>
        <v/>
      </c>
      <c r="G1237" s="31" t="str">
        <f>IF('LISTA DE PRECIOS'!$H1251&gt;0,'LISTA DE PRECIOS'!G1251,"")</f>
        <v/>
      </c>
      <c r="H1237" s="67" t="str">
        <f>IF('LISTA DE PRECIOS'!$H1251&gt;0,'LISTA DE PRECIOS'!H1251,"")</f>
        <v/>
      </c>
      <c r="I1237" s="31" t="str">
        <f t="shared" si="18"/>
        <v/>
      </c>
    </row>
    <row r="1238" spans="1:9">
      <c r="A1238" t="str">
        <f>IF('LISTA DE PRECIOS'!$H1252&gt;0,'LISTA DE PRECIOS'!A1252,"")</f>
        <v/>
      </c>
      <c r="B1238" t="str">
        <f>IF('LISTA DE PRECIOS'!$H1252&gt;0,'LISTA DE PRECIOS'!B1252,"")</f>
        <v/>
      </c>
      <c r="C1238" t="str">
        <f>IF('LISTA DE PRECIOS'!$H1252&gt;0,'LISTA DE PRECIOS'!C1252,"")</f>
        <v/>
      </c>
      <c r="D1238" s="67" t="str">
        <f>IF('LISTA DE PRECIOS'!$H1252&gt;0,'LISTA DE PRECIOS'!D1252,"")</f>
        <v/>
      </c>
      <c r="E1238" t="str">
        <f>IF('LISTA DE PRECIOS'!$H1252&gt;0,'LISTA DE PRECIOS'!E1252,"")</f>
        <v/>
      </c>
      <c r="F1238" t="str">
        <f>IF('LISTA DE PRECIOS'!$H1252&gt;0,'LISTA DE PRECIOS'!F1252,"")</f>
        <v/>
      </c>
      <c r="G1238" s="31" t="str">
        <f>IF('LISTA DE PRECIOS'!$H1252&gt;0,'LISTA DE PRECIOS'!G1252,"")</f>
        <v/>
      </c>
      <c r="H1238" s="67" t="str">
        <f>IF('LISTA DE PRECIOS'!$H1252&gt;0,'LISTA DE PRECIOS'!H1252,"")</f>
        <v/>
      </c>
      <c r="I1238" s="31" t="str">
        <f t="shared" si="18"/>
        <v/>
      </c>
    </row>
    <row r="1239" spans="1:9">
      <c r="A1239" t="str">
        <f>IF('LISTA DE PRECIOS'!$H1253&gt;0,'LISTA DE PRECIOS'!A1253,"")</f>
        <v/>
      </c>
      <c r="B1239" t="str">
        <f>IF('LISTA DE PRECIOS'!$H1253&gt;0,'LISTA DE PRECIOS'!B1253,"")</f>
        <v/>
      </c>
      <c r="C1239" t="str">
        <f>IF('LISTA DE PRECIOS'!$H1253&gt;0,'LISTA DE PRECIOS'!C1253,"")</f>
        <v/>
      </c>
      <c r="D1239" s="67" t="str">
        <f>IF('LISTA DE PRECIOS'!$H1253&gt;0,'LISTA DE PRECIOS'!D1253,"")</f>
        <v/>
      </c>
      <c r="E1239" t="str">
        <f>IF('LISTA DE PRECIOS'!$H1253&gt;0,'LISTA DE PRECIOS'!E1253,"")</f>
        <v/>
      </c>
      <c r="F1239" t="str">
        <f>IF('LISTA DE PRECIOS'!$H1253&gt;0,'LISTA DE PRECIOS'!F1253,"")</f>
        <v/>
      </c>
      <c r="G1239" s="31" t="str">
        <f>IF('LISTA DE PRECIOS'!$H1253&gt;0,'LISTA DE PRECIOS'!G1253,"")</f>
        <v/>
      </c>
      <c r="H1239" s="67" t="str">
        <f>IF('LISTA DE PRECIOS'!$H1253&gt;0,'LISTA DE PRECIOS'!H1253,"")</f>
        <v/>
      </c>
      <c r="I1239" s="31" t="str">
        <f t="shared" si="18"/>
        <v/>
      </c>
    </row>
    <row r="1240" spans="1:9">
      <c r="A1240" t="str">
        <f>IF('LISTA DE PRECIOS'!$H1254&gt;0,'LISTA DE PRECIOS'!A1254,"")</f>
        <v/>
      </c>
      <c r="B1240" t="str">
        <f>IF('LISTA DE PRECIOS'!$H1254&gt;0,'LISTA DE PRECIOS'!B1254,"")</f>
        <v/>
      </c>
      <c r="C1240" t="str">
        <f>IF('LISTA DE PRECIOS'!$H1254&gt;0,'LISTA DE PRECIOS'!C1254,"")</f>
        <v/>
      </c>
      <c r="D1240" s="67" t="str">
        <f>IF('LISTA DE PRECIOS'!$H1254&gt;0,'LISTA DE PRECIOS'!D1254,"")</f>
        <v/>
      </c>
      <c r="E1240" t="str">
        <f>IF('LISTA DE PRECIOS'!$H1254&gt;0,'LISTA DE PRECIOS'!E1254,"")</f>
        <v/>
      </c>
      <c r="F1240" t="str">
        <f>IF('LISTA DE PRECIOS'!$H1254&gt;0,'LISTA DE PRECIOS'!F1254,"")</f>
        <v/>
      </c>
      <c r="G1240" s="31" t="str">
        <f>IF('LISTA DE PRECIOS'!$H1254&gt;0,'LISTA DE PRECIOS'!G1254,"")</f>
        <v/>
      </c>
      <c r="H1240" s="67" t="str">
        <f>IF('LISTA DE PRECIOS'!$H1254&gt;0,'LISTA DE PRECIOS'!H1254,"")</f>
        <v/>
      </c>
      <c r="I1240" s="31" t="str">
        <f t="shared" si="18"/>
        <v/>
      </c>
    </row>
    <row r="1241" spans="1:9">
      <c r="A1241" t="str">
        <f>IF('LISTA DE PRECIOS'!$H1255&gt;0,'LISTA DE PRECIOS'!A1255,"")</f>
        <v/>
      </c>
      <c r="B1241" t="str">
        <f>IF('LISTA DE PRECIOS'!$H1255&gt;0,'LISTA DE PRECIOS'!B1255,"")</f>
        <v/>
      </c>
      <c r="C1241" t="str">
        <f>IF('LISTA DE PRECIOS'!$H1255&gt;0,'LISTA DE PRECIOS'!C1255,"")</f>
        <v/>
      </c>
      <c r="D1241" s="67" t="str">
        <f>IF('LISTA DE PRECIOS'!$H1255&gt;0,'LISTA DE PRECIOS'!D1255,"")</f>
        <v/>
      </c>
      <c r="E1241" t="str">
        <f>IF('LISTA DE PRECIOS'!$H1255&gt;0,'LISTA DE PRECIOS'!E1255,"")</f>
        <v/>
      </c>
      <c r="F1241" t="str">
        <f>IF('LISTA DE PRECIOS'!$H1255&gt;0,'LISTA DE PRECIOS'!F1255,"")</f>
        <v/>
      </c>
      <c r="G1241" s="31" t="str">
        <f>IF('LISTA DE PRECIOS'!$H1255&gt;0,'LISTA DE PRECIOS'!G1255,"")</f>
        <v/>
      </c>
      <c r="H1241" s="67" t="str">
        <f>IF('LISTA DE PRECIOS'!$H1255&gt;0,'LISTA DE PRECIOS'!H1255,"")</f>
        <v/>
      </c>
      <c r="I1241" s="31" t="str">
        <f t="shared" si="18"/>
        <v/>
      </c>
    </row>
    <row r="1242" spans="1:9">
      <c r="A1242" t="str">
        <f>IF('LISTA DE PRECIOS'!$H1256&gt;0,'LISTA DE PRECIOS'!A1256,"")</f>
        <v/>
      </c>
      <c r="B1242" t="str">
        <f>IF('LISTA DE PRECIOS'!$H1256&gt;0,'LISTA DE PRECIOS'!B1256,"")</f>
        <v/>
      </c>
      <c r="C1242" t="str">
        <f>IF('LISTA DE PRECIOS'!$H1256&gt;0,'LISTA DE PRECIOS'!C1256,"")</f>
        <v/>
      </c>
      <c r="D1242" s="67" t="str">
        <f>IF('LISTA DE PRECIOS'!$H1256&gt;0,'LISTA DE PRECIOS'!D1256,"")</f>
        <v/>
      </c>
      <c r="E1242" t="str">
        <f>IF('LISTA DE PRECIOS'!$H1256&gt;0,'LISTA DE PRECIOS'!E1256,"")</f>
        <v/>
      </c>
      <c r="F1242" t="str">
        <f>IF('LISTA DE PRECIOS'!$H1256&gt;0,'LISTA DE PRECIOS'!F1256,"")</f>
        <v/>
      </c>
      <c r="G1242" s="31" t="str">
        <f>IF('LISTA DE PRECIOS'!$H1256&gt;0,'LISTA DE PRECIOS'!G1256,"")</f>
        <v/>
      </c>
      <c r="H1242" s="67" t="str">
        <f>IF('LISTA DE PRECIOS'!$H1256&gt;0,'LISTA DE PRECIOS'!H1256,"")</f>
        <v/>
      </c>
      <c r="I1242" s="31" t="str">
        <f t="shared" si="18"/>
        <v/>
      </c>
    </row>
    <row r="1243" spans="1:9">
      <c r="A1243" t="str">
        <f>IF('LISTA DE PRECIOS'!$H1257&gt;0,'LISTA DE PRECIOS'!A1257,"")</f>
        <v/>
      </c>
      <c r="B1243" t="str">
        <f>IF('LISTA DE PRECIOS'!$H1257&gt;0,'LISTA DE PRECIOS'!B1257,"")</f>
        <v/>
      </c>
      <c r="C1243" t="str">
        <f>IF('LISTA DE PRECIOS'!$H1257&gt;0,'LISTA DE PRECIOS'!C1257,"")</f>
        <v/>
      </c>
      <c r="D1243" s="67" t="str">
        <f>IF('LISTA DE PRECIOS'!$H1257&gt;0,'LISTA DE PRECIOS'!D1257,"")</f>
        <v/>
      </c>
      <c r="E1243" t="str">
        <f>IF('LISTA DE PRECIOS'!$H1257&gt;0,'LISTA DE PRECIOS'!E1257,"")</f>
        <v/>
      </c>
      <c r="F1243" t="str">
        <f>IF('LISTA DE PRECIOS'!$H1257&gt;0,'LISTA DE PRECIOS'!F1257,"")</f>
        <v/>
      </c>
      <c r="G1243" s="31" t="str">
        <f>IF('LISTA DE PRECIOS'!$H1257&gt;0,'LISTA DE PRECIOS'!G1257,"")</f>
        <v/>
      </c>
      <c r="H1243" s="67" t="str">
        <f>IF('LISTA DE PRECIOS'!$H1257&gt;0,'LISTA DE PRECIOS'!H1257,"")</f>
        <v/>
      </c>
      <c r="I1243" s="31" t="str">
        <f t="shared" si="18"/>
        <v/>
      </c>
    </row>
    <row r="1244" spans="1:9">
      <c r="A1244" t="str">
        <f>IF('LISTA DE PRECIOS'!$H1260&gt;0,'LISTA DE PRECIOS'!A1260,"")</f>
        <v/>
      </c>
      <c r="B1244" t="str">
        <f>IF('LISTA DE PRECIOS'!$H1260&gt;0,'LISTA DE PRECIOS'!B1260,"")</f>
        <v/>
      </c>
      <c r="C1244" t="str">
        <f>IF('LISTA DE PRECIOS'!$H1260&gt;0,'LISTA DE PRECIOS'!C1260,"")</f>
        <v/>
      </c>
      <c r="D1244" s="67" t="str">
        <f>IF('LISTA DE PRECIOS'!$H1260&gt;0,'LISTA DE PRECIOS'!D1260,"")</f>
        <v/>
      </c>
      <c r="E1244" t="str">
        <f>IF('LISTA DE PRECIOS'!$H1260&gt;0,'LISTA DE PRECIOS'!E1260,"")</f>
        <v/>
      </c>
      <c r="F1244" t="str">
        <f>IF('LISTA DE PRECIOS'!$H1260&gt;0,'LISTA DE PRECIOS'!F1260,"")</f>
        <v/>
      </c>
      <c r="G1244" s="31" t="str">
        <f>IF('LISTA DE PRECIOS'!$H1260&gt;0,'LISTA DE PRECIOS'!G1260,"")</f>
        <v/>
      </c>
      <c r="H1244" s="67" t="str">
        <f>IF('LISTA DE PRECIOS'!$H1260&gt;0,'LISTA DE PRECIOS'!H1260,"")</f>
        <v/>
      </c>
      <c r="I1244" s="31" t="str">
        <f t="shared" si="18"/>
        <v/>
      </c>
    </row>
    <row r="1245" spans="1:9">
      <c r="A1245" t="str">
        <f>IF('LISTA DE PRECIOS'!$H1261&gt;0,'LISTA DE PRECIOS'!A1261,"")</f>
        <v/>
      </c>
      <c r="B1245" t="str">
        <f>IF('LISTA DE PRECIOS'!$H1261&gt;0,'LISTA DE PRECIOS'!B1261,"")</f>
        <v/>
      </c>
      <c r="C1245" t="str">
        <f>IF('LISTA DE PRECIOS'!$H1261&gt;0,'LISTA DE PRECIOS'!C1261,"")</f>
        <v/>
      </c>
      <c r="D1245" s="67" t="str">
        <f>IF('LISTA DE PRECIOS'!$H1261&gt;0,'LISTA DE PRECIOS'!D1261,"")</f>
        <v/>
      </c>
      <c r="E1245" t="str">
        <f>IF('LISTA DE PRECIOS'!$H1261&gt;0,'LISTA DE PRECIOS'!E1261,"")</f>
        <v/>
      </c>
      <c r="F1245" t="str">
        <f>IF('LISTA DE PRECIOS'!$H1261&gt;0,'LISTA DE PRECIOS'!F1261,"")</f>
        <v/>
      </c>
      <c r="G1245" s="31" t="str">
        <f>IF('LISTA DE PRECIOS'!$H1261&gt;0,'LISTA DE PRECIOS'!G1261,"")</f>
        <v/>
      </c>
      <c r="H1245" s="67" t="str">
        <f>IF('LISTA DE PRECIOS'!$H1261&gt;0,'LISTA DE PRECIOS'!H1261,"")</f>
        <v/>
      </c>
      <c r="I1245" s="31" t="str">
        <f t="shared" si="18"/>
        <v/>
      </c>
    </row>
    <row r="1246" spans="1:9">
      <c r="A1246" t="str">
        <f>IF('LISTA DE PRECIOS'!$H1262&gt;0,'LISTA DE PRECIOS'!A1262,"")</f>
        <v/>
      </c>
      <c r="B1246" t="str">
        <f>IF('LISTA DE PRECIOS'!$H1262&gt;0,'LISTA DE PRECIOS'!B1262,"")</f>
        <v/>
      </c>
      <c r="C1246" t="str">
        <f>IF('LISTA DE PRECIOS'!$H1262&gt;0,'LISTA DE PRECIOS'!C1262,"")</f>
        <v/>
      </c>
      <c r="D1246" s="67" t="str">
        <f>IF('LISTA DE PRECIOS'!$H1262&gt;0,'LISTA DE PRECIOS'!D1262,"")</f>
        <v/>
      </c>
      <c r="E1246" t="str">
        <f>IF('LISTA DE PRECIOS'!$H1262&gt;0,'LISTA DE PRECIOS'!E1262,"")</f>
        <v/>
      </c>
      <c r="F1246" t="str">
        <f>IF('LISTA DE PRECIOS'!$H1262&gt;0,'LISTA DE PRECIOS'!F1262,"")</f>
        <v/>
      </c>
      <c r="G1246" s="31" t="str">
        <f>IF('LISTA DE PRECIOS'!$H1262&gt;0,'LISTA DE PRECIOS'!G1262,"")</f>
        <v/>
      </c>
      <c r="H1246" s="67" t="str">
        <f>IF('LISTA DE PRECIOS'!$H1262&gt;0,'LISTA DE PRECIOS'!H1262,"")</f>
        <v/>
      </c>
      <c r="I1246" s="31" t="str">
        <f t="shared" si="18"/>
        <v/>
      </c>
    </row>
    <row r="1247" spans="1:9">
      <c r="A1247" t="str">
        <f>IF('LISTA DE PRECIOS'!$H1263&gt;0,'LISTA DE PRECIOS'!A1263,"")</f>
        <v/>
      </c>
      <c r="B1247" t="str">
        <f>IF('LISTA DE PRECIOS'!$H1263&gt;0,'LISTA DE PRECIOS'!B1263,"")</f>
        <v/>
      </c>
      <c r="C1247" t="str">
        <f>IF('LISTA DE PRECIOS'!$H1263&gt;0,'LISTA DE PRECIOS'!C1263,"")</f>
        <v/>
      </c>
      <c r="D1247" s="67" t="str">
        <f>IF('LISTA DE PRECIOS'!$H1263&gt;0,'LISTA DE PRECIOS'!D1263,"")</f>
        <v/>
      </c>
      <c r="E1247" t="str">
        <f>IF('LISTA DE PRECIOS'!$H1263&gt;0,'LISTA DE PRECIOS'!E1263,"")</f>
        <v/>
      </c>
      <c r="F1247" t="str">
        <f>IF('LISTA DE PRECIOS'!$H1263&gt;0,'LISTA DE PRECIOS'!F1263,"")</f>
        <v/>
      </c>
      <c r="G1247" s="31" t="str">
        <f>IF('LISTA DE PRECIOS'!$H1263&gt;0,'LISTA DE PRECIOS'!G1263,"")</f>
        <v/>
      </c>
      <c r="H1247" s="67" t="str">
        <f>IF('LISTA DE PRECIOS'!$H1263&gt;0,'LISTA DE PRECIOS'!H1263,"")</f>
        <v/>
      </c>
      <c r="I1247" s="31" t="str">
        <f t="shared" si="18"/>
        <v/>
      </c>
    </row>
    <row r="1248" spans="1:9">
      <c r="A1248" t="str">
        <f>IF('LISTA DE PRECIOS'!$H1264&gt;0,'LISTA DE PRECIOS'!A1264,"")</f>
        <v/>
      </c>
      <c r="B1248" t="str">
        <f>IF('LISTA DE PRECIOS'!$H1264&gt;0,'LISTA DE PRECIOS'!B1264,"")</f>
        <v/>
      </c>
      <c r="C1248" t="str">
        <f>IF('LISTA DE PRECIOS'!$H1264&gt;0,'LISTA DE PRECIOS'!C1264,"")</f>
        <v/>
      </c>
      <c r="D1248" s="67" t="str">
        <f>IF('LISTA DE PRECIOS'!$H1264&gt;0,'LISTA DE PRECIOS'!D1264,"")</f>
        <v/>
      </c>
      <c r="E1248" t="str">
        <f>IF('LISTA DE PRECIOS'!$H1264&gt;0,'LISTA DE PRECIOS'!E1264,"")</f>
        <v/>
      </c>
      <c r="F1248" t="str">
        <f>IF('LISTA DE PRECIOS'!$H1264&gt;0,'LISTA DE PRECIOS'!F1264,"")</f>
        <v/>
      </c>
      <c r="G1248" s="31" t="str">
        <f>IF('LISTA DE PRECIOS'!$H1264&gt;0,'LISTA DE PRECIOS'!G1264,"")</f>
        <v/>
      </c>
      <c r="H1248" s="67" t="str">
        <f>IF('LISTA DE PRECIOS'!$H1264&gt;0,'LISTA DE PRECIOS'!H1264,"")</f>
        <v/>
      </c>
      <c r="I1248" s="31" t="str">
        <f t="shared" si="18"/>
        <v/>
      </c>
    </row>
    <row r="1249" spans="1:9">
      <c r="A1249" t="str">
        <f>IF('LISTA DE PRECIOS'!$H1265&gt;0,'LISTA DE PRECIOS'!A1265,"")</f>
        <v/>
      </c>
      <c r="B1249" t="str">
        <f>IF('LISTA DE PRECIOS'!$H1265&gt;0,'LISTA DE PRECIOS'!B1265,"")</f>
        <v/>
      </c>
      <c r="C1249" t="str">
        <f>IF('LISTA DE PRECIOS'!$H1265&gt;0,'LISTA DE PRECIOS'!C1265,"")</f>
        <v/>
      </c>
      <c r="D1249" s="67" t="str">
        <f>IF('LISTA DE PRECIOS'!$H1265&gt;0,'LISTA DE PRECIOS'!D1265,"")</f>
        <v/>
      </c>
      <c r="E1249" t="str">
        <f>IF('LISTA DE PRECIOS'!$H1265&gt;0,'LISTA DE PRECIOS'!E1265,"")</f>
        <v/>
      </c>
      <c r="F1249" t="str">
        <f>IF('LISTA DE PRECIOS'!$H1265&gt;0,'LISTA DE PRECIOS'!F1265,"")</f>
        <v/>
      </c>
      <c r="G1249" s="31" t="str">
        <f>IF('LISTA DE PRECIOS'!$H1265&gt;0,'LISTA DE PRECIOS'!G1265,"")</f>
        <v/>
      </c>
      <c r="H1249" s="67" t="str">
        <f>IF('LISTA DE PRECIOS'!$H1265&gt;0,'LISTA DE PRECIOS'!H1265,"")</f>
        <v/>
      </c>
      <c r="I1249" s="31" t="str">
        <f t="shared" si="18"/>
        <v/>
      </c>
    </row>
    <row r="1250" spans="1:9">
      <c r="A1250" t="str">
        <f>IF('LISTA DE PRECIOS'!$H1266&gt;0,'LISTA DE PRECIOS'!A1266,"")</f>
        <v/>
      </c>
      <c r="B1250" t="str">
        <f>IF('LISTA DE PRECIOS'!$H1266&gt;0,'LISTA DE PRECIOS'!B1266,"")</f>
        <v/>
      </c>
      <c r="C1250" t="str">
        <f>IF('LISTA DE PRECIOS'!$H1266&gt;0,'LISTA DE PRECIOS'!C1266,"")</f>
        <v/>
      </c>
      <c r="D1250" s="67" t="str">
        <f>IF('LISTA DE PRECIOS'!$H1266&gt;0,'LISTA DE PRECIOS'!D1266,"")</f>
        <v/>
      </c>
      <c r="E1250" t="str">
        <f>IF('LISTA DE PRECIOS'!$H1266&gt;0,'LISTA DE PRECIOS'!E1266,"")</f>
        <v/>
      </c>
      <c r="F1250" t="str">
        <f>IF('LISTA DE PRECIOS'!$H1266&gt;0,'LISTA DE PRECIOS'!F1266,"")</f>
        <v/>
      </c>
      <c r="G1250" s="31" t="str">
        <f>IF('LISTA DE PRECIOS'!$H1266&gt;0,'LISTA DE PRECIOS'!G1266,"")</f>
        <v/>
      </c>
      <c r="H1250" s="67" t="str">
        <f>IF('LISTA DE PRECIOS'!$H1266&gt;0,'LISTA DE PRECIOS'!H1266,"")</f>
        <v/>
      </c>
      <c r="I1250" s="31" t="str">
        <f t="shared" si="18"/>
        <v/>
      </c>
    </row>
    <row r="1251" spans="1:9">
      <c r="A1251" t="str">
        <f>IF('LISTA DE PRECIOS'!$H1267&gt;0,'LISTA DE PRECIOS'!A1267,"")</f>
        <v/>
      </c>
      <c r="B1251" t="str">
        <f>IF('LISTA DE PRECIOS'!$H1267&gt;0,'LISTA DE PRECIOS'!B1267,"")</f>
        <v/>
      </c>
      <c r="C1251" t="str">
        <f>IF('LISTA DE PRECIOS'!$H1267&gt;0,'LISTA DE PRECIOS'!C1267,"")</f>
        <v/>
      </c>
      <c r="D1251" s="67" t="str">
        <f>IF('LISTA DE PRECIOS'!$H1267&gt;0,'LISTA DE PRECIOS'!D1267,"")</f>
        <v/>
      </c>
      <c r="E1251" t="str">
        <f>IF('LISTA DE PRECIOS'!$H1267&gt;0,'LISTA DE PRECIOS'!E1267,"")</f>
        <v/>
      </c>
      <c r="F1251" t="str">
        <f>IF('LISTA DE PRECIOS'!$H1267&gt;0,'LISTA DE PRECIOS'!F1267,"")</f>
        <v/>
      </c>
      <c r="G1251" s="31" t="str">
        <f>IF('LISTA DE PRECIOS'!$H1267&gt;0,'LISTA DE PRECIOS'!G1267,"")</f>
        <v/>
      </c>
      <c r="H1251" s="67" t="str">
        <f>IF('LISTA DE PRECIOS'!$H1267&gt;0,'LISTA DE PRECIOS'!H1267,"")</f>
        <v/>
      </c>
      <c r="I1251" s="31" t="str">
        <f t="shared" si="18"/>
        <v/>
      </c>
    </row>
    <row r="1252" spans="1:9">
      <c r="A1252" t="str">
        <f>IF('LISTA DE PRECIOS'!$H1268&gt;0,'LISTA DE PRECIOS'!A1268,"")</f>
        <v/>
      </c>
      <c r="B1252" t="str">
        <f>IF('LISTA DE PRECIOS'!$H1268&gt;0,'LISTA DE PRECIOS'!B1268,"")</f>
        <v/>
      </c>
      <c r="C1252" t="str">
        <f>IF('LISTA DE PRECIOS'!$H1268&gt;0,'LISTA DE PRECIOS'!C1268,"")</f>
        <v/>
      </c>
      <c r="D1252" s="67" t="str">
        <f>IF('LISTA DE PRECIOS'!$H1268&gt;0,'LISTA DE PRECIOS'!D1268,"")</f>
        <v/>
      </c>
      <c r="E1252" t="str">
        <f>IF('LISTA DE PRECIOS'!$H1268&gt;0,'LISTA DE PRECIOS'!E1268,"")</f>
        <v/>
      </c>
      <c r="F1252" t="str">
        <f>IF('LISTA DE PRECIOS'!$H1268&gt;0,'LISTA DE PRECIOS'!F1268,"")</f>
        <v/>
      </c>
      <c r="G1252" s="31" t="str">
        <f>IF('LISTA DE PRECIOS'!$H1268&gt;0,'LISTA DE PRECIOS'!G1268,"")</f>
        <v/>
      </c>
      <c r="H1252" s="67" t="str">
        <f>IF('LISTA DE PRECIOS'!$H1268&gt;0,'LISTA DE PRECIOS'!H1268,"")</f>
        <v/>
      </c>
      <c r="I1252" s="31" t="str">
        <f t="shared" si="18"/>
        <v/>
      </c>
    </row>
    <row r="1253" spans="1:9">
      <c r="A1253" t="str">
        <f>IF('LISTA DE PRECIOS'!$H1269&gt;0,'LISTA DE PRECIOS'!A1269,"")</f>
        <v/>
      </c>
      <c r="B1253" t="str">
        <f>IF('LISTA DE PRECIOS'!$H1269&gt;0,'LISTA DE PRECIOS'!B1269,"")</f>
        <v/>
      </c>
      <c r="C1253" t="str">
        <f>IF('LISTA DE PRECIOS'!$H1269&gt;0,'LISTA DE PRECIOS'!C1269,"")</f>
        <v/>
      </c>
      <c r="D1253" s="67" t="str">
        <f>IF('LISTA DE PRECIOS'!$H1269&gt;0,'LISTA DE PRECIOS'!D1269,"")</f>
        <v/>
      </c>
      <c r="E1253" t="str">
        <f>IF('LISTA DE PRECIOS'!$H1269&gt;0,'LISTA DE PRECIOS'!E1269,"")</f>
        <v/>
      </c>
      <c r="F1253" t="str">
        <f>IF('LISTA DE PRECIOS'!$H1269&gt;0,'LISTA DE PRECIOS'!F1269,"")</f>
        <v/>
      </c>
      <c r="G1253" s="31" t="str">
        <f>IF('LISTA DE PRECIOS'!$H1269&gt;0,'LISTA DE PRECIOS'!G1269,"")</f>
        <v/>
      </c>
      <c r="H1253" s="67" t="str">
        <f>IF('LISTA DE PRECIOS'!$H1269&gt;0,'LISTA DE PRECIOS'!H1269,"")</f>
        <v/>
      </c>
      <c r="I1253" s="31" t="str">
        <f t="shared" si="18"/>
        <v/>
      </c>
    </row>
    <row r="1254" spans="1:9">
      <c r="A1254" t="str">
        <f>IF('LISTA DE PRECIOS'!$H1270&gt;0,'LISTA DE PRECIOS'!A1270,"")</f>
        <v/>
      </c>
      <c r="B1254" t="str">
        <f>IF('LISTA DE PRECIOS'!$H1270&gt;0,'LISTA DE PRECIOS'!B1270,"")</f>
        <v/>
      </c>
      <c r="C1254" t="str">
        <f>IF('LISTA DE PRECIOS'!$H1270&gt;0,'LISTA DE PRECIOS'!C1270,"")</f>
        <v/>
      </c>
      <c r="D1254" s="67" t="str">
        <f>IF('LISTA DE PRECIOS'!$H1270&gt;0,'LISTA DE PRECIOS'!D1270,"")</f>
        <v/>
      </c>
      <c r="E1254" t="str">
        <f>IF('LISTA DE PRECIOS'!$H1270&gt;0,'LISTA DE PRECIOS'!E1270,"")</f>
        <v/>
      </c>
      <c r="F1254" t="str">
        <f>IF('LISTA DE PRECIOS'!$H1270&gt;0,'LISTA DE PRECIOS'!F1270,"")</f>
        <v/>
      </c>
      <c r="G1254" s="31" t="str">
        <f>IF('LISTA DE PRECIOS'!$H1270&gt;0,'LISTA DE PRECIOS'!G1270,"")</f>
        <v/>
      </c>
      <c r="H1254" s="67" t="str">
        <f>IF('LISTA DE PRECIOS'!$H1270&gt;0,'LISTA DE PRECIOS'!H1270,"")</f>
        <v/>
      </c>
      <c r="I1254" s="31" t="str">
        <f t="shared" si="18"/>
        <v/>
      </c>
    </row>
    <row r="1255" spans="1:9">
      <c r="A1255" t="str">
        <f>IF('LISTA DE PRECIOS'!$H1271&gt;0,'LISTA DE PRECIOS'!A1271,"")</f>
        <v/>
      </c>
      <c r="B1255" t="str">
        <f>IF('LISTA DE PRECIOS'!$H1271&gt;0,'LISTA DE PRECIOS'!B1271,"")</f>
        <v/>
      </c>
      <c r="C1255" t="str">
        <f>IF('LISTA DE PRECIOS'!$H1271&gt;0,'LISTA DE PRECIOS'!C1271,"")</f>
        <v/>
      </c>
      <c r="D1255" s="67" t="str">
        <f>IF('LISTA DE PRECIOS'!$H1271&gt;0,'LISTA DE PRECIOS'!D1271,"")</f>
        <v/>
      </c>
      <c r="E1255" t="str">
        <f>IF('LISTA DE PRECIOS'!$H1271&gt;0,'LISTA DE PRECIOS'!E1271,"")</f>
        <v/>
      </c>
      <c r="F1255" t="str">
        <f>IF('LISTA DE PRECIOS'!$H1271&gt;0,'LISTA DE PRECIOS'!F1271,"")</f>
        <v/>
      </c>
      <c r="G1255" s="31" t="str">
        <f>IF('LISTA DE PRECIOS'!$H1271&gt;0,'LISTA DE PRECIOS'!G1271,"")</f>
        <v/>
      </c>
      <c r="H1255" s="67" t="str">
        <f>IF('LISTA DE PRECIOS'!$H1271&gt;0,'LISTA DE PRECIOS'!H1271,"")</f>
        <v/>
      </c>
      <c r="I1255" s="31" t="str">
        <f t="shared" si="18"/>
        <v/>
      </c>
    </row>
    <row r="1256" spans="1:9">
      <c r="A1256" t="str">
        <f>IF('LISTA DE PRECIOS'!$H1272&gt;0,'LISTA DE PRECIOS'!A1272,"")</f>
        <v/>
      </c>
      <c r="B1256" t="str">
        <f>IF('LISTA DE PRECIOS'!$H1272&gt;0,'LISTA DE PRECIOS'!B1272,"")</f>
        <v/>
      </c>
      <c r="C1256" t="str">
        <f>IF('LISTA DE PRECIOS'!$H1272&gt;0,'LISTA DE PRECIOS'!C1272,"")</f>
        <v/>
      </c>
      <c r="D1256" s="67" t="str">
        <f>IF('LISTA DE PRECIOS'!$H1272&gt;0,'LISTA DE PRECIOS'!D1272,"")</f>
        <v/>
      </c>
      <c r="E1256" t="str">
        <f>IF('LISTA DE PRECIOS'!$H1272&gt;0,'LISTA DE PRECIOS'!E1272,"")</f>
        <v/>
      </c>
      <c r="F1256" t="str">
        <f>IF('LISTA DE PRECIOS'!$H1272&gt;0,'LISTA DE PRECIOS'!F1272,"")</f>
        <v/>
      </c>
      <c r="G1256" s="31" t="str">
        <f>IF('LISTA DE PRECIOS'!$H1272&gt;0,'LISTA DE PRECIOS'!G1272,"")</f>
        <v/>
      </c>
      <c r="H1256" s="67" t="str">
        <f>IF('LISTA DE PRECIOS'!$H1272&gt;0,'LISTA DE PRECIOS'!H1272,"")</f>
        <v/>
      </c>
      <c r="I1256" s="31" t="str">
        <f t="shared" si="18"/>
        <v/>
      </c>
    </row>
    <row r="1257" spans="1:9">
      <c r="A1257" t="str">
        <f>IF('LISTA DE PRECIOS'!$H1273&gt;0,'LISTA DE PRECIOS'!A1273,"")</f>
        <v/>
      </c>
      <c r="B1257" t="str">
        <f>IF('LISTA DE PRECIOS'!$H1273&gt;0,'LISTA DE PRECIOS'!B1273,"")</f>
        <v/>
      </c>
      <c r="C1257" t="str">
        <f>IF('LISTA DE PRECIOS'!$H1273&gt;0,'LISTA DE PRECIOS'!C1273,"")</f>
        <v/>
      </c>
      <c r="D1257" s="67" t="str">
        <f>IF('LISTA DE PRECIOS'!$H1273&gt;0,'LISTA DE PRECIOS'!D1273,"")</f>
        <v/>
      </c>
      <c r="E1257" t="str">
        <f>IF('LISTA DE PRECIOS'!$H1273&gt;0,'LISTA DE PRECIOS'!E1273,"")</f>
        <v/>
      </c>
      <c r="F1257" t="str">
        <f>IF('LISTA DE PRECIOS'!$H1273&gt;0,'LISTA DE PRECIOS'!F1273,"")</f>
        <v/>
      </c>
      <c r="G1257" s="31" t="str">
        <f>IF('LISTA DE PRECIOS'!$H1273&gt;0,'LISTA DE PRECIOS'!G1273,"")</f>
        <v/>
      </c>
      <c r="H1257" s="67" t="str">
        <f>IF('LISTA DE PRECIOS'!$H1273&gt;0,'LISTA DE PRECIOS'!H1273,"")</f>
        <v/>
      </c>
      <c r="I1257" s="31" t="str">
        <f t="shared" si="18"/>
        <v/>
      </c>
    </row>
    <row r="1258" spans="1:9">
      <c r="A1258" t="str">
        <f>IF('LISTA DE PRECIOS'!$H1274&gt;0,'LISTA DE PRECIOS'!A1274,"")</f>
        <v/>
      </c>
      <c r="B1258" t="str">
        <f>IF('LISTA DE PRECIOS'!$H1274&gt;0,'LISTA DE PRECIOS'!B1274,"")</f>
        <v/>
      </c>
      <c r="C1258" t="str">
        <f>IF('LISTA DE PRECIOS'!$H1274&gt;0,'LISTA DE PRECIOS'!C1274,"")</f>
        <v/>
      </c>
      <c r="D1258" s="67" t="str">
        <f>IF('LISTA DE PRECIOS'!$H1274&gt;0,'LISTA DE PRECIOS'!D1274,"")</f>
        <v/>
      </c>
      <c r="E1258" t="str">
        <f>IF('LISTA DE PRECIOS'!$H1274&gt;0,'LISTA DE PRECIOS'!E1274,"")</f>
        <v/>
      </c>
      <c r="F1258" t="str">
        <f>IF('LISTA DE PRECIOS'!$H1274&gt;0,'LISTA DE PRECIOS'!F1274,"")</f>
        <v/>
      </c>
      <c r="G1258" s="31" t="str">
        <f>IF('LISTA DE PRECIOS'!$H1274&gt;0,'LISTA DE PRECIOS'!G1274,"")</f>
        <v/>
      </c>
      <c r="H1258" s="67" t="str">
        <f>IF('LISTA DE PRECIOS'!$H1274&gt;0,'LISTA DE PRECIOS'!H1274,"")</f>
        <v/>
      </c>
      <c r="I1258" s="31" t="str">
        <f t="shared" si="18"/>
        <v/>
      </c>
    </row>
    <row r="1259" spans="1:9">
      <c r="A1259" t="str">
        <f>IF('LISTA DE PRECIOS'!$H1275&gt;0,'LISTA DE PRECIOS'!A1275,"")</f>
        <v/>
      </c>
      <c r="B1259" t="str">
        <f>IF('LISTA DE PRECIOS'!$H1275&gt;0,'LISTA DE PRECIOS'!B1275,"")</f>
        <v/>
      </c>
      <c r="C1259" t="str">
        <f>IF('LISTA DE PRECIOS'!$H1275&gt;0,'LISTA DE PRECIOS'!C1275,"")</f>
        <v/>
      </c>
      <c r="D1259" s="67" t="str">
        <f>IF('LISTA DE PRECIOS'!$H1275&gt;0,'LISTA DE PRECIOS'!D1275,"")</f>
        <v/>
      </c>
      <c r="E1259" t="str">
        <f>IF('LISTA DE PRECIOS'!$H1275&gt;0,'LISTA DE PRECIOS'!E1275,"")</f>
        <v/>
      </c>
      <c r="F1259" t="str">
        <f>IF('LISTA DE PRECIOS'!$H1275&gt;0,'LISTA DE PRECIOS'!F1275,"")</f>
        <v/>
      </c>
      <c r="G1259" s="31" t="str">
        <f>IF('LISTA DE PRECIOS'!$H1275&gt;0,'LISTA DE PRECIOS'!G1275,"")</f>
        <v/>
      </c>
      <c r="H1259" s="67" t="str">
        <f>IF('LISTA DE PRECIOS'!$H1275&gt;0,'LISTA DE PRECIOS'!H1275,"")</f>
        <v/>
      </c>
      <c r="I1259" s="31" t="str">
        <f t="shared" si="18"/>
        <v/>
      </c>
    </row>
    <row r="1260" spans="1:9">
      <c r="A1260" t="str">
        <f>IF('LISTA DE PRECIOS'!$H1276&gt;0,'LISTA DE PRECIOS'!A1276,"")</f>
        <v/>
      </c>
      <c r="B1260" t="str">
        <f>IF('LISTA DE PRECIOS'!$H1276&gt;0,'LISTA DE PRECIOS'!B1276,"")</f>
        <v/>
      </c>
      <c r="C1260" t="str">
        <f>IF('LISTA DE PRECIOS'!$H1276&gt;0,'LISTA DE PRECIOS'!C1276,"")</f>
        <v/>
      </c>
      <c r="D1260" s="67" t="str">
        <f>IF('LISTA DE PRECIOS'!$H1276&gt;0,'LISTA DE PRECIOS'!D1276,"")</f>
        <v/>
      </c>
      <c r="E1260" t="str">
        <f>IF('LISTA DE PRECIOS'!$H1276&gt;0,'LISTA DE PRECIOS'!E1276,"")</f>
        <v/>
      </c>
      <c r="F1260" t="str">
        <f>IF('LISTA DE PRECIOS'!$H1276&gt;0,'LISTA DE PRECIOS'!F1276,"")</f>
        <v/>
      </c>
      <c r="G1260" s="31" t="str">
        <f>IF('LISTA DE PRECIOS'!$H1276&gt;0,'LISTA DE PRECIOS'!G1276,"")</f>
        <v/>
      </c>
      <c r="H1260" s="67" t="str">
        <f>IF('LISTA DE PRECIOS'!$H1276&gt;0,'LISTA DE PRECIOS'!H1276,"")</f>
        <v/>
      </c>
      <c r="I1260" s="31" t="str">
        <f t="shared" si="18"/>
        <v/>
      </c>
    </row>
    <row r="1261" spans="1:9">
      <c r="A1261" t="str">
        <f>IF('LISTA DE PRECIOS'!$H1277&gt;0,'LISTA DE PRECIOS'!A1277,"")</f>
        <v/>
      </c>
      <c r="B1261" t="str">
        <f>IF('LISTA DE PRECIOS'!$H1277&gt;0,'LISTA DE PRECIOS'!B1277,"")</f>
        <v/>
      </c>
      <c r="C1261" t="str">
        <f>IF('LISTA DE PRECIOS'!$H1277&gt;0,'LISTA DE PRECIOS'!C1277,"")</f>
        <v/>
      </c>
      <c r="D1261" s="67" t="str">
        <f>IF('LISTA DE PRECIOS'!$H1277&gt;0,'LISTA DE PRECIOS'!D1277,"")</f>
        <v/>
      </c>
      <c r="E1261" t="str">
        <f>IF('LISTA DE PRECIOS'!$H1277&gt;0,'LISTA DE PRECIOS'!E1277,"")</f>
        <v/>
      </c>
      <c r="F1261" t="str">
        <f>IF('LISTA DE PRECIOS'!$H1277&gt;0,'LISTA DE PRECIOS'!F1277,"")</f>
        <v/>
      </c>
      <c r="G1261" s="31" t="str">
        <f>IF('LISTA DE PRECIOS'!$H1277&gt;0,'LISTA DE PRECIOS'!G1277,"")</f>
        <v/>
      </c>
      <c r="H1261" s="67" t="str">
        <f>IF('LISTA DE PRECIOS'!$H1277&gt;0,'LISTA DE PRECIOS'!H1277,"")</f>
        <v/>
      </c>
      <c r="I1261" s="31" t="str">
        <f t="shared" si="18"/>
        <v/>
      </c>
    </row>
    <row r="1262" spans="1:9">
      <c r="A1262" t="str">
        <f>IF('LISTA DE PRECIOS'!$H1278&gt;0,'LISTA DE PRECIOS'!A1278,"")</f>
        <v/>
      </c>
      <c r="B1262" t="str">
        <f>IF('LISTA DE PRECIOS'!$H1278&gt;0,'LISTA DE PRECIOS'!B1278,"")</f>
        <v/>
      </c>
      <c r="C1262" t="str">
        <f>IF('LISTA DE PRECIOS'!$H1278&gt;0,'LISTA DE PRECIOS'!C1278,"")</f>
        <v/>
      </c>
      <c r="D1262" s="67" t="str">
        <f>IF('LISTA DE PRECIOS'!$H1278&gt;0,'LISTA DE PRECIOS'!D1278,"")</f>
        <v/>
      </c>
      <c r="E1262" t="str">
        <f>IF('LISTA DE PRECIOS'!$H1278&gt;0,'LISTA DE PRECIOS'!E1278,"")</f>
        <v/>
      </c>
      <c r="F1262" t="str">
        <f>IF('LISTA DE PRECIOS'!$H1278&gt;0,'LISTA DE PRECIOS'!F1278,"")</f>
        <v/>
      </c>
      <c r="G1262" s="31" t="str">
        <f>IF('LISTA DE PRECIOS'!$H1278&gt;0,'LISTA DE PRECIOS'!G1278,"")</f>
        <v/>
      </c>
      <c r="H1262" s="67" t="str">
        <f>IF('LISTA DE PRECIOS'!$H1278&gt;0,'LISTA DE PRECIOS'!H1278,"")</f>
        <v/>
      </c>
      <c r="I1262" s="31" t="str">
        <f t="shared" si="18"/>
        <v/>
      </c>
    </row>
    <row r="1263" spans="1:9">
      <c r="A1263" t="str">
        <f>IF('LISTA DE PRECIOS'!$H1279&gt;0,'LISTA DE PRECIOS'!A1279,"")</f>
        <v/>
      </c>
      <c r="B1263" t="str">
        <f>IF('LISTA DE PRECIOS'!$H1279&gt;0,'LISTA DE PRECIOS'!B1279,"")</f>
        <v/>
      </c>
      <c r="C1263" t="str">
        <f>IF('LISTA DE PRECIOS'!$H1279&gt;0,'LISTA DE PRECIOS'!C1279,"")</f>
        <v/>
      </c>
      <c r="D1263" s="67" t="str">
        <f>IF('LISTA DE PRECIOS'!$H1279&gt;0,'LISTA DE PRECIOS'!D1279,"")</f>
        <v/>
      </c>
      <c r="E1263" t="str">
        <f>IF('LISTA DE PRECIOS'!$H1279&gt;0,'LISTA DE PRECIOS'!E1279,"")</f>
        <v/>
      </c>
      <c r="F1263" t="str">
        <f>IF('LISTA DE PRECIOS'!$H1279&gt;0,'LISTA DE PRECIOS'!F1279,"")</f>
        <v/>
      </c>
      <c r="G1263" s="31" t="str">
        <f>IF('LISTA DE PRECIOS'!$H1279&gt;0,'LISTA DE PRECIOS'!G1279,"")</f>
        <v/>
      </c>
      <c r="H1263" s="67" t="str">
        <f>IF('LISTA DE PRECIOS'!$H1279&gt;0,'LISTA DE PRECIOS'!H1279,"")</f>
        <v/>
      </c>
      <c r="I1263" s="31" t="str">
        <f t="shared" si="18"/>
        <v/>
      </c>
    </row>
    <row r="1264" spans="1:9">
      <c r="A1264" t="str">
        <f>IF('LISTA DE PRECIOS'!$H1280&gt;0,'LISTA DE PRECIOS'!A1280,"")</f>
        <v/>
      </c>
      <c r="B1264" t="str">
        <f>IF('LISTA DE PRECIOS'!$H1280&gt;0,'LISTA DE PRECIOS'!B1280,"")</f>
        <v/>
      </c>
      <c r="C1264" t="str">
        <f>IF('LISTA DE PRECIOS'!$H1280&gt;0,'LISTA DE PRECIOS'!C1280,"")</f>
        <v/>
      </c>
      <c r="D1264" s="67" t="str">
        <f>IF('LISTA DE PRECIOS'!$H1280&gt;0,'LISTA DE PRECIOS'!D1280,"")</f>
        <v/>
      </c>
      <c r="E1264" t="str">
        <f>IF('LISTA DE PRECIOS'!$H1280&gt;0,'LISTA DE PRECIOS'!E1280,"")</f>
        <v/>
      </c>
      <c r="F1264" t="str">
        <f>IF('LISTA DE PRECIOS'!$H1280&gt;0,'LISTA DE PRECIOS'!F1280,"")</f>
        <v/>
      </c>
      <c r="G1264" s="31" t="str">
        <f>IF('LISTA DE PRECIOS'!$H1280&gt;0,'LISTA DE PRECIOS'!G1280,"")</f>
        <v/>
      </c>
      <c r="H1264" s="67" t="str">
        <f>IF('LISTA DE PRECIOS'!$H1280&gt;0,'LISTA DE PRECIOS'!H1280,"")</f>
        <v/>
      </c>
      <c r="I1264" s="31" t="str">
        <f t="shared" si="18"/>
        <v/>
      </c>
    </row>
    <row r="1265" spans="1:9">
      <c r="A1265" t="str">
        <f>IF('LISTA DE PRECIOS'!$H1281&gt;0,'LISTA DE PRECIOS'!A1281,"")</f>
        <v/>
      </c>
      <c r="B1265" t="str">
        <f>IF('LISTA DE PRECIOS'!$H1281&gt;0,'LISTA DE PRECIOS'!B1281,"")</f>
        <v/>
      </c>
      <c r="C1265" t="str">
        <f>IF('LISTA DE PRECIOS'!$H1281&gt;0,'LISTA DE PRECIOS'!C1281,"")</f>
        <v/>
      </c>
      <c r="D1265" s="67" t="str">
        <f>IF('LISTA DE PRECIOS'!$H1281&gt;0,'LISTA DE PRECIOS'!D1281,"")</f>
        <v/>
      </c>
      <c r="E1265" t="str">
        <f>IF('LISTA DE PRECIOS'!$H1281&gt;0,'LISTA DE PRECIOS'!E1281,"")</f>
        <v/>
      </c>
      <c r="F1265" t="str">
        <f>IF('LISTA DE PRECIOS'!$H1281&gt;0,'LISTA DE PRECIOS'!F1281,"")</f>
        <v/>
      </c>
      <c r="G1265" s="31" t="str">
        <f>IF('LISTA DE PRECIOS'!$H1281&gt;0,'LISTA DE PRECIOS'!G1281,"")</f>
        <v/>
      </c>
      <c r="H1265" s="67" t="str">
        <f>IF('LISTA DE PRECIOS'!$H1281&gt;0,'LISTA DE PRECIOS'!H1281,"")</f>
        <v/>
      </c>
      <c r="I1265" s="31" t="str">
        <f t="shared" si="18"/>
        <v/>
      </c>
    </row>
    <row r="1266" spans="1:9">
      <c r="A1266" t="str">
        <f>IF('LISTA DE PRECIOS'!$H1282&gt;0,'LISTA DE PRECIOS'!A1282,"")</f>
        <v/>
      </c>
      <c r="B1266" t="str">
        <f>IF('LISTA DE PRECIOS'!$H1282&gt;0,'LISTA DE PRECIOS'!B1282,"")</f>
        <v/>
      </c>
      <c r="C1266" t="str">
        <f>IF('LISTA DE PRECIOS'!$H1282&gt;0,'LISTA DE PRECIOS'!C1282,"")</f>
        <v/>
      </c>
      <c r="D1266" s="67" t="str">
        <f>IF('LISTA DE PRECIOS'!$H1282&gt;0,'LISTA DE PRECIOS'!D1282,"")</f>
        <v/>
      </c>
      <c r="E1266" t="str">
        <f>IF('LISTA DE PRECIOS'!$H1282&gt;0,'LISTA DE PRECIOS'!E1282,"")</f>
        <v/>
      </c>
      <c r="F1266" t="str">
        <f>IF('LISTA DE PRECIOS'!$H1282&gt;0,'LISTA DE PRECIOS'!F1282,"")</f>
        <v/>
      </c>
      <c r="G1266" s="31" t="str">
        <f>IF('LISTA DE PRECIOS'!$H1282&gt;0,'LISTA DE PRECIOS'!G1282,"")</f>
        <v/>
      </c>
      <c r="H1266" s="67" t="str">
        <f>IF('LISTA DE PRECIOS'!$H1282&gt;0,'LISTA DE PRECIOS'!H1282,"")</f>
        <v/>
      </c>
      <c r="I1266" s="31" t="str">
        <f t="shared" si="18"/>
        <v/>
      </c>
    </row>
    <row r="1267" spans="1:9">
      <c r="A1267" t="str">
        <f>IF('LISTA DE PRECIOS'!$H1284&gt;0,'LISTA DE PRECIOS'!A1284,"")</f>
        <v/>
      </c>
      <c r="B1267" t="str">
        <f>IF('LISTA DE PRECIOS'!$H1284&gt;0,'LISTA DE PRECIOS'!B1284,"")</f>
        <v/>
      </c>
      <c r="C1267" t="str">
        <f>IF('LISTA DE PRECIOS'!$H1284&gt;0,'LISTA DE PRECIOS'!C1284,"")</f>
        <v/>
      </c>
      <c r="D1267" s="67" t="str">
        <f>IF('LISTA DE PRECIOS'!$H1284&gt;0,'LISTA DE PRECIOS'!D1284,"")</f>
        <v/>
      </c>
      <c r="E1267" t="str">
        <f>IF('LISTA DE PRECIOS'!$H1284&gt;0,'LISTA DE PRECIOS'!E1284,"")</f>
        <v/>
      </c>
      <c r="F1267" t="str">
        <f>IF('LISTA DE PRECIOS'!$H1284&gt;0,'LISTA DE PRECIOS'!F1284,"")</f>
        <v/>
      </c>
      <c r="G1267" s="31" t="str">
        <f>IF('LISTA DE PRECIOS'!$H1284&gt;0,'LISTA DE PRECIOS'!G1284,"")</f>
        <v/>
      </c>
      <c r="H1267" s="67" t="str">
        <f>IF('LISTA DE PRECIOS'!$H1284&gt;0,'LISTA DE PRECIOS'!H1284,"")</f>
        <v/>
      </c>
      <c r="I1267" s="31" t="str">
        <f t="shared" si="18"/>
        <v/>
      </c>
    </row>
    <row r="1268" spans="1:9">
      <c r="A1268" t="str">
        <f>IF('LISTA DE PRECIOS'!$H1285&gt;0,'LISTA DE PRECIOS'!A1285,"")</f>
        <v/>
      </c>
      <c r="B1268" t="str">
        <f>IF('LISTA DE PRECIOS'!$H1285&gt;0,'LISTA DE PRECIOS'!B1285,"")</f>
        <v/>
      </c>
      <c r="C1268" t="str">
        <f>IF('LISTA DE PRECIOS'!$H1285&gt;0,'LISTA DE PRECIOS'!C1285,"")</f>
        <v/>
      </c>
      <c r="D1268" s="67" t="str">
        <f>IF('LISTA DE PRECIOS'!$H1285&gt;0,'LISTA DE PRECIOS'!D1285,"")</f>
        <v/>
      </c>
      <c r="E1268" t="str">
        <f>IF('LISTA DE PRECIOS'!$H1285&gt;0,'LISTA DE PRECIOS'!E1285,"")</f>
        <v/>
      </c>
      <c r="F1268" t="str">
        <f>IF('LISTA DE PRECIOS'!$H1285&gt;0,'LISTA DE PRECIOS'!F1285,"")</f>
        <v/>
      </c>
      <c r="G1268" s="31" t="str">
        <f>IF('LISTA DE PRECIOS'!$H1285&gt;0,'LISTA DE PRECIOS'!G1285,"")</f>
        <v/>
      </c>
      <c r="H1268" s="67" t="str">
        <f>IF('LISTA DE PRECIOS'!$H1285&gt;0,'LISTA DE PRECIOS'!H1285,"")</f>
        <v/>
      </c>
      <c r="I1268" s="31" t="str">
        <f t="shared" si="18"/>
        <v/>
      </c>
    </row>
    <row r="1269" spans="1:9">
      <c r="A1269" t="str">
        <f>IF('LISTA DE PRECIOS'!$H1286&gt;0,'LISTA DE PRECIOS'!A1286,"")</f>
        <v/>
      </c>
      <c r="B1269" t="str">
        <f>IF('LISTA DE PRECIOS'!$H1286&gt;0,'LISTA DE PRECIOS'!B1286,"")</f>
        <v/>
      </c>
      <c r="C1269" t="str">
        <f>IF('LISTA DE PRECIOS'!$H1286&gt;0,'LISTA DE PRECIOS'!C1286,"")</f>
        <v/>
      </c>
      <c r="D1269" s="67" t="str">
        <f>IF('LISTA DE PRECIOS'!$H1286&gt;0,'LISTA DE PRECIOS'!D1286,"")</f>
        <v/>
      </c>
      <c r="E1269" t="str">
        <f>IF('LISTA DE PRECIOS'!$H1286&gt;0,'LISTA DE PRECIOS'!E1286,"")</f>
        <v/>
      </c>
      <c r="F1269" t="str">
        <f>IF('LISTA DE PRECIOS'!$H1286&gt;0,'LISTA DE PRECIOS'!F1286,"")</f>
        <v/>
      </c>
      <c r="G1269" s="31" t="str">
        <f>IF('LISTA DE PRECIOS'!$H1286&gt;0,'LISTA DE PRECIOS'!G1286,"")</f>
        <v/>
      </c>
      <c r="H1269" s="67" t="str">
        <f>IF('LISTA DE PRECIOS'!$H1286&gt;0,'LISTA DE PRECIOS'!H1286,"")</f>
        <v/>
      </c>
      <c r="I1269" s="31" t="str">
        <f t="shared" si="18"/>
        <v/>
      </c>
    </row>
    <row r="1270" spans="1:9">
      <c r="A1270" t="str">
        <f>IF('LISTA DE PRECIOS'!$H1287&gt;0,'LISTA DE PRECIOS'!A1287,"")</f>
        <v/>
      </c>
      <c r="B1270" t="str">
        <f>IF('LISTA DE PRECIOS'!$H1287&gt;0,'LISTA DE PRECIOS'!B1287,"")</f>
        <v/>
      </c>
      <c r="C1270" t="str">
        <f>IF('LISTA DE PRECIOS'!$H1287&gt;0,'LISTA DE PRECIOS'!C1287,"")</f>
        <v/>
      </c>
      <c r="D1270" s="67" t="str">
        <f>IF('LISTA DE PRECIOS'!$H1287&gt;0,'LISTA DE PRECIOS'!D1287,"")</f>
        <v/>
      </c>
      <c r="E1270" t="str">
        <f>IF('LISTA DE PRECIOS'!$H1287&gt;0,'LISTA DE PRECIOS'!E1287,"")</f>
        <v/>
      </c>
      <c r="F1270" t="str">
        <f>IF('LISTA DE PRECIOS'!$H1287&gt;0,'LISTA DE PRECIOS'!F1287,"")</f>
        <v/>
      </c>
      <c r="G1270" s="31" t="str">
        <f>IF('LISTA DE PRECIOS'!$H1287&gt;0,'LISTA DE PRECIOS'!G1287,"")</f>
        <v/>
      </c>
      <c r="H1270" s="67" t="str">
        <f>IF('LISTA DE PRECIOS'!$H1287&gt;0,'LISTA DE PRECIOS'!H1287,"")</f>
        <v/>
      </c>
      <c r="I1270" s="31" t="str">
        <f t="shared" si="18"/>
        <v/>
      </c>
    </row>
    <row r="1271" spans="1:9">
      <c r="A1271" t="str">
        <f>IF('LISTA DE PRECIOS'!$H1288&gt;0,'LISTA DE PRECIOS'!A1288,"")</f>
        <v/>
      </c>
      <c r="B1271" t="str">
        <f>IF('LISTA DE PRECIOS'!$H1288&gt;0,'LISTA DE PRECIOS'!B1288,"")</f>
        <v/>
      </c>
      <c r="C1271" t="str">
        <f>IF('LISTA DE PRECIOS'!$H1288&gt;0,'LISTA DE PRECIOS'!C1288,"")</f>
        <v/>
      </c>
      <c r="D1271" s="67" t="str">
        <f>IF('LISTA DE PRECIOS'!$H1288&gt;0,'LISTA DE PRECIOS'!D1288,"")</f>
        <v/>
      </c>
      <c r="E1271" t="str">
        <f>IF('LISTA DE PRECIOS'!$H1288&gt;0,'LISTA DE PRECIOS'!E1288,"")</f>
        <v/>
      </c>
      <c r="F1271" t="str">
        <f>IF('LISTA DE PRECIOS'!$H1288&gt;0,'LISTA DE PRECIOS'!F1288,"")</f>
        <v/>
      </c>
      <c r="G1271" s="31" t="str">
        <f>IF('LISTA DE PRECIOS'!$H1288&gt;0,'LISTA DE PRECIOS'!G1288,"")</f>
        <v/>
      </c>
      <c r="H1271" s="67" t="str">
        <f>IF('LISTA DE PRECIOS'!$H1288&gt;0,'LISTA DE PRECIOS'!H1288,"")</f>
        <v/>
      </c>
      <c r="I1271" s="31" t="str">
        <f t="shared" si="18"/>
        <v/>
      </c>
    </row>
    <row r="1272" spans="1:9">
      <c r="A1272" t="str">
        <f>IF('LISTA DE PRECIOS'!$H1289&gt;0,'LISTA DE PRECIOS'!A1289,"")</f>
        <v/>
      </c>
      <c r="B1272" t="str">
        <f>IF('LISTA DE PRECIOS'!$H1289&gt;0,'LISTA DE PRECIOS'!B1289,"")</f>
        <v/>
      </c>
      <c r="C1272" t="str">
        <f>IF('LISTA DE PRECIOS'!$H1289&gt;0,'LISTA DE PRECIOS'!C1289,"")</f>
        <v/>
      </c>
      <c r="D1272" s="67" t="str">
        <f>IF('LISTA DE PRECIOS'!$H1289&gt;0,'LISTA DE PRECIOS'!D1289,"")</f>
        <v/>
      </c>
      <c r="E1272" t="str">
        <f>IF('LISTA DE PRECIOS'!$H1289&gt;0,'LISTA DE PRECIOS'!E1289,"")</f>
        <v/>
      </c>
      <c r="F1272" t="str">
        <f>IF('LISTA DE PRECIOS'!$H1289&gt;0,'LISTA DE PRECIOS'!F1289,"")</f>
        <v/>
      </c>
      <c r="G1272" s="31" t="str">
        <f>IF('LISTA DE PRECIOS'!$H1289&gt;0,'LISTA DE PRECIOS'!G1289,"")</f>
        <v/>
      </c>
      <c r="H1272" s="67" t="str">
        <f>IF('LISTA DE PRECIOS'!$H1289&gt;0,'LISTA DE PRECIOS'!H1289,"")</f>
        <v/>
      </c>
      <c r="I1272" s="31" t="str">
        <f t="shared" si="18"/>
        <v/>
      </c>
    </row>
    <row r="1273" spans="1:9">
      <c r="A1273" t="str">
        <f>IF('LISTA DE PRECIOS'!$H1290&gt;0,'LISTA DE PRECIOS'!A1290,"")</f>
        <v/>
      </c>
      <c r="B1273" t="str">
        <f>IF('LISTA DE PRECIOS'!$H1290&gt;0,'LISTA DE PRECIOS'!B1290,"")</f>
        <v/>
      </c>
      <c r="C1273" t="str">
        <f>IF('LISTA DE PRECIOS'!$H1290&gt;0,'LISTA DE PRECIOS'!C1290,"")</f>
        <v/>
      </c>
      <c r="D1273" s="67" t="str">
        <f>IF('LISTA DE PRECIOS'!$H1290&gt;0,'LISTA DE PRECIOS'!D1290,"")</f>
        <v/>
      </c>
      <c r="E1273" t="str">
        <f>IF('LISTA DE PRECIOS'!$H1290&gt;0,'LISTA DE PRECIOS'!E1290,"")</f>
        <v/>
      </c>
      <c r="F1273" t="str">
        <f>IF('LISTA DE PRECIOS'!$H1290&gt;0,'LISTA DE PRECIOS'!F1290,"")</f>
        <v/>
      </c>
      <c r="G1273" s="31" t="str">
        <f>IF('LISTA DE PRECIOS'!$H1290&gt;0,'LISTA DE PRECIOS'!G1290,"")</f>
        <v/>
      </c>
      <c r="H1273" s="67" t="str">
        <f>IF('LISTA DE PRECIOS'!$H1290&gt;0,'LISTA DE PRECIOS'!H1290,"")</f>
        <v/>
      </c>
      <c r="I1273" s="31" t="str">
        <f t="shared" si="18"/>
        <v/>
      </c>
    </row>
    <row r="1274" spans="1:9">
      <c r="A1274" t="str">
        <f>IF('LISTA DE PRECIOS'!$H1291&gt;0,'LISTA DE PRECIOS'!A1291,"")</f>
        <v/>
      </c>
      <c r="B1274" t="str">
        <f>IF('LISTA DE PRECIOS'!$H1291&gt;0,'LISTA DE PRECIOS'!B1291,"")</f>
        <v/>
      </c>
      <c r="C1274" t="str">
        <f>IF('LISTA DE PRECIOS'!$H1291&gt;0,'LISTA DE PRECIOS'!C1291,"")</f>
        <v/>
      </c>
      <c r="D1274" s="67" t="str">
        <f>IF('LISTA DE PRECIOS'!$H1291&gt;0,'LISTA DE PRECIOS'!D1291,"")</f>
        <v/>
      </c>
      <c r="E1274" t="str">
        <f>IF('LISTA DE PRECIOS'!$H1291&gt;0,'LISTA DE PRECIOS'!E1291,"")</f>
        <v/>
      </c>
      <c r="F1274" t="str">
        <f>IF('LISTA DE PRECIOS'!$H1291&gt;0,'LISTA DE PRECIOS'!F1291,"")</f>
        <v/>
      </c>
      <c r="G1274" s="31" t="str">
        <f>IF('LISTA DE PRECIOS'!$H1291&gt;0,'LISTA DE PRECIOS'!G1291,"")</f>
        <v/>
      </c>
      <c r="H1274" s="67" t="str">
        <f>IF('LISTA DE PRECIOS'!$H1291&gt;0,'LISTA DE PRECIOS'!H1291,"")</f>
        <v/>
      </c>
      <c r="I1274" s="31" t="str">
        <f t="shared" si="18"/>
        <v/>
      </c>
    </row>
    <row r="1275" spans="1:9">
      <c r="A1275" t="str">
        <f>IF('LISTA DE PRECIOS'!$H1292&gt;0,'LISTA DE PRECIOS'!A1292,"")</f>
        <v/>
      </c>
      <c r="B1275" t="str">
        <f>IF('LISTA DE PRECIOS'!$H1292&gt;0,'LISTA DE PRECIOS'!B1292,"")</f>
        <v/>
      </c>
      <c r="C1275" t="str">
        <f>IF('LISTA DE PRECIOS'!$H1292&gt;0,'LISTA DE PRECIOS'!C1292,"")</f>
        <v/>
      </c>
      <c r="D1275" s="67" t="str">
        <f>IF('LISTA DE PRECIOS'!$H1292&gt;0,'LISTA DE PRECIOS'!D1292,"")</f>
        <v/>
      </c>
      <c r="E1275" t="str">
        <f>IF('LISTA DE PRECIOS'!$H1292&gt;0,'LISTA DE PRECIOS'!E1292,"")</f>
        <v/>
      </c>
      <c r="F1275" t="str">
        <f>IF('LISTA DE PRECIOS'!$H1292&gt;0,'LISTA DE PRECIOS'!F1292,"")</f>
        <v/>
      </c>
      <c r="G1275" s="31" t="str">
        <f>IF('LISTA DE PRECIOS'!$H1292&gt;0,'LISTA DE PRECIOS'!G1292,"")</f>
        <v/>
      </c>
      <c r="H1275" s="67" t="str">
        <f>IF('LISTA DE PRECIOS'!$H1292&gt;0,'LISTA DE PRECIOS'!H1292,"")</f>
        <v/>
      </c>
      <c r="I1275" s="31" t="str">
        <f t="shared" si="18"/>
        <v/>
      </c>
    </row>
    <row r="1276" spans="1:9">
      <c r="A1276" t="str">
        <f>IF('LISTA DE PRECIOS'!$H1293&gt;0,'LISTA DE PRECIOS'!A1293,"")</f>
        <v/>
      </c>
      <c r="B1276" t="str">
        <f>IF('LISTA DE PRECIOS'!$H1293&gt;0,'LISTA DE PRECIOS'!B1293,"")</f>
        <v/>
      </c>
      <c r="C1276" t="str">
        <f>IF('LISTA DE PRECIOS'!$H1293&gt;0,'LISTA DE PRECIOS'!C1293,"")</f>
        <v/>
      </c>
      <c r="D1276" s="67" t="str">
        <f>IF('LISTA DE PRECIOS'!$H1293&gt;0,'LISTA DE PRECIOS'!D1293,"")</f>
        <v/>
      </c>
      <c r="E1276" t="str">
        <f>IF('LISTA DE PRECIOS'!$H1293&gt;0,'LISTA DE PRECIOS'!E1293,"")</f>
        <v/>
      </c>
      <c r="F1276" t="str">
        <f>IF('LISTA DE PRECIOS'!$H1293&gt;0,'LISTA DE PRECIOS'!F1293,"")</f>
        <v/>
      </c>
      <c r="G1276" s="31" t="str">
        <f>IF('LISTA DE PRECIOS'!$H1293&gt;0,'LISTA DE PRECIOS'!G1293,"")</f>
        <v/>
      </c>
      <c r="H1276" s="67" t="str">
        <f>IF('LISTA DE PRECIOS'!$H1293&gt;0,'LISTA DE PRECIOS'!H1293,"")</f>
        <v/>
      </c>
      <c r="I1276" s="31" t="str">
        <f t="shared" si="18"/>
        <v/>
      </c>
    </row>
    <row r="1277" spans="1:9">
      <c r="A1277" t="str">
        <f>IF('LISTA DE PRECIOS'!$H1294&gt;0,'LISTA DE PRECIOS'!A1294,"")</f>
        <v/>
      </c>
      <c r="B1277" t="str">
        <f>IF('LISTA DE PRECIOS'!$H1294&gt;0,'LISTA DE PRECIOS'!B1294,"")</f>
        <v/>
      </c>
      <c r="C1277" t="str">
        <f>IF('LISTA DE PRECIOS'!$H1294&gt;0,'LISTA DE PRECIOS'!C1294,"")</f>
        <v/>
      </c>
      <c r="D1277" s="67" t="str">
        <f>IF('LISTA DE PRECIOS'!$H1294&gt;0,'LISTA DE PRECIOS'!D1294,"")</f>
        <v/>
      </c>
      <c r="E1277" t="str">
        <f>IF('LISTA DE PRECIOS'!$H1294&gt;0,'LISTA DE PRECIOS'!E1294,"")</f>
        <v/>
      </c>
      <c r="F1277" t="str">
        <f>IF('LISTA DE PRECIOS'!$H1294&gt;0,'LISTA DE PRECIOS'!F1294,"")</f>
        <v/>
      </c>
      <c r="G1277" s="31" t="str">
        <f>IF('LISTA DE PRECIOS'!$H1294&gt;0,'LISTA DE PRECIOS'!G1294,"")</f>
        <v/>
      </c>
      <c r="H1277" s="67" t="str">
        <f>IF('LISTA DE PRECIOS'!$H1294&gt;0,'LISTA DE PRECIOS'!H1294,"")</f>
        <v/>
      </c>
      <c r="I1277" s="31" t="str">
        <f t="shared" si="18"/>
        <v/>
      </c>
    </row>
    <row r="1278" spans="1:9">
      <c r="A1278" t="str">
        <f>IF('LISTA DE PRECIOS'!$H1295&gt;0,'LISTA DE PRECIOS'!A1295,"")</f>
        <v/>
      </c>
      <c r="B1278" t="str">
        <f>IF('LISTA DE PRECIOS'!$H1295&gt;0,'LISTA DE PRECIOS'!B1295,"")</f>
        <v/>
      </c>
      <c r="C1278" t="str">
        <f>IF('LISTA DE PRECIOS'!$H1295&gt;0,'LISTA DE PRECIOS'!C1295,"")</f>
        <v/>
      </c>
      <c r="D1278" s="67" t="str">
        <f>IF('LISTA DE PRECIOS'!$H1295&gt;0,'LISTA DE PRECIOS'!D1295,"")</f>
        <v/>
      </c>
      <c r="E1278" t="str">
        <f>IF('LISTA DE PRECIOS'!$H1295&gt;0,'LISTA DE PRECIOS'!E1295,"")</f>
        <v/>
      </c>
      <c r="F1278" t="str">
        <f>IF('LISTA DE PRECIOS'!$H1295&gt;0,'LISTA DE PRECIOS'!F1295,"")</f>
        <v/>
      </c>
      <c r="G1278" s="31" t="str">
        <f>IF('LISTA DE PRECIOS'!$H1295&gt;0,'LISTA DE PRECIOS'!G1295,"")</f>
        <v/>
      </c>
      <c r="H1278" s="67" t="str">
        <f>IF('LISTA DE PRECIOS'!$H1295&gt;0,'LISTA DE PRECIOS'!H1295,"")</f>
        <v/>
      </c>
      <c r="I1278" s="31" t="str">
        <f t="shared" si="18"/>
        <v/>
      </c>
    </row>
    <row r="1279" spans="1:9">
      <c r="A1279" t="str">
        <f>IF('LISTA DE PRECIOS'!$H1296&gt;0,'LISTA DE PRECIOS'!A1296,"")</f>
        <v/>
      </c>
      <c r="B1279" t="str">
        <f>IF('LISTA DE PRECIOS'!$H1296&gt;0,'LISTA DE PRECIOS'!B1296,"")</f>
        <v/>
      </c>
      <c r="C1279" t="str">
        <f>IF('LISTA DE PRECIOS'!$H1296&gt;0,'LISTA DE PRECIOS'!C1296,"")</f>
        <v/>
      </c>
      <c r="D1279" s="67" t="str">
        <f>IF('LISTA DE PRECIOS'!$H1296&gt;0,'LISTA DE PRECIOS'!D1296,"")</f>
        <v/>
      </c>
      <c r="E1279" t="str">
        <f>IF('LISTA DE PRECIOS'!$H1296&gt;0,'LISTA DE PRECIOS'!E1296,"")</f>
        <v/>
      </c>
      <c r="F1279" t="str">
        <f>IF('LISTA DE PRECIOS'!$H1296&gt;0,'LISTA DE PRECIOS'!F1296,"")</f>
        <v/>
      </c>
      <c r="G1279" s="31" t="str">
        <f>IF('LISTA DE PRECIOS'!$H1296&gt;0,'LISTA DE PRECIOS'!G1296,"")</f>
        <v/>
      </c>
      <c r="H1279" s="67" t="str">
        <f>IF('LISTA DE PRECIOS'!$H1296&gt;0,'LISTA DE PRECIOS'!H1296,"")</f>
        <v/>
      </c>
      <c r="I1279" s="31" t="str">
        <f t="shared" si="18"/>
        <v/>
      </c>
    </row>
    <row r="1280" spans="1:9">
      <c r="A1280" t="str">
        <f>IF('LISTA DE PRECIOS'!$H1297&gt;0,'LISTA DE PRECIOS'!A1297,"")</f>
        <v/>
      </c>
      <c r="B1280" t="str">
        <f>IF('LISTA DE PRECIOS'!$H1297&gt;0,'LISTA DE PRECIOS'!B1297,"")</f>
        <v/>
      </c>
      <c r="C1280" t="str">
        <f>IF('LISTA DE PRECIOS'!$H1297&gt;0,'LISTA DE PRECIOS'!C1297,"")</f>
        <v/>
      </c>
      <c r="D1280" s="67" t="str">
        <f>IF('LISTA DE PRECIOS'!$H1297&gt;0,'LISTA DE PRECIOS'!D1297,"")</f>
        <v/>
      </c>
      <c r="E1280" t="str">
        <f>IF('LISTA DE PRECIOS'!$H1297&gt;0,'LISTA DE PRECIOS'!E1297,"")</f>
        <v/>
      </c>
      <c r="F1280" t="str">
        <f>IF('LISTA DE PRECIOS'!$H1297&gt;0,'LISTA DE PRECIOS'!F1297,"")</f>
        <v/>
      </c>
      <c r="G1280" s="31" t="str">
        <f>IF('LISTA DE PRECIOS'!$H1297&gt;0,'LISTA DE PRECIOS'!G1297,"")</f>
        <v/>
      </c>
      <c r="H1280" s="67" t="str">
        <f>IF('LISTA DE PRECIOS'!$H1297&gt;0,'LISTA DE PRECIOS'!H1297,"")</f>
        <v/>
      </c>
      <c r="I1280" s="31" t="str">
        <f t="shared" si="18"/>
        <v/>
      </c>
    </row>
    <row r="1281" spans="1:9">
      <c r="A1281" t="str">
        <f>IF('LISTA DE PRECIOS'!$H1298&gt;0,'LISTA DE PRECIOS'!A1298,"")</f>
        <v/>
      </c>
      <c r="B1281" t="str">
        <f>IF('LISTA DE PRECIOS'!$H1298&gt;0,'LISTA DE PRECIOS'!B1298,"")</f>
        <v/>
      </c>
      <c r="C1281" t="str">
        <f>IF('LISTA DE PRECIOS'!$H1298&gt;0,'LISTA DE PRECIOS'!C1298,"")</f>
        <v/>
      </c>
      <c r="D1281" s="67" t="str">
        <f>IF('LISTA DE PRECIOS'!$H1298&gt;0,'LISTA DE PRECIOS'!D1298,"")</f>
        <v/>
      </c>
      <c r="E1281" t="str">
        <f>IF('LISTA DE PRECIOS'!$H1298&gt;0,'LISTA DE PRECIOS'!E1298,"")</f>
        <v/>
      </c>
      <c r="F1281" t="str">
        <f>IF('LISTA DE PRECIOS'!$H1298&gt;0,'LISTA DE PRECIOS'!F1298,"")</f>
        <v/>
      </c>
      <c r="G1281" s="31" t="str">
        <f>IF('LISTA DE PRECIOS'!$H1298&gt;0,'LISTA DE PRECIOS'!G1298,"")</f>
        <v/>
      </c>
      <c r="H1281" s="67" t="str">
        <f>IF('LISTA DE PRECIOS'!$H1298&gt;0,'LISTA DE PRECIOS'!H1298,"")</f>
        <v/>
      </c>
      <c r="I1281" s="31" t="str">
        <f t="shared" si="18"/>
        <v/>
      </c>
    </row>
    <row r="1282" spans="1:9">
      <c r="A1282" t="str">
        <f>IF('LISTA DE PRECIOS'!$H1299&gt;0,'LISTA DE PRECIOS'!A1299,"")</f>
        <v/>
      </c>
      <c r="B1282" t="str">
        <f>IF('LISTA DE PRECIOS'!$H1299&gt;0,'LISTA DE PRECIOS'!B1299,"")</f>
        <v/>
      </c>
      <c r="C1282" t="str">
        <f>IF('LISTA DE PRECIOS'!$H1299&gt;0,'LISTA DE PRECIOS'!C1299,"")</f>
        <v/>
      </c>
      <c r="D1282" s="67" t="str">
        <f>IF('LISTA DE PRECIOS'!$H1299&gt;0,'LISTA DE PRECIOS'!D1299,"")</f>
        <v/>
      </c>
      <c r="E1282" t="str">
        <f>IF('LISTA DE PRECIOS'!$H1299&gt;0,'LISTA DE PRECIOS'!E1299,"")</f>
        <v/>
      </c>
      <c r="F1282" t="str">
        <f>IF('LISTA DE PRECIOS'!$H1299&gt;0,'LISTA DE PRECIOS'!F1299,"")</f>
        <v/>
      </c>
      <c r="G1282" s="31" t="str">
        <f>IF('LISTA DE PRECIOS'!$H1299&gt;0,'LISTA DE PRECIOS'!G1299,"")</f>
        <v/>
      </c>
      <c r="H1282" s="67" t="str">
        <f>IF('LISTA DE PRECIOS'!$H1299&gt;0,'LISTA DE PRECIOS'!H1299,"")</f>
        <v/>
      </c>
      <c r="I1282" s="31" t="str">
        <f t="shared" si="18"/>
        <v/>
      </c>
    </row>
    <row r="1283" spans="1:9">
      <c r="A1283" t="str">
        <f>IF('LISTA DE PRECIOS'!$H1300&gt;0,'LISTA DE PRECIOS'!A1300,"")</f>
        <v/>
      </c>
      <c r="B1283" t="str">
        <f>IF('LISTA DE PRECIOS'!$H1300&gt;0,'LISTA DE PRECIOS'!B1300,"")</f>
        <v/>
      </c>
      <c r="C1283" t="str">
        <f>IF('LISTA DE PRECIOS'!$H1300&gt;0,'LISTA DE PRECIOS'!C1300,"")</f>
        <v/>
      </c>
      <c r="D1283" s="67" t="str">
        <f>IF('LISTA DE PRECIOS'!$H1300&gt;0,'LISTA DE PRECIOS'!D1300,"")</f>
        <v/>
      </c>
      <c r="E1283" t="str">
        <f>IF('LISTA DE PRECIOS'!$H1300&gt;0,'LISTA DE PRECIOS'!E1300,"")</f>
        <v/>
      </c>
      <c r="F1283" t="str">
        <f>IF('LISTA DE PRECIOS'!$H1300&gt;0,'LISTA DE PRECIOS'!F1300,"")</f>
        <v/>
      </c>
      <c r="G1283" s="31" t="str">
        <f>IF('LISTA DE PRECIOS'!$H1300&gt;0,'LISTA DE PRECIOS'!G1300,"")</f>
        <v/>
      </c>
      <c r="H1283" s="67" t="str">
        <f>IF('LISTA DE PRECIOS'!$H1300&gt;0,'LISTA DE PRECIOS'!H1300,"")</f>
        <v/>
      </c>
      <c r="I1283" s="31" t="str">
        <f t="shared" si="18"/>
        <v/>
      </c>
    </row>
    <row r="1284" spans="1:9">
      <c r="A1284" t="str">
        <f>IF('LISTA DE PRECIOS'!$H1301&gt;0,'LISTA DE PRECIOS'!A1301,"")</f>
        <v/>
      </c>
      <c r="B1284" t="str">
        <f>IF('LISTA DE PRECIOS'!$H1301&gt;0,'LISTA DE PRECIOS'!B1301,"")</f>
        <v/>
      </c>
      <c r="C1284" t="str">
        <f>IF('LISTA DE PRECIOS'!$H1301&gt;0,'LISTA DE PRECIOS'!C1301,"")</f>
        <v/>
      </c>
      <c r="D1284" s="67" t="str">
        <f>IF('LISTA DE PRECIOS'!$H1301&gt;0,'LISTA DE PRECIOS'!D1301,"")</f>
        <v/>
      </c>
      <c r="E1284" t="str">
        <f>IF('LISTA DE PRECIOS'!$H1301&gt;0,'LISTA DE PRECIOS'!E1301,"")</f>
        <v/>
      </c>
      <c r="F1284" t="str">
        <f>IF('LISTA DE PRECIOS'!$H1301&gt;0,'LISTA DE PRECIOS'!F1301,"")</f>
        <v/>
      </c>
      <c r="G1284" s="31" t="str">
        <f>IF('LISTA DE PRECIOS'!$H1301&gt;0,'LISTA DE PRECIOS'!G1301,"")</f>
        <v/>
      </c>
      <c r="H1284" s="67" t="str">
        <f>IF('LISTA DE PRECIOS'!$H1301&gt;0,'LISTA DE PRECIOS'!H1301,"")</f>
        <v/>
      </c>
      <c r="I1284" s="31" t="str">
        <f t="shared" si="18"/>
        <v/>
      </c>
    </row>
    <row r="1285" spans="1:9">
      <c r="A1285" t="str">
        <f>IF('LISTA DE PRECIOS'!$H1302&gt;0,'LISTA DE PRECIOS'!A1302,"")</f>
        <v/>
      </c>
      <c r="B1285" t="str">
        <f>IF('LISTA DE PRECIOS'!$H1302&gt;0,'LISTA DE PRECIOS'!B1302,"")</f>
        <v/>
      </c>
      <c r="C1285" t="str">
        <f>IF('LISTA DE PRECIOS'!$H1302&gt;0,'LISTA DE PRECIOS'!C1302,"")</f>
        <v/>
      </c>
      <c r="D1285" s="67" t="str">
        <f>IF('LISTA DE PRECIOS'!$H1302&gt;0,'LISTA DE PRECIOS'!D1302,"")</f>
        <v/>
      </c>
      <c r="E1285" t="str">
        <f>IF('LISTA DE PRECIOS'!$H1302&gt;0,'LISTA DE PRECIOS'!E1302,"")</f>
        <v/>
      </c>
      <c r="F1285" t="str">
        <f>IF('LISTA DE PRECIOS'!$H1302&gt;0,'LISTA DE PRECIOS'!F1302,"")</f>
        <v/>
      </c>
      <c r="G1285" s="31" t="str">
        <f>IF('LISTA DE PRECIOS'!$H1302&gt;0,'LISTA DE PRECIOS'!G1302,"")</f>
        <v/>
      </c>
      <c r="H1285" s="67" t="str">
        <f>IF('LISTA DE PRECIOS'!$H1302&gt;0,'LISTA DE PRECIOS'!H1302,"")</f>
        <v/>
      </c>
      <c r="I1285" s="31" t="str">
        <f t="shared" si="18"/>
        <v/>
      </c>
    </row>
    <row r="1286" spans="1:9">
      <c r="A1286" t="str">
        <f>IF('LISTA DE PRECIOS'!$H1303&gt;0,'LISTA DE PRECIOS'!A1303,"")</f>
        <v/>
      </c>
      <c r="B1286" t="str">
        <f>IF('LISTA DE PRECIOS'!$H1303&gt;0,'LISTA DE PRECIOS'!B1303,"")</f>
        <v/>
      </c>
      <c r="C1286" t="str">
        <f>IF('LISTA DE PRECIOS'!$H1303&gt;0,'LISTA DE PRECIOS'!C1303,"")</f>
        <v/>
      </c>
      <c r="D1286" s="67" t="str">
        <f>IF('LISTA DE PRECIOS'!$H1303&gt;0,'LISTA DE PRECIOS'!D1303,"")</f>
        <v/>
      </c>
      <c r="E1286" t="str">
        <f>IF('LISTA DE PRECIOS'!$H1303&gt;0,'LISTA DE PRECIOS'!E1303,"")</f>
        <v/>
      </c>
      <c r="F1286" t="str">
        <f>IF('LISTA DE PRECIOS'!$H1303&gt;0,'LISTA DE PRECIOS'!F1303,"")</f>
        <v/>
      </c>
      <c r="G1286" s="31" t="str">
        <f>IF('LISTA DE PRECIOS'!$H1303&gt;0,'LISTA DE PRECIOS'!G1303,"")</f>
        <v/>
      </c>
      <c r="H1286" s="67" t="str">
        <f>IF('LISTA DE PRECIOS'!$H1303&gt;0,'LISTA DE PRECIOS'!H1303,"")</f>
        <v/>
      </c>
      <c r="I1286" s="31" t="str">
        <f t="shared" si="18"/>
        <v/>
      </c>
    </row>
    <row r="1287" spans="1:9">
      <c r="A1287" t="str">
        <f>IF('LISTA DE PRECIOS'!$H1304&gt;0,'LISTA DE PRECIOS'!A1304,"")</f>
        <v/>
      </c>
      <c r="B1287" t="str">
        <f>IF('LISTA DE PRECIOS'!$H1304&gt;0,'LISTA DE PRECIOS'!B1304,"")</f>
        <v/>
      </c>
      <c r="C1287" t="str">
        <f>IF('LISTA DE PRECIOS'!$H1304&gt;0,'LISTA DE PRECIOS'!C1304,"")</f>
        <v/>
      </c>
      <c r="D1287" s="67" t="str">
        <f>IF('LISTA DE PRECIOS'!$H1304&gt;0,'LISTA DE PRECIOS'!D1304,"")</f>
        <v/>
      </c>
      <c r="E1287" t="str">
        <f>IF('LISTA DE PRECIOS'!$H1304&gt;0,'LISTA DE PRECIOS'!E1304,"")</f>
        <v/>
      </c>
      <c r="F1287" t="str">
        <f>IF('LISTA DE PRECIOS'!$H1304&gt;0,'LISTA DE PRECIOS'!F1304,"")</f>
        <v/>
      </c>
      <c r="G1287" s="31" t="str">
        <f>IF('LISTA DE PRECIOS'!$H1304&gt;0,'LISTA DE PRECIOS'!G1304,"")</f>
        <v/>
      </c>
      <c r="H1287" s="67" t="str">
        <f>IF('LISTA DE PRECIOS'!$H1304&gt;0,'LISTA DE PRECIOS'!H1304,"")</f>
        <v/>
      </c>
      <c r="I1287" s="31" t="str">
        <f t="shared" si="18"/>
        <v/>
      </c>
    </row>
    <row r="1288" spans="1:9">
      <c r="A1288" t="str">
        <f>IF('LISTA DE PRECIOS'!$H1305&gt;0,'LISTA DE PRECIOS'!A1305,"")</f>
        <v/>
      </c>
      <c r="B1288" t="str">
        <f>IF('LISTA DE PRECIOS'!$H1305&gt;0,'LISTA DE PRECIOS'!B1305,"")</f>
        <v/>
      </c>
      <c r="C1288" t="str">
        <f>IF('LISTA DE PRECIOS'!$H1305&gt;0,'LISTA DE PRECIOS'!C1305,"")</f>
        <v/>
      </c>
      <c r="D1288" s="67" t="str">
        <f>IF('LISTA DE PRECIOS'!$H1305&gt;0,'LISTA DE PRECIOS'!D1305,"")</f>
        <v/>
      </c>
      <c r="E1288" t="str">
        <f>IF('LISTA DE PRECIOS'!$H1305&gt;0,'LISTA DE PRECIOS'!E1305,"")</f>
        <v/>
      </c>
      <c r="F1288" t="str">
        <f>IF('LISTA DE PRECIOS'!$H1305&gt;0,'LISTA DE PRECIOS'!F1305,"")</f>
        <v/>
      </c>
      <c r="G1288" s="31" t="str">
        <f>IF('LISTA DE PRECIOS'!$H1305&gt;0,'LISTA DE PRECIOS'!G1305,"")</f>
        <v/>
      </c>
      <c r="H1288" s="67" t="str">
        <f>IF('LISTA DE PRECIOS'!$H1305&gt;0,'LISTA DE PRECIOS'!H1305,"")</f>
        <v/>
      </c>
      <c r="I1288" s="31" t="str">
        <f t="shared" si="18"/>
        <v/>
      </c>
    </row>
    <row r="1289" spans="1:9">
      <c r="A1289" t="str">
        <f>IF('LISTA DE PRECIOS'!$H1306&gt;0,'LISTA DE PRECIOS'!A1306,"")</f>
        <v/>
      </c>
      <c r="B1289" t="str">
        <f>IF('LISTA DE PRECIOS'!$H1306&gt;0,'LISTA DE PRECIOS'!B1306,"")</f>
        <v/>
      </c>
      <c r="C1289" t="str">
        <f>IF('LISTA DE PRECIOS'!$H1306&gt;0,'LISTA DE PRECIOS'!C1306,"")</f>
        <v/>
      </c>
      <c r="D1289" s="67" t="str">
        <f>IF('LISTA DE PRECIOS'!$H1306&gt;0,'LISTA DE PRECIOS'!D1306,"")</f>
        <v/>
      </c>
      <c r="E1289" t="str">
        <f>IF('LISTA DE PRECIOS'!$H1306&gt;0,'LISTA DE PRECIOS'!E1306,"")</f>
        <v/>
      </c>
      <c r="F1289" t="str">
        <f>IF('LISTA DE PRECIOS'!$H1306&gt;0,'LISTA DE PRECIOS'!F1306,"")</f>
        <v/>
      </c>
      <c r="G1289" s="31" t="str">
        <f>IF('LISTA DE PRECIOS'!$H1306&gt;0,'LISTA DE PRECIOS'!G1306,"")</f>
        <v/>
      </c>
      <c r="H1289" s="67" t="str">
        <f>IF('LISTA DE PRECIOS'!$H1306&gt;0,'LISTA DE PRECIOS'!H1306,"")</f>
        <v/>
      </c>
      <c r="I1289" s="31" t="str">
        <f t="shared" si="18"/>
        <v/>
      </c>
    </row>
    <row r="1290" spans="1:9">
      <c r="A1290" t="str">
        <f>IF('LISTA DE PRECIOS'!$H1307&gt;0,'LISTA DE PRECIOS'!A1307,"")</f>
        <v/>
      </c>
      <c r="B1290" t="str">
        <f>IF('LISTA DE PRECIOS'!$H1307&gt;0,'LISTA DE PRECIOS'!B1307,"")</f>
        <v/>
      </c>
      <c r="C1290" t="str">
        <f>IF('LISTA DE PRECIOS'!$H1307&gt;0,'LISTA DE PRECIOS'!C1307,"")</f>
        <v/>
      </c>
      <c r="D1290" s="67" t="str">
        <f>IF('LISTA DE PRECIOS'!$H1307&gt;0,'LISTA DE PRECIOS'!D1307,"")</f>
        <v/>
      </c>
      <c r="E1290" t="str">
        <f>IF('LISTA DE PRECIOS'!$H1307&gt;0,'LISTA DE PRECIOS'!E1307,"")</f>
        <v/>
      </c>
      <c r="F1290" t="str">
        <f>IF('LISTA DE PRECIOS'!$H1307&gt;0,'LISTA DE PRECIOS'!F1307,"")</f>
        <v/>
      </c>
      <c r="G1290" s="31" t="str">
        <f>IF('LISTA DE PRECIOS'!$H1307&gt;0,'LISTA DE PRECIOS'!G1307,"")</f>
        <v/>
      </c>
      <c r="H1290" s="67" t="str">
        <f>IF('LISTA DE PRECIOS'!$H1307&gt;0,'LISTA DE PRECIOS'!H1307,"")</f>
        <v/>
      </c>
      <c r="I1290" s="31" t="str">
        <f t="shared" si="18"/>
        <v/>
      </c>
    </row>
    <row r="1291" spans="1:9">
      <c r="A1291" t="str">
        <f>IF('LISTA DE PRECIOS'!$H1308&gt;0,'LISTA DE PRECIOS'!A1308,"")</f>
        <v/>
      </c>
      <c r="B1291" t="str">
        <f>IF('LISTA DE PRECIOS'!$H1308&gt;0,'LISTA DE PRECIOS'!B1308,"")</f>
        <v/>
      </c>
      <c r="C1291" t="str">
        <f>IF('LISTA DE PRECIOS'!$H1308&gt;0,'LISTA DE PRECIOS'!C1308,"")</f>
        <v/>
      </c>
      <c r="D1291" s="67" t="str">
        <f>IF('LISTA DE PRECIOS'!$H1308&gt;0,'LISTA DE PRECIOS'!D1308,"")</f>
        <v/>
      </c>
      <c r="E1291" t="str">
        <f>IF('LISTA DE PRECIOS'!$H1308&gt;0,'LISTA DE PRECIOS'!E1308,"")</f>
        <v/>
      </c>
      <c r="F1291" t="str">
        <f>IF('LISTA DE PRECIOS'!$H1308&gt;0,'LISTA DE PRECIOS'!F1308,"")</f>
        <v/>
      </c>
      <c r="G1291" s="31" t="str">
        <f>IF('LISTA DE PRECIOS'!$H1308&gt;0,'LISTA DE PRECIOS'!G1308,"")</f>
        <v/>
      </c>
      <c r="H1291" s="67" t="str">
        <f>IF('LISTA DE PRECIOS'!$H1308&gt;0,'LISTA DE PRECIOS'!H1308,"")</f>
        <v/>
      </c>
      <c r="I1291" s="31" t="str">
        <f t="shared" si="18"/>
        <v/>
      </c>
    </row>
    <row r="1292" spans="1:9">
      <c r="A1292" t="str">
        <f>IF('LISTA DE PRECIOS'!$H1309&gt;0,'LISTA DE PRECIOS'!A1309,"")</f>
        <v/>
      </c>
      <c r="B1292" t="str">
        <f>IF('LISTA DE PRECIOS'!$H1309&gt;0,'LISTA DE PRECIOS'!B1309,"")</f>
        <v/>
      </c>
      <c r="C1292" t="str">
        <f>IF('LISTA DE PRECIOS'!$H1309&gt;0,'LISTA DE PRECIOS'!C1309,"")</f>
        <v/>
      </c>
      <c r="D1292" s="67" t="str">
        <f>IF('LISTA DE PRECIOS'!$H1309&gt;0,'LISTA DE PRECIOS'!D1309,"")</f>
        <v/>
      </c>
      <c r="E1292" t="str">
        <f>IF('LISTA DE PRECIOS'!$H1309&gt;0,'LISTA DE PRECIOS'!E1309,"")</f>
        <v/>
      </c>
      <c r="F1292" t="str">
        <f>IF('LISTA DE PRECIOS'!$H1309&gt;0,'LISTA DE PRECIOS'!F1309,"")</f>
        <v/>
      </c>
      <c r="G1292" s="31" t="str">
        <f>IF('LISTA DE PRECIOS'!$H1309&gt;0,'LISTA DE PRECIOS'!G1309,"")</f>
        <v/>
      </c>
      <c r="H1292" s="67" t="str">
        <f>IF('LISTA DE PRECIOS'!$H1309&gt;0,'LISTA DE PRECIOS'!H1309,"")</f>
        <v/>
      </c>
      <c r="I1292" s="31" t="str">
        <f t="shared" si="18"/>
        <v/>
      </c>
    </row>
    <row r="1293" spans="1:9">
      <c r="A1293" t="str">
        <f>IF('LISTA DE PRECIOS'!$H1310&gt;0,'LISTA DE PRECIOS'!A1310,"")</f>
        <v/>
      </c>
      <c r="B1293" t="str">
        <f>IF('LISTA DE PRECIOS'!$H1310&gt;0,'LISTA DE PRECIOS'!B1310,"")</f>
        <v/>
      </c>
      <c r="C1293" t="str">
        <f>IF('LISTA DE PRECIOS'!$H1310&gt;0,'LISTA DE PRECIOS'!C1310,"")</f>
        <v/>
      </c>
      <c r="D1293" s="67" t="str">
        <f>IF('LISTA DE PRECIOS'!$H1310&gt;0,'LISTA DE PRECIOS'!D1310,"")</f>
        <v/>
      </c>
      <c r="E1293" t="str">
        <f>IF('LISTA DE PRECIOS'!$H1310&gt;0,'LISTA DE PRECIOS'!E1310,"")</f>
        <v/>
      </c>
      <c r="F1293" t="str">
        <f>IF('LISTA DE PRECIOS'!$H1310&gt;0,'LISTA DE PRECIOS'!F1310,"")</f>
        <v/>
      </c>
      <c r="G1293" s="31" t="str">
        <f>IF('LISTA DE PRECIOS'!$H1310&gt;0,'LISTA DE PRECIOS'!G1310,"")</f>
        <v/>
      </c>
      <c r="H1293" s="67" t="str">
        <f>IF('LISTA DE PRECIOS'!$H1310&gt;0,'LISTA DE PRECIOS'!H1310,"")</f>
        <v/>
      </c>
      <c r="I1293" s="31" t="str">
        <f t="shared" si="18"/>
        <v/>
      </c>
    </row>
    <row r="1294" spans="1:9">
      <c r="A1294" t="str">
        <f>IF('LISTA DE PRECIOS'!$H1311&gt;0,'LISTA DE PRECIOS'!A1311,"")</f>
        <v/>
      </c>
      <c r="B1294" t="str">
        <f>IF('LISTA DE PRECIOS'!$H1311&gt;0,'LISTA DE PRECIOS'!B1311,"")</f>
        <v/>
      </c>
      <c r="C1294" t="str">
        <f>IF('LISTA DE PRECIOS'!$H1311&gt;0,'LISTA DE PRECIOS'!C1311,"")</f>
        <v/>
      </c>
      <c r="D1294" s="67" t="str">
        <f>IF('LISTA DE PRECIOS'!$H1311&gt;0,'LISTA DE PRECIOS'!D1311,"")</f>
        <v/>
      </c>
      <c r="E1294" t="str">
        <f>IF('LISTA DE PRECIOS'!$H1311&gt;0,'LISTA DE PRECIOS'!E1311,"")</f>
        <v/>
      </c>
      <c r="F1294" t="str">
        <f>IF('LISTA DE PRECIOS'!$H1311&gt;0,'LISTA DE PRECIOS'!F1311,"")</f>
        <v/>
      </c>
      <c r="G1294" s="31" t="str">
        <f>IF('LISTA DE PRECIOS'!$H1311&gt;0,'LISTA DE PRECIOS'!G1311,"")</f>
        <v/>
      </c>
      <c r="H1294" s="67" t="str">
        <f>IF('LISTA DE PRECIOS'!$H1311&gt;0,'LISTA DE PRECIOS'!H1311,"")</f>
        <v/>
      </c>
      <c r="I1294" s="31" t="str">
        <f t="shared" si="18"/>
        <v/>
      </c>
    </row>
    <row r="1295" spans="1:9">
      <c r="A1295" t="str">
        <f>IF('LISTA DE PRECIOS'!$H1312&gt;0,'LISTA DE PRECIOS'!A1312,"")</f>
        <v/>
      </c>
      <c r="B1295" t="str">
        <f>IF('LISTA DE PRECIOS'!$H1312&gt;0,'LISTA DE PRECIOS'!B1312,"")</f>
        <v/>
      </c>
      <c r="C1295" t="str">
        <f>IF('LISTA DE PRECIOS'!$H1312&gt;0,'LISTA DE PRECIOS'!C1312,"")</f>
        <v/>
      </c>
      <c r="D1295" s="67" t="str">
        <f>IF('LISTA DE PRECIOS'!$H1312&gt;0,'LISTA DE PRECIOS'!D1312,"")</f>
        <v/>
      </c>
      <c r="E1295" t="str">
        <f>IF('LISTA DE PRECIOS'!$H1312&gt;0,'LISTA DE PRECIOS'!E1312,"")</f>
        <v/>
      </c>
      <c r="F1295" t="str">
        <f>IF('LISTA DE PRECIOS'!$H1312&gt;0,'LISTA DE PRECIOS'!F1312,"")</f>
        <v/>
      </c>
      <c r="G1295" s="31" t="str">
        <f>IF('LISTA DE PRECIOS'!$H1312&gt;0,'LISTA DE PRECIOS'!G1312,"")</f>
        <v/>
      </c>
      <c r="H1295" s="67" t="str">
        <f>IF('LISTA DE PRECIOS'!$H1312&gt;0,'LISTA DE PRECIOS'!H1312,"")</f>
        <v/>
      </c>
      <c r="I1295" s="31" t="str">
        <f t="shared" si="18"/>
        <v/>
      </c>
    </row>
    <row r="1296" spans="1:9">
      <c r="A1296" t="str">
        <f>IF('LISTA DE PRECIOS'!$H1313&gt;0,'LISTA DE PRECIOS'!A1313,"")</f>
        <v/>
      </c>
      <c r="B1296" t="str">
        <f>IF('LISTA DE PRECIOS'!$H1313&gt;0,'LISTA DE PRECIOS'!B1313,"")</f>
        <v/>
      </c>
      <c r="C1296" t="str">
        <f>IF('LISTA DE PRECIOS'!$H1313&gt;0,'LISTA DE PRECIOS'!C1313,"")</f>
        <v/>
      </c>
      <c r="D1296" s="67" t="str">
        <f>IF('LISTA DE PRECIOS'!$H1313&gt;0,'LISTA DE PRECIOS'!D1313,"")</f>
        <v/>
      </c>
      <c r="E1296" t="str">
        <f>IF('LISTA DE PRECIOS'!$H1313&gt;0,'LISTA DE PRECIOS'!E1313,"")</f>
        <v/>
      </c>
      <c r="F1296" t="str">
        <f>IF('LISTA DE PRECIOS'!$H1313&gt;0,'LISTA DE PRECIOS'!F1313,"")</f>
        <v/>
      </c>
      <c r="G1296" s="31" t="str">
        <f>IF('LISTA DE PRECIOS'!$H1313&gt;0,'LISTA DE PRECIOS'!G1313,"")</f>
        <v/>
      </c>
      <c r="H1296" s="67" t="str">
        <f>IF('LISTA DE PRECIOS'!$H1313&gt;0,'LISTA DE PRECIOS'!H1313,"")</f>
        <v/>
      </c>
      <c r="I1296" s="31" t="str">
        <f t="shared" si="18"/>
        <v/>
      </c>
    </row>
    <row r="1297" spans="1:9">
      <c r="A1297" t="str">
        <f>IF('LISTA DE PRECIOS'!$H1314&gt;0,'LISTA DE PRECIOS'!A1314,"")</f>
        <v/>
      </c>
      <c r="B1297" t="str">
        <f>IF('LISTA DE PRECIOS'!$H1314&gt;0,'LISTA DE PRECIOS'!B1314,"")</f>
        <v/>
      </c>
      <c r="C1297" t="str">
        <f>IF('LISTA DE PRECIOS'!$H1314&gt;0,'LISTA DE PRECIOS'!C1314,"")</f>
        <v/>
      </c>
      <c r="D1297" s="67" t="str">
        <f>IF('LISTA DE PRECIOS'!$H1314&gt;0,'LISTA DE PRECIOS'!D1314,"")</f>
        <v/>
      </c>
      <c r="E1297" t="str">
        <f>IF('LISTA DE PRECIOS'!$H1314&gt;0,'LISTA DE PRECIOS'!E1314,"")</f>
        <v/>
      </c>
      <c r="F1297" t="str">
        <f>IF('LISTA DE PRECIOS'!$H1314&gt;0,'LISTA DE PRECIOS'!F1314,"")</f>
        <v/>
      </c>
      <c r="G1297" s="31" t="str">
        <f>IF('LISTA DE PRECIOS'!$H1314&gt;0,'LISTA DE PRECIOS'!G1314,"")</f>
        <v/>
      </c>
      <c r="H1297" s="67" t="str">
        <f>IF('LISTA DE PRECIOS'!$H1314&gt;0,'LISTA DE PRECIOS'!H1314,"")</f>
        <v/>
      </c>
      <c r="I1297" s="31" t="str">
        <f t="shared" ref="I1297:I1360" si="19">IF(OR(G1297="",H1297=""),"",G1297*H1297)</f>
        <v/>
      </c>
    </row>
    <row r="1298" spans="1:9">
      <c r="A1298" t="str">
        <f>IF('LISTA DE PRECIOS'!$H1315&gt;0,'LISTA DE PRECIOS'!A1315,"")</f>
        <v/>
      </c>
      <c r="B1298" t="str">
        <f>IF('LISTA DE PRECIOS'!$H1315&gt;0,'LISTA DE PRECIOS'!B1315,"")</f>
        <v/>
      </c>
      <c r="C1298" t="str">
        <f>IF('LISTA DE PRECIOS'!$H1315&gt;0,'LISTA DE PRECIOS'!C1315,"")</f>
        <v/>
      </c>
      <c r="D1298" s="67" t="str">
        <f>IF('LISTA DE PRECIOS'!$H1315&gt;0,'LISTA DE PRECIOS'!D1315,"")</f>
        <v/>
      </c>
      <c r="E1298" t="str">
        <f>IF('LISTA DE PRECIOS'!$H1315&gt;0,'LISTA DE PRECIOS'!E1315,"")</f>
        <v/>
      </c>
      <c r="F1298" t="str">
        <f>IF('LISTA DE PRECIOS'!$H1315&gt;0,'LISTA DE PRECIOS'!F1315,"")</f>
        <v/>
      </c>
      <c r="G1298" s="31" t="str">
        <f>IF('LISTA DE PRECIOS'!$H1315&gt;0,'LISTA DE PRECIOS'!G1315,"")</f>
        <v/>
      </c>
      <c r="H1298" s="67" t="str">
        <f>IF('LISTA DE PRECIOS'!$H1315&gt;0,'LISTA DE PRECIOS'!H1315,"")</f>
        <v/>
      </c>
      <c r="I1298" s="31" t="str">
        <f t="shared" si="19"/>
        <v/>
      </c>
    </row>
    <row r="1299" spans="1:9">
      <c r="A1299" t="str">
        <f>IF('LISTA DE PRECIOS'!$H1316&gt;0,'LISTA DE PRECIOS'!A1316,"")</f>
        <v/>
      </c>
      <c r="B1299" t="str">
        <f>IF('LISTA DE PRECIOS'!$H1316&gt;0,'LISTA DE PRECIOS'!B1316,"")</f>
        <v/>
      </c>
      <c r="C1299" t="str">
        <f>IF('LISTA DE PRECIOS'!$H1316&gt;0,'LISTA DE PRECIOS'!C1316,"")</f>
        <v/>
      </c>
      <c r="D1299" s="67" t="str">
        <f>IF('LISTA DE PRECIOS'!$H1316&gt;0,'LISTA DE PRECIOS'!D1316,"")</f>
        <v/>
      </c>
      <c r="E1299" t="str">
        <f>IF('LISTA DE PRECIOS'!$H1316&gt;0,'LISTA DE PRECIOS'!E1316,"")</f>
        <v/>
      </c>
      <c r="F1299" t="str">
        <f>IF('LISTA DE PRECIOS'!$H1316&gt;0,'LISTA DE PRECIOS'!F1316,"")</f>
        <v/>
      </c>
      <c r="G1299" s="31" t="str">
        <f>IF('LISTA DE PRECIOS'!$H1316&gt;0,'LISTA DE PRECIOS'!G1316,"")</f>
        <v/>
      </c>
      <c r="H1299" s="67" t="str">
        <f>IF('LISTA DE PRECIOS'!$H1316&gt;0,'LISTA DE PRECIOS'!H1316,"")</f>
        <v/>
      </c>
      <c r="I1299" s="31" t="str">
        <f t="shared" si="19"/>
        <v/>
      </c>
    </row>
    <row r="1300" spans="1:9">
      <c r="A1300" t="str">
        <f>IF('LISTA DE PRECIOS'!$H1317&gt;0,'LISTA DE PRECIOS'!A1317,"")</f>
        <v/>
      </c>
      <c r="B1300" t="str">
        <f>IF('LISTA DE PRECIOS'!$H1317&gt;0,'LISTA DE PRECIOS'!B1317,"")</f>
        <v/>
      </c>
      <c r="C1300" t="str">
        <f>IF('LISTA DE PRECIOS'!$H1317&gt;0,'LISTA DE PRECIOS'!C1317,"")</f>
        <v/>
      </c>
      <c r="D1300" s="67" t="str">
        <f>IF('LISTA DE PRECIOS'!$H1317&gt;0,'LISTA DE PRECIOS'!D1317,"")</f>
        <v/>
      </c>
      <c r="E1300" t="str">
        <f>IF('LISTA DE PRECIOS'!$H1317&gt;0,'LISTA DE PRECIOS'!E1317,"")</f>
        <v/>
      </c>
      <c r="F1300" t="str">
        <f>IF('LISTA DE PRECIOS'!$H1317&gt;0,'LISTA DE PRECIOS'!F1317,"")</f>
        <v/>
      </c>
      <c r="G1300" s="31" t="str">
        <f>IF('LISTA DE PRECIOS'!$H1317&gt;0,'LISTA DE PRECIOS'!G1317,"")</f>
        <v/>
      </c>
      <c r="H1300" s="67" t="str">
        <f>IF('LISTA DE PRECIOS'!$H1317&gt;0,'LISTA DE PRECIOS'!H1317,"")</f>
        <v/>
      </c>
      <c r="I1300" s="31" t="str">
        <f t="shared" si="19"/>
        <v/>
      </c>
    </row>
    <row r="1301" spans="1:9">
      <c r="A1301" t="str">
        <f>IF('LISTA DE PRECIOS'!$H1318&gt;0,'LISTA DE PRECIOS'!A1318,"")</f>
        <v/>
      </c>
      <c r="B1301" t="str">
        <f>IF('LISTA DE PRECIOS'!$H1318&gt;0,'LISTA DE PRECIOS'!B1318,"")</f>
        <v/>
      </c>
      <c r="C1301" t="str">
        <f>IF('LISTA DE PRECIOS'!$H1318&gt;0,'LISTA DE PRECIOS'!C1318,"")</f>
        <v/>
      </c>
      <c r="D1301" s="67" t="str">
        <f>IF('LISTA DE PRECIOS'!$H1318&gt;0,'LISTA DE PRECIOS'!D1318,"")</f>
        <v/>
      </c>
      <c r="E1301" t="str">
        <f>IF('LISTA DE PRECIOS'!$H1318&gt;0,'LISTA DE PRECIOS'!E1318,"")</f>
        <v/>
      </c>
      <c r="F1301" t="str">
        <f>IF('LISTA DE PRECIOS'!$H1318&gt;0,'LISTA DE PRECIOS'!F1318,"")</f>
        <v/>
      </c>
      <c r="G1301" s="31" t="str">
        <f>IF('LISTA DE PRECIOS'!$H1318&gt;0,'LISTA DE PRECIOS'!G1318,"")</f>
        <v/>
      </c>
      <c r="H1301" s="67" t="str">
        <f>IF('LISTA DE PRECIOS'!$H1318&gt;0,'LISTA DE PRECIOS'!H1318,"")</f>
        <v/>
      </c>
      <c r="I1301" s="31" t="str">
        <f t="shared" si="19"/>
        <v/>
      </c>
    </row>
    <row r="1302" spans="1:9">
      <c r="A1302" t="e">
        <f>IF('LISTA DE PRECIOS'!#REF!&gt;0,'LISTA DE PRECIOS'!#REF!,"")</f>
        <v>#REF!</v>
      </c>
      <c r="B1302" t="e">
        <f>IF('LISTA DE PRECIOS'!#REF!&gt;0,'LISTA DE PRECIOS'!#REF!,"")</f>
        <v>#REF!</v>
      </c>
      <c r="C1302" t="e">
        <f>IF('LISTA DE PRECIOS'!#REF!&gt;0,'LISTA DE PRECIOS'!#REF!,"")</f>
        <v>#REF!</v>
      </c>
      <c r="D1302" s="67" t="e">
        <f>IF('LISTA DE PRECIOS'!#REF!&gt;0,'LISTA DE PRECIOS'!#REF!,"")</f>
        <v>#REF!</v>
      </c>
      <c r="E1302" t="e">
        <f>IF('LISTA DE PRECIOS'!#REF!&gt;0,'LISTA DE PRECIOS'!#REF!,"")</f>
        <v>#REF!</v>
      </c>
      <c r="F1302" t="e">
        <f>IF('LISTA DE PRECIOS'!#REF!&gt;0,'LISTA DE PRECIOS'!#REF!,"")</f>
        <v>#REF!</v>
      </c>
      <c r="G1302" s="31" t="e">
        <f>IF('LISTA DE PRECIOS'!#REF!&gt;0,'LISTA DE PRECIOS'!#REF!,"")</f>
        <v>#REF!</v>
      </c>
      <c r="H1302" s="67" t="e">
        <f>IF('LISTA DE PRECIOS'!#REF!&gt;0,'LISTA DE PRECIOS'!#REF!,"")</f>
        <v>#REF!</v>
      </c>
      <c r="I1302" s="31" t="e">
        <f t="shared" si="19"/>
        <v>#REF!</v>
      </c>
    </row>
    <row r="1303" spans="1:9">
      <c r="A1303" t="e">
        <f>IF('LISTA DE PRECIOS'!#REF!&gt;0,'LISTA DE PRECIOS'!#REF!,"")</f>
        <v>#REF!</v>
      </c>
      <c r="B1303" t="e">
        <f>IF('LISTA DE PRECIOS'!#REF!&gt;0,'LISTA DE PRECIOS'!#REF!,"")</f>
        <v>#REF!</v>
      </c>
      <c r="C1303" t="e">
        <f>IF('LISTA DE PRECIOS'!#REF!&gt;0,'LISTA DE PRECIOS'!#REF!,"")</f>
        <v>#REF!</v>
      </c>
      <c r="D1303" s="67" t="e">
        <f>IF('LISTA DE PRECIOS'!#REF!&gt;0,'LISTA DE PRECIOS'!#REF!,"")</f>
        <v>#REF!</v>
      </c>
      <c r="E1303" t="e">
        <f>IF('LISTA DE PRECIOS'!#REF!&gt;0,'LISTA DE PRECIOS'!#REF!,"")</f>
        <v>#REF!</v>
      </c>
      <c r="F1303" t="e">
        <f>IF('LISTA DE PRECIOS'!#REF!&gt;0,'LISTA DE PRECIOS'!#REF!,"")</f>
        <v>#REF!</v>
      </c>
      <c r="G1303" s="31" t="e">
        <f>IF('LISTA DE PRECIOS'!#REF!&gt;0,'LISTA DE PRECIOS'!#REF!,"")</f>
        <v>#REF!</v>
      </c>
      <c r="H1303" s="67" t="e">
        <f>IF('LISTA DE PRECIOS'!#REF!&gt;0,'LISTA DE PRECIOS'!#REF!,"")</f>
        <v>#REF!</v>
      </c>
      <c r="I1303" s="31" t="e">
        <f t="shared" si="19"/>
        <v>#REF!</v>
      </c>
    </row>
    <row r="1304" spans="1:9">
      <c r="A1304" t="e">
        <f>IF('LISTA DE PRECIOS'!#REF!&gt;0,'LISTA DE PRECIOS'!#REF!,"")</f>
        <v>#REF!</v>
      </c>
      <c r="B1304" t="e">
        <f>IF('LISTA DE PRECIOS'!#REF!&gt;0,'LISTA DE PRECIOS'!#REF!,"")</f>
        <v>#REF!</v>
      </c>
      <c r="C1304" t="e">
        <f>IF('LISTA DE PRECIOS'!#REF!&gt;0,'LISTA DE PRECIOS'!#REF!,"")</f>
        <v>#REF!</v>
      </c>
      <c r="D1304" s="67" t="e">
        <f>IF('LISTA DE PRECIOS'!#REF!&gt;0,'LISTA DE PRECIOS'!#REF!,"")</f>
        <v>#REF!</v>
      </c>
      <c r="E1304" t="e">
        <f>IF('LISTA DE PRECIOS'!#REF!&gt;0,'LISTA DE PRECIOS'!#REF!,"")</f>
        <v>#REF!</v>
      </c>
      <c r="F1304" t="e">
        <f>IF('LISTA DE PRECIOS'!#REF!&gt;0,'LISTA DE PRECIOS'!#REF!,"")</f>
        <v>#REF!</v>
      </c>
      <c r="G1304" s="31" t="e">
        <f>IF('LISTA DE PRECIOS'!#REF!&gt;0,'LISTA DE PRECIOS'!#REF!,"")</f>
        <v>#REF!</v>
      </c>
      <c r="H1304" s="67" t="e">
        <f>IF('LISTA DE PRECIOS'!#REF!&gt;0,'LISTA DE PRECIOS'!#REF!,"")</f>
        <v>#REF!</v>
      </c>
      <c r="I1304" s="31" t="e">
        <f t="shared" si="19"/>
        <v>#REF!</v>
      </c>
    </row>
    <row r="1305" spans="1:9">
      <c r="A1305" t="e">
        <f>IF('LISTA DE PRECIOS'!#REF!&gt;0,'LISTA DE PRECIOS'!#REF!,"")</f>
        <v>#REF!</v>
      </c>
      <c r="B1305" t="e">
        <f>IF('LISTA DE PRECIOS'!#REF!&gt;0,'LISTA DE PRECIOS'!#REF!,"")</f>
        <v>#REF!</v>
      </c>
      <c r="C1305" t="e">
        <f>IF('LISTA DE PRECIOS'!#REF!&gt;0,'LISTA DE PRECIOS'!#REF!,"")</f>
        <v>#REF!</v>
      </c>
      <c r="D1305" s="67" t="e">
        <f>IF('LISTA DE PRECIOS'!#REF!&gt;0,'LISTA DE PRECIOS'!#REF!,"")</f>
        <v>#REF!</v>
      </c>
      <c r="E1305" t="e">
        <f>IF('LISTA DE PRECIOS'!#REF!&gt;0,'LISTA DE PRECIOS'!#REF!,"")</f>
        <v>#REF!</v>
      </c>
      <c r="F1305" t="e">
        <f>IF('LISTA DE PRECIOS'!#REF!&gt;0,'LISTA DE PRECIOS'!#REF!,"")</f>
        <v>#REF!</v>
      </c>
      <c r="G1305" s="31" t="e">
        <f>IF('LISTA DE PRECIOS'!#REF!&gt;0,'LISTA DE PRECIOS'!#REF!,"")</f>
        <v>#REF!</v>
      </c>
      <c r="H1305" s="67" t="e">
        <f>IF('LISTA DE PRECIOS'!#REF!&gt;0,'LISTA DE PRECIOS'!#REF!,"")</f>
        <v>#REF!</v>
      </c>
      <c r="I1305" s="31" t="e">
        <f t="shared" si="19"/>
        <v>#REF!</v>
      </c>
    </row>
    <row r="1306" spans="1:9">
      <c r="A1306" t="e">
        <f>IF('LISTA DE PRECIOS'!#REF!&gt;0,'LISTA DE PRECIOS'!#REF!,"")</f>
        <v>#REF!</v>
      </c>
      <c r="B1306" t="e">
        <f>IF('LISTA DE PRECIOS'!#REF!&gt;0,'LISTA DE PRECIOS'!#REF!,"")</f>
        <v>#REF!</v>
      </c>
      <c r="C1306" t="e">
        <f>IF('LISTA DE PRECIOS'!#REF!&gt;0,'LISTA DE PRECIOS'!#REF!,"")</f>
        <v>#REF!</v>
      </c>
      <c r="D1306" s="67" t="e">
        <f>IF('LISTA DE PRECIOS'!#REF!&gt;0,'LISTA DE PRECIOS'!#REF!,"")</f>
        <v>#REF!</v>
      </c>
      <c r="E1306" t="e">
        <f>IF('LISTA DE PRECIOS'!#REF!&gt;0,'LISTA DE PRECIOS'!#REF!,"")</f>
        <v>#REF!</v>
      </c>
      <c r="F1306" t="e">
        <f>IF('LISTA DE PRECIOS'!#REF!&gt;0,'LISTA DE PRECIOS'!#REF!,"")</f>
        <v>#REF!</v>
      </c>
      <c r="G1306" s="31" t="e">
        <f>IF('LISTA DE PRECIOS'!#REF!&gt;0,'LISTA DE PRECIOS'!#REF!,"")</f>
        <v>#REF!</v>
      </c>
      <c r="H1306" s="67" t="e">
        <f>IF('LISTA DE PRECIOS'!#REF!&gt;0,'LISTA DE PRECIOS'!#REF!,"")</f>
        <v>#REF!</v>
      </c>
      <c r="I1306" s="31" t="e">
        <f t="shared" si="19"/>
        <v>#REF!</v>
      </c>
    </row>
    <row r="1307" spans="1:9">
      <c r="A1307" t="e">
        <f>IF('LISTA DE PRECIOS'!#REF!&gt;0,'LISTA DE PRECIOS'!#REF!,"")</f>
        <v>#REF!</v>
      </c>
      <c r="B1307" t="e">
        <f>IF('LISTA DE PRECIOS'!#REF!&gt;0,'LISTA DE PRECIOS'!#REF!,"")</f>
        <v>#REF!</v>
      </c>
      <c r="C1307" t="e">
        <f>IF('LISTA DE PRECIOS'!#REF!&gt;0,'LISTA DE PRECIOS'!#REF!,"")</f>
        <v>#REF!</v>
      </c>
      <c r="D1307" s="67" t="e">
        <f>IF('LISTA DE PRECIOS'!#REF!&gt;0,'LISTA DE PRECIOS'!#REF!,"")</f>
        <v>#REF!</v>
      </c>
      <c r="E1307" t="e">
        <f>IF('LISTA DE PRECIOS'!#REF!&gt;0,'LISTA DE PRECIOS'!#REF!,"")</f>
        <v>#REF!</v>
      </c>
      <c r="F1307" t="e">
        <f>IF('LISTA DE PRECIOS'!#REF!&gt;0,'LISTA DE PRECIOS'!#REF!,"")</f>
        <v>#REF!</v>
      </c>
      <c r="G1307" s="31" t="e">
        <f>IF('LISTA DE PRECIOS'!#REF!&gt;0,'LISTA DE PRECIOS'!#REF!,"")</f>
        <v>#REF!</v>
      </c>
      <c r="H1307" s="67" t="e">
        <f>IF('LISTA DE PRECIOS'!#REF!&gt;0,'LISTA DE PRECIOS'!#REF!,"")</f>
        <v>#REF!</v>
      </c>
      <c r="I1307" s="31" t="e">
        <f t="shared" si="19"/>
        <v>#REF!</v>
      </c>
    </row>
    <row r="1308" spans="1:9">
      <c r="A1308" t="e">
        <f>IF('LISTA DE PRECIOS'!#REF!&gt;0,'LISTA DE PRECIOS'!#REF!,"")</f>
        <v>#REF!</v>
      </c>
      <c r="B1308" t="e">
        <f>IF('LISTA DE PRECIOS'!#REF!&gt;0,'LISTA DE PRECIOS'!#REF!,"")</f>
        <v>#REF!</v>
      </c>
      <c r="C1308" t="e">
        <f>IF('LISTA DE PRECIOS'!#REF!&gt;0,'LISTA DE PRECIOS'!#REF!,"")</f>
        <v>#REF!</v>
      </c>
      <c r="D1308" s="67" t="e">
        <f>IF('LISTA DE PRECIOS'!#REF!&gt;0,'LISTA DE PRECIOS'!#REF!,"")</f>
        <v>#REF!</v>
      </c>
      <c r="E1308" t="e">
        <f>IF('LISTA DE PRECIOS'!#REF!&gt;0,'LISTA DE PRECIOS'!#REF!,"")</f>
        <v>#REF!</v>
      </c>
      <c r="F1308" t="e">
        <f>IF('LISTA DE PRECIOS'!#REF!&gt;0,'LISTA DE PRECIOS'!#REF!,"")</f>
        <v>#REF!</v>
      </c>
      <c r="G1308" s="31" t="e">
        <f>IF('LISTA DE PRECIOS'!#REF!&gt;0,'LISTA DE PRECIOS'!#REF!,"")</f>
        <v>#REF!</v>
      </c>
      <c r="H1308" s="67" t="e">
        <f>IF('LISTA DE PRECIOS'!#REF!&gt;0,'LISTA DE PRECIOS'!#REF!,"")</f>
        <v>#REF!</v>
      </c>
      <c r="I1308" s="31" t="e">
        <f t="shared" si="19"/>
        <v>#REF!</v>
      </c>
    </row>
    <row r="1309" spans="1:9">
      <c r="A1309" t="e">
        <f>IF('LISTA DE PRECIOS'!#REF!&gt;0,'LISTA DE PRECIOS'!#REF!,"")</f>
        <v>#REF!</v>
      </c>
      <c r="B1309" t="e">
        <f>IF('LISTA DE PRECIOS'!#REF!&gt;0,'LISTA DE PRECIOS'!#REF!,"")</f>
        <v>#REF!</v>
      </c>
      <c r="C1309" t="e">
        <f>IF('LISTA DE PRECIOS'!#REF!&gt;0,'LISTA DE PRECIOS'!#REF!,"")</f>
        <v>#REF!</v>
      </c>
      <c r="D1309" s="67" t="e">
        <f>IF('LISTA DE PRECIOS'!#REF!&gt;0,'LISTA DE PRECIOS'!#REF!,"")</f>
        <v>#REF!</v>
      </c>
      <c r="E1309" t="e">
        <f>IF('LISTA DE PRECIOS'!#REF!&gt;0,'LISTA DE PRECIOS'!#REF!,"")</f>
        <v>#REF!</v>
      </c>
      <c r="F1309" t="e">
        <f>IF('LISTA DE PRECIOS'!#REF!&gt;0,'LISTA DE PRECIOS'!#REF!,"")</f>
        <v>#REF!</v>
      </c>
      <c r="G1309" s="31" t="e">
        <f>IF('LISTA DE PRECIOS'!#REF!&gt;0,'LISTA DE PRECIOS'!#REF!,"")</f>
        <v>#REF!</v>
      </c>
      <c r="H1309" s="67" t="e">
        <f>IF('LISTA DE PRECIOS'!#REF!&gt;0,'LISTA DE PRECIOS'!#REF!,"")</f>
        <v>#REF!</v>
      </c>
      <c r="I1309" s="31" t="e">
        <f t="shared" si="19"/>
        <v>#REF!</v>
      </c>
    </row>
    <row r="1310" spans="1:9">
      <c r="A1310" t="e">
        <f>IF('LISTA DE PRECIOS'!#REF!&gt;0,'LISTA DE PRECIOS'!#REF!,"")</f>
        <v>#REF!</v>
      </c>
      <c r="B1310" t="e">
        <f>IF('LISTA DE PRECIOS'!#REF!&gt;0,'LISTA DE PRECIOS'!#REF!,"")</f>
        <v>#REF!</v>
      </c>
      <c r="C1310" t="e">
        <f>IF('LISTA DE PRECIOS'!#REF!&gt;0,'LISTA DE PRECIOS'!#REF!,"")</f>
        <v>#REF!</v>
      </c>
      <c r="D1310" s="67" t="e">
        <f>IF('LISTA DE PRECIOS'!#REF!&gt;0,'LISTA DE PRECIOS'!#REF!,"")</f>
        <v>#REF!</v>
      </c>
      <c r="E1310" t="e">
        <f>IF('LISTA DE PRECIOS'!#REF!&gt;0,'LISTA DE PRECIOS'!#REF!,"")</f>
        <v>#REF!</v>
      </c>
      <c r="F1310" t="e">
        <f>IF('LISTA DE PRECIOS'!#REF!&gt;0,'LISTA DE PRECIOS'!#REF!,"")</f>
        <v>#REF!</v>
      </c>
      <c r="G1310" s="31" t="e">
        <f>IF('LISTA DE PRECIOS'!#REF!&gt;0,'LISTA DE PRECIOS'!#REF!,"")</f>
        <v>#REF!</v>
      </c>
      <c r="H1310" s="67" t="e">
        <f>IF('LISTA DE PRECIOS'!#REF!&gt;0,'LISTA DE PRECIOS'!#REF!,"")</f>
        <v>#REF!</v>
      </c>
      <c r="I1310" s="31" t="e">
        <f t="shared" si="19"/>
        <v>#REF!</v>
      </c>
    </row>
    <row r="1311" spans="1:9">
      <c r="A1311" t="e">
        <f>IF('LISTA DE PRECIOS'!#REF!&gt;0,'LISTA DE PRECIOS'!#REF!,"")</f>
        <v>#REF!</v>
      </c>
      <c r="B1311" t="e">
        <f>IF('LISTA DE PRECIOS'!#REF!&gt;0,'LISTA DE PRECIOS'!#REF!,"")</f>
        <v>#REF!</v>
      </c>
      <c r="C1311" t="e">
        <f>IF('LISTA DE PRECIOS'!#REF!&gt;0,'LISTA DE PRECIOS'!#REF!,"")</f>
        <v>#REF!</v>
      </c>
      <c r="D1311" s="67" t="e">
        <f>IF('LISTA DE PRECIOS'!#REF!&gt;0,'LISTA DE PRECIOS'!#REF!,"")</f>
        <v>#REF!</v>
      </c>
      <c r="E1311" t="e">
        <f>IF('LISTA DE PRECIOS'!#REF!&gt;0,'LISTA DE PRECIOS'!#REF!,"")</f>
        <v>#REF!</v>
      </c>
      <c r="F1311" t="e">
        <f>IF('LISTA DE PRECIOS'!#REF!&gt;0,'LISTA DE PRECIOS'!#REF!,"")</f>
        <v>#REF!</v>
      </c>
      <c r="G1311" s="31" t="e">
        <f>IF('LISTA DE PRECIOS'!#REF!&gt;0,'LISTA DE PRECIOS'!#REF!,"")</f>
        <v>#REF!</v>
      </c>
      <c r="H1311" s="67" t="e">
        <f>IF('LISTA DE PRECIOS'!#REF!&gt;0,'LISTA DE PRECIOS'!#REF!,"")</f>
        <v>#REF!</v>
      </c>
      <c r="I1311" s="31" t="e">
        <f t="shared" si="19"/>
        <v>#REF!</v>
      </c>
    </row>
    <row r="1312" spans="1:9">
      <c r="A1312" t="e">
        <f>IF('LISTA DE PRECIOS'!#REF!&gt;0,'LISTA DE PRECIOS'!#REF!,"")</f>
        <v>#REF!</v>
      </c>
      <c r="B1312" t="e">
        <f>IF('LISTA DE PRECIOS'!#REF!&gt;0,'LISTA DE PRECIOS'!#REF!,"")</f>
        <v>#REF!</v>
      </c>
      <c r="C1312" t="e">
        <f>IF('LISTA DE PRECIOS'!#REF!&gt;0,'LISTA DE PRECIOS'!#REF!,"")</f>
        <v>#REF!</v>
      </c>
      <c r="D1312" s="67" t="e">
        <f>IF('LISTA DE PRECIOS'!#REF!&gt;0,'LISTA DE PRECIOS'!#REF!,"")</f>
        <v>#REF!</v>
      </c>
      <c r="E1312" t="e">
        <f>IF('LISTA DE PRECIOS'!#REF!&gt;0,'LISTA DE PRECIOS'!#REF!,"")</f>
        <v>#REF!</v>
      </c>
      <c r="F1312" t="e">
        <f>IF('LISTA DE PRECIOS'!#REF!&gt;0,'LISTA DE PRECIOS'!#REF!,"")</f>
        <v>#REF!</v>
      </c>
      <c r="G1312" s="31" t="e">
        <f>IF('LISTA DE PRECIOS'!#REF!&gt;0,'LISTA DE PRECIOS'!#REF!,"")</f>
        <v>#REF!</v>
      </c>
      <c r="H1312" s="67" t="e">
        <f>IF('LISTA DE PRECIOS'!#REF!&gt;0,'LISTA DE PRECIOS'!#REF!,"")</f>
        <v>#REF!</v>
      </c>
      <c r="I1312" s="31" t="e">
        <f t="shared" si="19"/>
        <v>#REF!</v>
      </c>
    </row>
    <row r="1313" spans="1:9">
      <c r="A1313" t="e">
        <f>IF('LISTA DE PRECIOS'!#REF!&gt;0,'LISTA DE PRECIOS'!#REF!,"")</f>
        <v>#REF!</v>
      </c>
      <c r="B1313" t="e">
        <f>IF('LISTA DE PRECIOS'!#REF!&gt;0,'LISTA DE PRECIOS'!#REF!,"")</f>
        <v>#REF!</v>
      </c>
      <c r="C1313" t="e">
        <f>IF('LISTA DE PRECIOS'!#REF!&gt;0,'LISTA DE PRECIOS'!#REF!,"")</f>
        <v>#REF!</v>
      </c>
      <c r="D1313" s="67" t="e">
        <f>IF('LISTA DE PRECIOS'!#REF!&gt;0,'LISTA DE PRECIOS'!#REF!,"")</f>
        <v>#REF!</v>
      </c>
      <c r="E1313" t="e">
        <f>IF('LISTA DE PRECIOS'!#REF!&gt;0,'LISTA DE PRECIOS'!#REF!,"")</f>
        <v>#REF!</v>
      </c>
      <c r="F1313" t="e">
        <f>IF('LISTA DE PRECIOS'!#REF!&gt;0,'LISTA DE PRECIOS'!#REF!,"")</f>
        <v>#REF!</v>
      </c>
      <c r="G1313" s="31" t="e">
        <f>IF('LISTA DE PRECIOS'!#REF!&gt;0,'LISTA DE PRECIOS'!#REF!,"")</f>
        <v>#REF!</v>
      </c>
      <c r="H1313" s="67" t="e">
        <f>IF('LISTA DE PRECIOS'!#REF!&gt;0,'LISTA DE PRECIOS'!#REF!,"")</f>
        <v>#REF!</v>
      </c>
      <c r="I1313" s="31" t="e">
        <f t="shared" si="19"/>
        <v>#REF!</v>
      </c>
    </row>
    <row r="1314" spans="1:9">
      <c r="A1314" t="e">
        <f>IF('LISTA DE PRECIOS'!#REF!&gt;0,'LISTA DE PRECIOS'!#REF!,"")</f>
        <v>#REF!</v>
      </c>
      <c r="B1314" t="e">
        <f>IF('LISTA DE PRECIOS'!#REF!&gt;0,'LISTA DE PRECIOS'!#REF!,"")</f>
        <v>#REF!</v>
      </c>
      <c r="C1314" t="e">
        <f>IF('LISTA DE PRECIOS'!#REF!&gt;0,'LISTA DE PRECIOS'!#REF!,"")</f>
        <v>#REF!</v>
      </c>
      <c r="D1314" s="67" t="e">
        <f>IF('LISTA DE PRECIOS'!#REF!&gt;0,'LISTA DE PRECIOS'!#REF!,"")</f>
        <v>#REF!</v>
      </c>
      <c r="E1314" t="e">
        <f>IF('LISTA DE PRECIOS'!#REF!&gt;0,'LISTA DE PRECIOS'!#REF!,"")</f>
        <v>#REF!</v>
      </c>
      <c r="F1314" t="e">
        <f>IF('LISTA DE PRECIOS'!#REF!&gt;0,'LISTA DE PRECIOS'!#REF!,"")</f>
        <v>#REF!</v>
      </c>
      <c r="G1314" s="31" t="e">
        <f>IF('LISTA DE PRECIOS'!#REF!&gt;0,'LISTA DE PRECIOS'!#REF!,"")</f>
        <v>#REF!</v>
      </c>
      <c r="H1314" s="67" t="e">
        <f>IF('LISTA DE PRECIOS'!#REF!&gt;0,'LISTA DE PRECIOS'!#REF!,"")</f>
        <v>#REF!</v>
      </c>
      <c r="I1314" s="31" t="e">
        <f t="shared" si="19"/>
        <v>#REF!</v>
      </c>
    </row>
    <row r="1315" spans="1:9">
      <c r="A1315" t="e">
        <f>IF('LISTA DE PRECIOS'!#REF!&gt;0,'LISTA DE PRECIOS'!#REF!,"")</f>
        <v>#REF!</v>
      </c>
      <c r="B1315" t="e">
        <f>IF('LISTA DE PRECIOS'!#REF!&gt;0,'LISTA DE PRECIOS'!#REF!,"")</f>
        <v>#REF!</v>
      </c>
      <c r="C1315" t="e">
        <f>IF('LISTA DE PRECIOS'!#REF!&gt;0,'LISTA DE PRECIOS'!#REF!,"")</f>
        <v>#REF!</v>
      </c>
      <c r="D1315" s="67" t="e">
        <f>IF('LISTA DE PRECIOS'!#REF!&gt;0,'LISTA DE PRECIOS'!#REF!,"")</f>
        <v>#REF!</v>
      </c>
      <c r="E1315" t="e">
        <f>IF('LISTA DE PRECIOS'!#REF!&gt;0,'LISTA DE PRECIOS'!#REF!,"")</f>
        <v>#REF!</v>
      </c>
      <c r="F1315" t="e">
        <f>IF('LISTA DE PRECIOS'!#REF!&gt;0,'LISTA DE PRECIOS'!#REF!,"")</f>
        <v>#REF!</v>
      </c>
      <c r="G1315" s="31" t="e">
        <f>IF('LISTA DE PRECIOS'!#REF!&gt;0,'LISTA DE PRECIOS'!#REF!,"")</f>
        <v>#REF!</v>
      </c>
      <c r="H1315" s="67" t="e">
        <f>IF('LISTA DE PRECIOS'!#REF!&gt;0,'LISTA DE PRECIOS'!#REF!,"")</f>
        <v>#REF!</v>
      </c>
      <c r="I1315" s="31" t="e">
        <f t="shared" si="19"/>
        <v>#REF!</v>
      </c>
    </row>
    <row r="1316" spans="1:9">
      <c r="A1316" t="e">
        <f>IF('LISTA DE PRECIOS'!#REF!&gt;0,'LISTA DE PRECIOS'!#REF!,"")</f>
        <v>#REF!</v>
      </c>
      <c r="B1316" t="e">
        <f>IF('LISTA DE PRECIOS'!#REF!&gt;0,'LISTA DE PRECIOS'!#REF!,"")</f>
        <v>#REF!</v>
      </c>
      <c r="C1316" t="e">
        <f>IF('LISTA DE PRECIOS'!#REF!&gt;0,'LISTA DE PRECIOS'!#REF!,"")</f>
        <v>#REF!</v>
      </c>
      <c r="D1316" s="67" t="e">
        <f>IF('LISTA DE PRECIOS'!#REF!&gt;0,'LISTA DE PRECIOS'!#REF!,"")</f>
        <v>#REF!</v>
      </c>
      <c r="E1316" t="e">
        <f>IF('LISTA DE PRECIOS'!#REF!&gt;0,'LISTA DE PRECIOS'!#REF!,"")</f>
        <v>#REF!</v>
      </c>
      <c r="F1316" t="e">
        <f>IF('LISTA DE PRECIOS'!#REF!&gt;0,'LISTA DE PRECIOS'!#REF!,"")</f>
        <v>#REF!</v>
      </c>
      <c r="G1316" s="31" t="e">
        <f>IF('LISTA DE PRECIOS'!#REF!&gt;0,'LISTA DE PRECIOS'!#REF!,"")</f>
        <v>#REF!</v>
      </c>
      <c r="H1316" s="67" t="e">
        <f>IF('LISTA DE PRECIOS'!#REF!&gt;0,'LISTA DE PRECIOS'!#REF!,"")</f>
        <v>#REF!</v>
      </c>
      <c r="I1316" s="31" t="e">
        <f t="shared" si="19"/>
        <v>#REF!</v>
      </c>
    </row>
    <row r="1317" spans="1:9">
      <c r="A1317" t="e">
        <f>IF('LISTA DE PRECIOS'!#REF!&gt;0,'LISTA DE PRECIOS'!#REF!,"")</f>
        <v>#REF!</v>
      </c>
      <c r="B1317" t="e">
        <f>IF('LISTA DE PRECIOS'!#REF!&gt;0,'LISTA DE PRECIOS'!#REF!,"")</f>
        <v>#REF!</v>
      </c>
      <c r="C1317" t="e">
        <f>IF('LISTA DE PRECIOS'!#REF!&gt;0,'LISTA DE PRECIOS'!#REF!,"")</f>
        <v>#REF!</v>
      </c>
      <c r="D1317" s="67" t="e">
        <f>IF('LISTA DE PRECIOS'!#REF!&gt;0,'LISTA DE PRECIOS'!#REF!,"")</f>
        <v>#REF!</v>
      </c>
      <c r="E1317" t="e">
        <f>IF('LISTA DE PRECIOS'!#REF!&gt;0,'LISTA DE PRECIOS'!#REF!,"")</f>
        <v>#REF!</v>
      </c>
      <c r="F1317" t="e">
        <f>IF('LISTA DE PRECIOS'!#REF!&gt;0,'LISTA DE PRECIOS'!#REF!,"")</f>
        <v>#REF!</v>
      </c>
      <c r="G1317" s="31" t="e">
        <f>IF('LISTA DE PRECIOS'!#REF!&gt;0,'LISTA DE PRECIOS'!#REF!,"")</f>
        <v>#REF!</v>
      </c>
      <c r="H1317" s="67" t="e">
        <f>IF('LISTA DE PRECIOS'!#REF!&gt;0,'LISTA DE PRECIOS'!#REF!,"")</f>
        <v>#REF!</v>
      </c>
      <c r="I1317" s="31" t="e">
        <f t="shared" si="19"/>
        <v>#REF!</v>
      </c>
    </row>
    <row r="1318" spans="1:9">
      <c r="A1318" t="e">
        <f>IF('LISTA DE PRECIOS'!#REF!&gt;0,'LISTA DE PRECIOS'!#REF!,"")</f>
        <v>#REF!</v>
      </c>
      <c r="B1318" t="e">
        <f>IF('LISTA DE PRECIOS'!#REF!&gt;0,'LISTA DE PRECIOS'!#REF!,"")</f>
        <v>#REF!</v>
      </c>
      <c r="C1318" t="e">
        <f>IF('LISTA DE PRECIOS'!#REF!&gt;0,'LISTA DE PRECIOS'!#REF!,"")</f>
        <v>#REF!</v>
      </c>
      <c r="D1318" s="67" t="e">
        <f>IF('LISTA DE PRECIOS'!#REF!&gt;0,'LISTA DE PRECIOS'!#REF!,"")</f>
        <v>#REF!</v>
      </c>
      <c r="E1318" t="e">
        <f>IF('LISTA DE PRECIOS'!#REF!&gt;0,'LISTA DE PRECIOS'!#REF!,"")</f>
        <v>#REF!</v>
      </c>
      <c r="F1318" t="e">
        <f>IF('LISTA DE PRECIOS'!#REF!&gt;0,'LISTA DE PRECIOS'!#REF!,"")</f>
        <v>#REF!</v>
      </c>
      <c r="G1318" s="31" t="e">
        <f>IF('LISTA DE PRECIOS'!#REF!&gt;0,'LISTA DE PRECIOS'!#REF!,"")</f>
        <v>#REF!</v>
      </c>
      <c r="H1318" s="67" t="e">
        <f>IF('LISTA DE PRECIOS'!#REF!&gt;0,'LISTA DE PRECIOS'!#REF!,"")</f>
        <v>#REF!</v>
      </c>
      <c r="I1318" s="31" t="e">
        <f t="shared" si="19"/>
        <v>#REF!</v>
      </c>
    </row>
    <row r="1319" spans="1:9">
      <c r="A1319" t="e">
        <f>IF('LISTA DE PRECIOS'!#REF!&gt;0,'LISTA DE PRECIOS'!#REF!,"")</f>
        <v>#REF!</v>
      </c>
      <c r="B1319" t="e">
        <f>IF('LISTA DE PRECIOS'!#REF!&gt;0,'LISTA DE PRECIOS'!#REF!,"")</f>
        <v>#REF!</v>
      </c>
      <c r="C1319" t="e">
        <f>IF('LISTA DE PRECIOS'!#REF!&gt;0,'LISTA DE PRECIOS'!#REF!,"")</f>
        <v>#REF!</v>
      </c>
      <c r="D1319" s="67" t="e">
        <f>IF('LISTA DE PRECIOS'!#REF!&gt;0,'LISTA DE PRECIOS'!#REF!,"")</f>
        <v>#REF!</v>
      </c>
      <c r="E1319" t="e">
        <f>IF('LISTA DE PRECIOS'!#REF!&gt;0,'LISTA DE PRECIOS'!#REF!,"")</f>
        <v>#REF!</v>
      </c>
      <c r="F1319" t="e">
        <f>IF('LISTA DE PRECIOS'!#REF!&gt;0,'LISTA DE PRECIOS'!#REF!,"")</f>
        <v>#REF!</v>
      </c>
      <c r="G1319" s="31" t="e">
        <f>IF('LISTA DE PRECIOS'!#REF!&gt;0,'LISTA DE PRECIOS'!#REF!,"")</f>
        <v>#REF!</v>
      </c>
      <c r="H1319" s="67" t="e">
        <f>IF('LISTA DE PRECIOS'!#REF!&gt;0,'LISTA DE PRECIOS'!#REF!,"")</f>
        <v>#REF!</v>
      </c>
      <c r="I1319" s="31" t="e">
        <f t="shared" si="19"/>
        <v>#REF!</v>
      </c>
    </row>
    <row r="1320" spans="1:9">
      <c r="A1320" t="e">
        <f>IF('LISTA DE PRECIOS'!#REF!&gt;0,'LISTA DE PRECIOS'!#REF!,"")</f>
        <v>#REF!</v>
      </c>
      <c r="B1320" t="e">
        <f>IF('LISTA DE PRECIOS'!#REF!&gt;0,'LISTA DE PRECIOS'!#REF!,"")</f>
        <v>#REF!</v>
      </c>
      <c r="C1320" t="e">
        <f>IF('LISTA DE PRECIOS'!#REF!&gt;0,'LISTA DE PRECIOS'!#REF!,"")</f>
        <v>#REF!</v>
      </c>
      <c r="D1320" s="67" t="e">
        <f>IF('LISTA DE PRECIOS'!#REF!&gt;0,'LISTA DE PRECIOS'!#REF!,"")</f>
        <v>#REF!</v>
      </c>
      <c r="E1320" t="e">
        <f>IF('LISTA DE PRECIOS'!#REF!&gt;0,'LISTA DE PRECIOS'!#REF!,"")</f>
        <v>#REF!</v>
      </c>
      <c r="F1320" t="e">
        <f>IF('LISTA DE PRECIOS'!#REF!&gt;0,'LISTA DE PRECIOS'!#REF!,"")</f>
        <v>#REF!</v>
      </c>
      <c r="G1320" s="31" t="e">
        <f>IF('LISTA DE PRECIOS'!#REF!&gt;0,'LISTA DE PRECIOS'!#REF!,"")</f>
        <v>#REF!</v>
      </c>
      <c r="H1320" s="67" t="e">
        <f>IF('LISTA DE PRECIOS'!#REF!&gt;0,'LISTA DE PRECIOS'!#REF!,"")</f>
        <v>#REF!</v>
      </c>
      <c r="I1320" s="31" t="e">
        <f t="shared" si="19"/>
        <v>#REF!</v>
      </c>
    </row>
    <row r="1321" spans="1:9">
      <c r="A1321" t="e">
        <f>IF('LISTA DE PRECIOS'!#REF!&gt;0,'LISTA DE PRECIOS'!#REF!,"")</f>
        <v>#REF!</v>
      </c>
      <c r="B1321" t="e">
        <f>IF('LISTA DE PRECIOS'!#REF!&gt;0,'LISTA DE PRECIOS'!#REF!,"")</f>
        <v>#REF!</v>
      </c>
      <c r="C1321" t="e">
        <f>IF('LISTA DE PRECIOS'!#REF!&gt;0,'LISTA DE PRECIOS'!#REF!,"")</f>
        <v>#REF!</v>
      </c>
      <c r="D1321" s="67" t="e">
        <f>IF('LISTA DE PRECIOS'!#REF!&gt;0,'LISTA DE PRECIOS'!#REF!,"")</f>
        <v>#REF!</v>
      </c>
      <c r="E1321" t="e">
        <f>IF('LISTA DE PRECIOS'!#REF!&gt;0,'LISTA DE PRECIOS'!#REF!,"")</f>
        <v>#REF!</v>
      </c>
      <c r="F1321" t="e">
        <f>IF('LISTA DE PRECIOS'!#REF!&gt;0,'LISTA DE PRECIOS'!#REF!,"")</f>
        <v>#REF!</v>
      </c>
      <c r="G1321" s="31" t="e">
        <f>IF('LISTA DE PRECIOS'!#REF!&gt;0,'LISTA DE PRECIOS'!#REF!,"")</f>
        <v>#REF!</v>
      </c>
      <c r="H1321" s="67" t="e">
        <f>IF('LISTA DE PRECIOS'!#REF!&gt;0,'LISTA DE PRECIOS'!#REF!,"")</f>
        <v>#REF!</v>
      </c>
      <c r="I1321" s="31" t="e">
        <f t="shared" si="19"/>
        <v>#REF!</v>
      </c>
    </row>
    <row r="1322" spans="1:9">
      <c r="A1322" t="e">
        <f>IF('LISTA DE PRECIOS'!#REF!&gt;0,'LISTA DE PRECIOS'!#REF!,"")</f>
        <v>#REF!</v>
      </c>
      <c r="B1322" t="e">
        <f>IF('LISTA DE PRECIOS'!#REF!&gt;0,'LISTA DE PRECIOS'!#REF!,"")</f>
        <v>#REF!</v>
      </c>
      <c r="C1322" t="e">
        <f>IF('LISTA DE PRECIOS'!#REF!&gt;0,'LISTA DE PRECIOS'!#REF!,"")</f>
        <v>#REF!</v>
      </c>
      <c r="D1322" s="67" t="e">
        <f>IF('LISTA DE PRECIOS'!#REF!&gt;0,'LISTA DE PRECIOS'!#REF!,"")</f>
        <v>#REF!</v>
      </c>
      <c r="E1322" t="e">
        <f>IF('LISTA DE PRECIOS'!#REF!&gt;0,'LISTA DE PRECIOS'!#REF!,"")</f>
        <v>#REF!</v>
      </c>
      <c r="F1322" t="e">
        <f>IF('LISTA DE PRECIOS'!#REF!&gt;0,'LISTA DE PRECIOS'!#REF!,"")</f>
        <v>#REF!</v>
      </c>
      <c r="G1322" s="31" t="e">
        <f>IF('LISTA DE PRECIOS'!#REF!&gt;0,'LISTA DE PRECIOS'!#REF!,"")</f>
        <v>#REF!</v>
      </c>
      <c r="H1322" s="67" t="e">
        <f>IF('LISTA DE PRECIOS'!#REF!&gt;0,'LISTA DE PRECIOS'!#REF!,"")</f>
        <v>#REF!</v>
      </c>
      <c r="I1322" s="31" t="e">
        <f t="shared" si="19"/>
        <v>#REF!</v>
      </c>
    </row>
    <row r="1323" spans="1:9">
      <c r="A1323" t="e">
        <f>IF('LISTA DE PRECIOS'!#REF!&gt;0,'LISTA DE PRECIOS'!#REF!,"")</f>
        <v>#REF!</v>
      </c>
      <c r="B1323" t="e">
        <f>IF('LISTA DE PRECIOS'!#REF!&gt;0,'LISTA DE PRECIOS'!#REF!,"")</f>
        <v>#REF!</v>
      </c>
      <c r="C1323" t="e">
        <f>IF('LISTA DE PRECIOS'!#REF!&gt;0,'LISTA DE PRECIOS'!#REF!,"")</f>
        <v>#REF!</v>
      </c>
      <c r="D1323" s="67" t="e">
        <f>IF('LISTA DE PRECIOS'!#REF!&gt;0,'LISTA DE PRECIOS'!#REF!,"")</f>
        <v>#REF!</v>
      </c>
      <c r="E1323" t="e">
        <f>IF('LISTA DE PRECIOS'!#REF!&gt;0,'LISTA DE PRECIOS'!#REF!,"")</f>
        <v>#REF!</v>
      </c>
      <c r="F1323" t="e">
        <f>IF('LISTA DE PRECIOS'!#REF!&gt;0,'LISTA DE PRECIOS'!#REF!,"")</f>
        <v>#REF!</v>
      </c>
      <c r="G1323" s="31" t="e">
        <f>IF('LISTA DE PRECIOS'!#REF!&gt;0,'LISTA DE PRECIOS'!#REF!,"")</f>
        <v>#REF!</v>
      </c>
      <c r="H1323" s="67" t="e">
        <f>IF('LISTA DE PRECIOS'!#REF!&gt;0,'LISTA DE PRECIOS'!#REF!,"")</f>
        <v>#REF!</v>
      </c>
      <c r="I1323" s="31" t="e">
        <f t="shared" si="19"/>
        <v>#REF!</v>
      </c>
    </row>
    <row r="1324" spans="1:9">
      <c r="A1324" t="e">
        <f>IF('LISTA DE PRECIOS'!#REF!&gt;0,'LISTA DE PRECIOS'!#REF!,"")</f>
        <v>#REF!</v>
      </c>
      <c r="B1324" t="e">
        <f>IF('LISTA DE PRECIOS'!#REF!&gt;0,'LISTA DE PRECIOS'!#REF!,"")</f>
        <v>#REF!</v>
      </c>
      <c r="C1324" t="e">
        <f>IF('LISTA DE PRECIOS'!#REF!&gt;0,'LISTA DE PRECIOS'!#REF!,"")</f>
        <v>#REF!</v>
      </c>
      <c r="D1324" s="67" t="e">
        <f>IF('LISTA DE PRECIOS'!#REF!&gt;0,'LISTA DE PRECIOS'!#REF!,"")</f>
        <v>#REF!</v>
      </c>
      <c r="E1324" t="e">
        <f>IF('LISTA DE PRECIOS'!#REF!&gt;0,'LISTA DE PRECIOS'!#REF!,"")</f>
        <v>#REF!</v>
      </c>
      <c r="F1324" t="e">
        <f>IF('LISTA DE PRECIOS'!#REF!&gt;0,'LISTA DE PRECIOS'!#REF!,"")</f>
        <v>#REF!</v>
      </c>
      <c r="G1324" s="31" t="e">
        <f>IF('LISTA DE PRECIOS'!#REF!&gt;0,'LISTA DE PRECIOS'!#REF!,"")</f>
        <v>#REF!</v>
      </c>
      <c r="H1324" s="67" t="e">
        <f>IF('LISTA DE PRECIOS'!#REF!&gt;0,'LISTA DE PRECIOS'!#REF!,"")</f>
        <v>#REF!</v>
      </c>
      <c r="I1324" s="31" t="e">
        <f t="shared" si="19"/>
        <v>#REF!</v>
      </c>
    </row>
    <row r="1325" spans="1:9">
      <c r="A1325" t="e">
        <f>IF('LISTA DE PRECIOS'!#REF!&gt;0,'LISTA DE PRECIOS'!#REF!,"")</f>
        <v>#REF!</v>
      </c>
      <c r="B1325" t="e">
        <f>IF('LISTA DE PRECIOS'!#REF!&gt;0,'LISTA DE PRECIOS'!#REF!,"")</f>
        <v>#REF!</v>
      </c>
      <c r="C1325" t="e">
        <f>IF('LISTA DE PRECIOS'!#REF!&gt;0,'LISTA DE PRECIOS'!#REF!,"")</f>
        <v>#REF!</v>
      </c>
      <c r="D1325" s="67" t="e">
        <f>IF('LISTA DE PRECIOS'!#REF!&gt;0,'LISTA DE PRECIOS'!#REF!,"")</f>
        <v>#REF!</v>
      </c>
      <c r="E1325" t="e">
        <f>IF('LISTA DE PRECIOS'!#REF!&gt;0,'LISTA DE PRECIOS'!#REF!,"")</f>
        <v>#REF!</v>
      </c>
      <c r="F1325" t="e">
        <f>IF('LISTA DE PRECIOS'!#REF!&gt;0,'LISTA DE PRECIOS'!#REF!,"")</f>
        <v>#REF!</v>
      </c>
      <c r="G1325" s="31" t="e">
        <f>IF('LISTA DE PRECIOS'!#REF!&gt;0,'LISTA DE PRECIOS'!#REF!,"")</f>
        <v>#REF!</v>
      </c>
      <c r="H1325" s="67" t="e">
        <f>IF('LISTA DE PRECIOS'!#REF!&gt;0,'LISTA DE PRECIOS'!#REF!,"")</f>
        <v>#REF!</v>
      </c>
      <c r="I1325" s="31" t="e">
        <f t="shared" si="19"/>
        <v>#REF!</v>
      </c>
    </row>
    <row r="1326" spans="1:9">
      <c r="A1326" t="e">
        <f>IF('LISTA DE PRECIOS'!#REF!&gt;0,'LISTA DE PRECIOS'!#REF!,"")</f>
        <v>#REF!</v>
      </c>
      <c r="B1326" t="e">
        <f>IF('LISTA DE PRECIOS'!#REF!&gt;0,'LISTA DE PRECIOS'!#REF!,"")</f>
        <v>#REF!</v>
      </c>
      <c r="C1326" t="e">
        <f>IF('LISTA DE PRECIOS'!#REF!&gt;0,'LISTA DE PRECIOS'!#REF!,"")</f>
        <v>#REF!</v>
      </c>
      <c r="D1326" s="67" t="e">
        <f>IF('LISTA DE PRECIOS'!#REF!&gt;0,'LISTA DE PRECIOS'!#REF!,"")</f>
        <v>#REF!</v>
      </c>
      <c r="E1326" t="e">
        <f>IF('LISTA DE PRECIOS'!#REF!&gt;0,'LISTA DE PRECIOS'!#REF!,"")</f>
        <v>#REF!</v>
      </c>
      <c r="F1326" t="e">
        <f>IF('LISTA DE PRECIOS'!#REF!&gt;0,'LISTA DE PRECIOS'!#REF!,"")</f>
        <v>#REF!</v>
      </c>
      <c r="G1326" s="31" t="e">
        <f>IF('LISTA DE PRECIOS'!#REF!&gt;0,'LISTA DE PRECIOS'!#REF!,"")</f>
        <v>#REF!</v>
      </c>
      <c r="H1326" s="67" t="e">
        <f>IF('LISTA DE PRECIOS'!#REF!&gt;0,'LISTA DE PRECIOS'!#REF!,"")</f>
        <v>#REF!</v>
      </c>
      <c r="I1326" s="31" t="e">
        <f t="shared" si="19"/>
        <v>#REF!</v>
      </c>
    </row>
    <row r="1327" spans="1:9">
      <c r="A1327" t="e">
        <f>IF('LISTA DE PRECIOS'!#REF!&gt;0,'LISTA DE PRECIOS'!#REF!,"")</f>
        <v>#REF!</v>
      </c>
      <c r="B1327" t="e">
        <f>IF('LISTA DE PRECIOS'!#REF!&gt;0,'LISTA DE PRECIOS'!#REF!,"")</f>
        <v>#REF!</v>
      </c>
      <c r="C1327" t="e">
        <f>IF('LISTA DE PRECIOS'!#REF!&gt;0,'LISTA DE PRECIOS'!#REF!,"")</f>
        <v>#REF!</v>
      </c>
      <c r="D1327" s="67" t="e">
        <f>IF('LISTA DE PRECIOS'!#REF!&gt;0,'LISTA DE PRECIOS'!#REF!,"")</f>
        <v>#REF!</v>
      </c>
      <c r="E1327" t="e">
        <f>IF('LISTA DE PRECIOS'!#REF!&gt;0,'LISTA DE PRECIOS'!#REF!,"")</f>
        <v>#REF!</v>
      </c>
      <c r="F1327" t="e">
        <f>IF('LISTA DE PRECIOS'!#REF!&gt;0,'LISTA DE PRECIOS'!#REF!,"")</f>
        <v>#REF!</v>
      </c>
      <c r="G1327" s="31" t="e">
        <f>IF('LISTA DE PRECIOS'!#REF!&gt;0,'LISTA DE PRECIOS'!#REF!,"")</f>
        <v>#REF!</v>
      </c>
      <c r="H1327" s="67" t="e">
        <f>IF('LISTA DE PRECIOS'!#REF!&gt;0,'LISTA DE PRECIOS'!#REF!,"")</f>
        <v>#REF!</v>
      </c>
      <c r="I1327" s="31" t="e">
        <f t="shared" si="19"/>
        <v>#REF!</v>
      </c>
    </row>
    <row r="1328" spans="1:9">
      <c r="A1328" t="e">
        <f>IF('LISTA DE PRECIOS'!#REF!&gt;0,'LISTA DE PRECIOS'!#REF!,"")</f>
        <v>#REF!</v>
      </c>
      <c r="B1328" t="e">
        <f>IF('LISTA DE PRECIOS'!#REF!&gt;0,'LISTA DE PRECIOS'!#REF!,"")</f>
        <v>#REF!</v>
      </c>
      <c r="C1328" t="e">
        <f>IF('LISTA DE PRECIOS'!#REF!&gt;0,'LISTA DE PRECIOS'!#REF!,"")</f>
        <v>#REF!</v>
      </c>
      <c r="D1328" s="67" t="e">
        <f>IF('LISTA DE PRECIOS'!#REF!&gt;0,'LISTA DE PRECIOS'!#REF!,"")</f>
        <v>#REF!</v>
      </c>
      <c r="E1328" t="e">
        <f>IF('LISTA DE PRECIOS'!#REF!&gt;0,'LISTA DE PRECIOS'!#REF!,"")</f>
        <v>#REF!</v>
      </c>
      <c r="F1328" t="e">
        <f>IF('LISTA DE PRECIOS'!#REF!&gt;0,'LISTA DE PRECIOS'!#REF!,"")</f>
        <v>#REF!</v>
      </c>
      <c r="G1328" s="31" t="e">
        <f>IF('LISTA DE PRECIOS'!#REF!&gt;0,'LISTA DE PRECIOS'!#REF!,"")</f>
        <v>#REF!</v>
      </c>
      <c r="H1328" s="67" t="e">
        <f>IF('LISTA DE PRECIOS'!#REF!&gt;0,'LISTA DE PRECIOS'!#REF!,"")</f>
        <v>#REF!</v>
      </c>
      <c r="I1328" s="31" t="e">
        <f t="shared" si="19"/>
        <v>#REF!</v>
      </c>
    </row>
    <row r="1329" spans="1:9">
      <c r="A1329" t="e">
        <f>IF('LISTA DE PRECIOS'!#REF!&gt;0,'LISTA DE PRECIOS'!#REF!,"")</f>
        <v>#REF!</v>
      </c>
      <c r="B1329" t="e">
        <f>IF('LISTA DE PRECIOS'!#REF!&gt;0,'LISTA DE PRECIOS'!#REF!,"")</f>
        <v>#REF!</v>
      </c>
      <c r="C1329" t="e">
        <f>IF('LISTA DE PRECIOS'!#REF!&gt;0,'LISTA DE PRECIOS'!#REF!,"")</f>
        <v>#REF!</v>
      </c>
      <c r="D1329" s="67" t="e">
        <f>IF('LISTA DE PRECIOS'!#REF!&gt;0,'LISTA DE PRECIOS'!#REF!,"")</f>
        <v>#REF!</v>
      </c>
      <c r="E1329" t="e">
        <f>IF('LISTA DE PRECIOS'!#REF!&gt;0,'LISTA DE PRECIOS'!#REF!,"")</f>
        <v>#REF!</v>
      </c>
      <c r="F1329" t="e">
        <f>IF('LISTA DE PRECIOS'!#REF!&gt;0,'LISTA DE PRECIOS'!#REF!,"")</f>
        <v>#REF!</v>
      </c>
      <c r="G1329" s="31" t="e">
        <f>IF('LISTA DE PRECIOS'!#REF!&gt;0,'LISTA DE PRECIOS'!#REF!,"")</f>
        <v>#REF!</v>
      </c>
      <c r="H1329" s="67" t="e">
        <f>IF('LISTA DE PRECIOS'!#REF!&gt;0,'LISTA DE PRECIOS'!#REF!,"")</f>
        <v>#REF!</v>
      </c>
      <c r="I1329" s="31" t="e">
        <f t="shared" si="19"/>
        <v>#REF!</v>
      </c>
    </row>
    <row r="1330" spans="1:9">
      <c r="A1330" t="e">
        <f>IF('LISTA DE PRECIOS'!#REF!&gt;0,'LISTA DE PRECIOS'!#REF!,"")</f>
        <v>#REF!</v>
      </c>
      <c r="B1330" t="e">
        <f>IF('LISTA DE PRECIOS'!#REF!&gt;0,'LISTA DE PRECIOS'!#REF!,"")</f>
        <v>#REF!</v>
      </c>
      <c r="C1330" t="e">
        <f>IF('LISTA DE PRECIOS'!#REF!&gt;0,'LISTA DE PRECIOS'!#REF!,"")</f>
        <v>#REF!</v>
      </c>
      <c r="D1330" s="67" t="e">
        <f>IF('LISTA DE PRECIOS'!#REF!&gt;0,'LISTA DE PRECIOS'!#REF!,"")</f>
        <v>#REF!</v>
      </c>
      <c r="E1330" t="e">
        <f>IF('LISTA DE PRECIOS'!#REF!&gt;0,'LISTA DE PRECIOS'!#REF!,"")</f>
        <v>#REF!</v>
      </c>
      <c r="F1330" t="e">
        <f>IF('LISTA DE PRECIOS'!#REF!&gt;0,'LISTA DE PRECIOS'!#REF!,"")</f>
        <v>#REF!</v>
      </c>
      <c r="G1330" s="31" t="e">
        <f>IF('LISTA DE PRECIOS'!#REF!&gt;0,'LISTA DE PRECIOS'!#REF!,"")</f>
        <v>#REF!</v>
      </c>
      <c r="H1330" s="67" t="e">
        <f>IF('LISTA DE PRECIOS'!#REF!&gt;0,'LISTA DE PRECIOS'!#REF!,"")</f>
        <v>#REF!</v>
      </c>
      <c r="I1330" s="31" t="e">
        <f t="shared" si="19"/>
        <v>#REF!</v>
      </c>
    </row>
    <row r="1331" spans="1:9">
      <c r="A1331" t="e">
        <f>IF('LISTA DE PRECIOS'!#REF!&gt;0,'LISTA DE PRECIOS'!#REF!,"")</f>
        <v>#REF!</v>
      </c>
      <c r="B1331" t="e">
        <f>IF('LISTA DE PRECIOS'!#REF!&gt;0,'LISTA DE PRECIOS'!#REF!,"")</f>
        <v>#REF!</v>
      </c>
      <c r="C1331" t="e">
        <f>IF('LISTA DE PRECIOS'!#REF!&gt;0,'LISTA DE PRECIOS'!#REF!,"")</f>
        <v>#REF!</v>
      </c>
      <c r="D1331" s="67" t="e">
        <f>IF('LISTA DE PRECIOS'!#REF!&gt;0,'LISTA DE PRECIOS'!#REF!,"")</f>
        <v>#REF!</v>
      </c>
      <c r="E1331" t="e">
        <f>IF('LISTA DE PRECIOS'!#REF!&gt;0,'LISTA DE PRECIOS'!#REF!,"")</f>
        <v>#REF!</v>
      </c>
      <c r="F1331" t="e">
        <f>IF('LISTA DE PRECIOS'!#REF!&gt;0,'LISTA DE PRECIOS'!#REF!,"")</f>
        <v>#REF!</v>
      </c>
      <c r="G1331" s="31" t="e">
        <f>IF('LISTA DE PRECIOS'!#REF!&gt;0,'LISTA DE PRECIOS'!#REF!,"")</f>
        <v>#REF!</v>
      </c>
      <c r="H1331" s="67" t="e">
        <f>IF('LISTA DE PRECIOS'!#REF!&gt;0,'LISTA DE PRECIOS'!#REF!,"")</f>
        <v>#REF!</v>
      </c>
      <c r="I1331" s="31" t="e">
        <f t="shared" si="19"/>
        <v>#REF!</v>
      </c>
    </row>
    <row r="1332" spans="1:9">
      <c r="A1332" t="e">
        <f>IF('LISTA DE PRECIOS'!#REF!&gt;0,'LISTA DE PRECIOS'!#REF!,"")</f>
        <v>#REF!</v>
      </c>
      <c r="B1332" t="e">
        <f>IF('LISTA DE PRECIOS'!#REF!&gt;0,'LISTA DE PRECIOS'!#REF!,"")</f>
        <v>#REF!</v>
      </c>
      <c r="C1332" t="e">
        <f>IF('LISTA DE PRECIOS'!#REF!&gt;0,'LISTA DE PRECIOS'!#REF!,"")</f>
        <v>#REF!</v>
      </c>
      <c r="D1332" s="67" t="e">
        <f>IF('LISTA DE PRECIOS'!#REF!&gt;0,'LISTA DE PRECIOS'!#REF!,"")</f>
        <v>#REF!</v>
      </c>
      <c r="E1332" t="e">
        <f>IF('LISTA DE PRECIOS'!#REF!&gt;0,'LISTA DE PRECIOS'!#REF!,"")</f>
        <v>#REF!</v>
      </c>
      <c r="F1332" t="e">
        <f>IF('LISTA DE PRECIOS'!#REF!&gt;0,'LISTA DE PRECIOS'!#REF!,"")</f>
        <v>#REF!</v>
      </c>
      <c r="G1332" s="31" t="e">
        <f>IF('LISTA DE PRECIOS'!#REF!&gt;0,'LISTA DE PRECIOS'!#REF!,"")</f>
        <v>#REF!</v>
      </c>
      <c r="H1332" s="67" t="e">
        <f>IF('LISTA DE PRECIOS'!#REF!&gt;0,'LISTA DE PRECIOS'!#REF!,"")</f>
        <v>#REF!</v>
      </c>
      <c r="I1332" s="31" t="e">
        <f t="shared" si="19"/>
        <v>#REF!</v>
      </c>
    </row>
    <row r="1333" spans="1:9">
      <c r="A1333" t="e">
        <f>IF('LISTA DE PRECIOS'!#REF!&gt;0,'LISTA DE PRECIOS'!#REF!,"")</f>
        <v>#REF!</v>
      </c>
      <c r="B1333" t="e">
        <f>IF('LISTA DE PRECIOS'!#REF!&gt;0,'LISTA DE PRECIOS'!#REF!,"")</f>
        <v>#REF!</v>
      </c>
      <c r="C1333" t="e">
        <f>IF('LISTA DE PRECIOS'!#REF!&gt;0,'LISTA DE PRECIOS'!#REF!,"")</f>
        <v>#REF!</v>
      </c>
      <c r="D1333" s="67" t="e">
        <f>IF('LISTA DE PRECIOS'!#REF!&gt;0,'LISTA DE PRECIOS'!#REF!,"")</f>
        <v>#REF!</v>
      </c>
      <c r="E1333" t="e">
        <f>IF('LISTA DE PRECIOS'!#REF!&gt;0,'LISTA DE PRECIOS'!#REF!,"")</f>
        <v>#REF!</v>
      </c>
      <c r="F1333" t="e">
        <f>IF('LISTA DE PRECIOS'!#REF!&gt;0,'LISTA DE PRECIOS'!#REF!,"")</f>
        <v>#REF!</v>
      </c>
      <c r="G1333" s="31" t="e">
        <f>IF('LISTA DE PRECIOS'!#REF!&gt;0,'LISTA DE PRECIOS'!#REF!,"")</f>
        <v>#REF!</v>
      </c>
      <c r="H1333" s="67" t="e">
        <f>IF('LISTA DE PRECIOS'!#REF!&gt;0,'LISTA DE PRECIOS'!#REF!,"")</f>
        <v>#REF!</v>
      </c>
      <c r="I1333" s="31" t="e">
        <f t="shared" si="19"/>
        <v>#REF!</v>
      </c>
    </row>
    <row r="1334" spans="1:9">
      <c r="A1334" t="e">
        <f>IF('LISTA DE PRECIOS'!#REF!&gt;0,'LISTA DE PRECIOS'!#REF!,"")</f>
        <v>#REF!</v>
      </c>
      <c r="B1334" t="e">
        <f>IF('LISTA DE PRECIOS'!#REF!&gt;0,'LISTA DE PRECIOS'!#REF!,"")</f>
        <v>#REF!</v>
      </c>
      <c r="C1334" t="e">
        <f>IF('LISTA DE PRECIOS'!#REF!&gt;0,'LISTA DE PRECIOS'!#REF!,"")</f>
        <v>#REF!</v>
      </c>
      <c r="D1334" s="67" t="e">
        <f>IF('LISTA DE PRECIOS'!#REF!&gt;0,'LISTA DE PRECIOS'!#REF!,"")</f>
        <v>#REF!</v>
      </c>
      <c r="E1334" t="e">
        <f>IF('LISTA DE PRECIOS'!#REF!&gt;0,'LISTA DE PRECIOS'!#REF!,"")</f>
        <v>#REF!</v>
      </c>
      <c r="F1334" t="e">
        <f>IF('LISTA DE PRECIOS'!#REF!&gt;0,'LISTA DE PRECIOS'!#REF!,"")</f>
        <v>#REF!</v>
      </c>
      <c r="G1334" s="31" t="e">
        <f>IF('LISTA DE PRECIOS'!#REF!&gt;0,'LISTA DE PRECIOS'!#REF!,"")</f>
        <v>#REF!</v>
      </c>
      <c r="H1334" s="67" t="e">
        <f>IF('LISTA DE PRECIOS'!#REF!&gt;0,'LISTA DE PRECIOS'!#REF!,"")</f>
        <v>#REF!</v>
      </c>
      <c r="I1334" s="31" t="e">
        <f t="shared" si="19"/>
        <v>#REF!</v>
      </c>
    </row>
    <row r="1335" spans="1:9">
      <c r="A1335" t="e">
        <f>IF('LISTA DE PRECIOS'!#REF!&gt;0,'LISTA DE PRECIOS'!#REF!,"")</f>
        <v>#REF!</v>
      </c>
      <c r="B1335" t="e">
        <f>IF('LISTA DE PRECIOS'!#REF!&gt;0,'LISTA DE PRECIOS'!#REF!,"")</f>
        <v>#REF!</v>
      </c>
      <c r="C1335" t="e">
        <f>IF('LISTA DE PRECIOS'!#REF!&gt;0,'LISTA DE PRECIOS'!#REF!,"")</f>
        <v>#REF!</v>
      </c>
      <c r="D1335" s="67" t="e">
        <f>IF('LISTA DE PRECIOS'!#REF!&gt;0,'LISTA DE PRECIOS'!#REF!,"")</f>
        <v>#REF!</v>
      </c>
      <c r="E1335" t="e">
        <f>IF('LISTA DE PRECIOS'!#REF!&gt;0,'LISTA DE PRECIOS'!#REF!,"")</f>
        <v>#REF!</v>
      </c>
      <c r="F1335" t="e">
        <f>IF('LISTA DE PRECIOS'!#REF!&gt;0,'LISTA DE PRECIOS'!#REF!,"")</f>
        <v>#REF!</v>
      </c>
      <c r="G1335" s="31" t="e">
        <f>IF('LISTA DE PRECIOS'!#REF!&gt;0,'LISTA DE PRECIOS'!#REF!,"")</f>
        <v>#REF!</v>
      </c>
      <c r="H1335" s="67" t="e">
        <f>IF('LISTA DE PRECIOS'!#REF!&gt;0,'LISTA DE PRECIOS'!#REF!,"")</f>
        <v>#REF!</v>
      </c>
      <c r="I1335" s="31" t="e">
        <f t="shared" si="19"/>
        <v>#REF!</v>
      </c>
    </row>
    <row r="1336" spans="1:9">
      <c r="A1336" t="e">
        <f>IF('LISTA DE PRECIOS'!#REF!&gt;0,'LISTA DE PRECIOS'!#REF!,"")</f>
        <v>#REF!</v>
      </c>
      <c r="B1336" t="e">
        <f>IF('LISTA DE PRECIOS'!#REF!&gt;0,'LISTA DE PRECIOS'!#REF!,"")</f>
        <v>#REF!</v>
      </c>
      <c r="C1336" t="e">
        <f>IF('LISTA DE PRECIOS'!#REF!&gt;0,'LISTA DE PRECIOS'!#REF!,"")</f>
        <v>#REF!</v>
      </c>
      <c r="D1336" s="67" t="e">
        <f>IF('LISTA DE PRECIOS'!#REF!&gt;0,'LISTA DE PRECIOS'!#REF!,"")</f>
        <v>#REF!</v>
      </c>
      <c r="E1336" t="e">
        <f>IF('LISTA DE PRECIOS'!#REF!&gt;0,'LISTA DE PRECIOS'!#REF!,"")</f>
        <v>#REF!</v>
      </c>
      <c r="F1336" t="e">
        <f>IF('LISTA DE PRECIOS'!#REF!&gt;0,'LISTA DE PRECIOS'!#REF!,"")</f>
        <v>#REF!</v>
      </c>
      <c r="G1336" s="31" t="e">
        <f>IF('LISTA DE PRECIOS'!#REF!&gt;0,'LISTA DE PRECIOS'!#REF!,"")</f>
        <v>#REF!</v>
      </c>
      <c r="H1336" s="67" t="e">
        <f>IF('LISTA DE PRECIOS'!#REF!&gt;0,'LISTA DE PRECIOS'!#REF!,"")</f>
        <v>#REF!</v>
      </c>
      <c r="I1336" s="31" t="e">
        <f t="shared" si="19"/>
        <v>#REF!</v>
      </c>
    </row>
    <row r="1337" spans="1:9">
      <c r="A1337" t="e">
        <f>IF('LISTA DE PRECIOS'!#REF!&gt;0,'LISTA DE PRECIOS'!#REF!,"")</f>
        <v>#REF!</v>
      </c>
      <c r="B1337" t="e">
        <f>IF('LISTA DE PRECIOS'!#REF!&gt;0,'LISTA DE PRECIOS'!#REF!,"")</f>
        <v>#REF!</v>
      </c>
      <c r="C1337" t="e">
        <f>IF('LISTA DE PRECIOS'!#REF!&gt;0,'LISTA DE PRECIOS'!#REF!,"")</f>
        <v>#REF!</v>
      </c>
      <c r="D1337" s="67" t="e">
        <f>IF('LISTA DE PRECIOS'!#REF!&gt;0,'LISTA DE PRECIOS'!#REF!,"")</f>
        <v>#REF!</v>
      </c>
      <c r="E1337" t="e">
        <f>IF('LISTA DE PRECIOS'!#REF!&gt;0,'LISTA DE PRECIOS'!#REF!,"")</f>
        <v>#REF!</v>
      </c>
      <c r="F1337" t="e">
        <f>IF('LISTA DE PRECIOS'!#REF!&gt;0,'LISTA DE PRECIOS'!#REF!,"")</f>
        <v>#REF!</v>
      </c>
      <c r="G1337" s="31" t="e">
        <f>IF('LISTA DE PRECIOS'!#REF!&gt;0,'LISTA DE PRECIOS'!#REF!,"")</f>
        <v>#REF!</v>
      </c>
      <c r="H1337" s="67" t="e">
        <f>IF('LISTA DE PRECIOS'!#REF!&gt;0,'LISTA DE PRECIOS'!#REF!,"")</f>
        <v>#REF!</v>
      </c>
      <c r="I1337" s="31" t="e">
        <f t="shared" si="19"/>
        <v>#REF!</v>
      </c>
    </row>
    <row r="1338" spans="1:9">
      <c r="A1338" t="e">
        <f>IF('LISTA DE PRECIOS'!#REF!&gt;0,'LISTA DE PRECIOS'!#REF!,"")</f>
        <v>#REF!</v>
      </c>
      <c r="B1338" t="e">
        <f>IF('LISTA DE PRECIOS'!#REF!&gt;0,'LISTA DE PRECIOS'!#REF!,"")</f>
        <v>#REF!</v>
      </c>
      <c r="C1338" t="e">
        <f>IF('LISTA DE PRECIOS'!#REF!&gt;0,'LISTA DE PRECIOS'!#REF!,"")</f>
        <v>#REF!</v>
      </c>
      <c r="D1338" s="67" t="e">
        <f>IF('LISTA DE PRECIOS'!#REF!&gt;0,'LISTA DE PRECIOS'!#REF!,"")</f>
        <v>#REF!</v>
      </c>
      <c r="E1338" t="e">
        <f>IF('LISTA DE PRECIOS'!#REF!&gt;0,'LISTA DE PRECIOS'!#REF!,"")</f>
        <v>#REF!</v>
      </c>
      <c r="F1338" t="e">
        <f>IF('LISTA DE PRECIOS'!#REF!&gt;0,'LISTA DE PRECIOS'!#REF!,"")</f>
        <v>#REF!</v>
      </c>
      <c r="G1338" s="31" t="e">
        <f>IF('LISTA DE PRECIOS'!#REF!&gt;0,'LISTA DE PRECIOS'!#REF!,"")</f>
        <v>#REF!</v>
      </c>
      <c r="H1338" s="67" t="e">
        <f>IF('LISTA DE PRECIOS'!#REF!&gt;0,'LISTA DE PRECIOS'!#REF!,"")</f>
        <v>#REF!</v>
      </c>
      <c r="I1338" s="31" t="e">
        <f t="shared" si="19"/>
        <v>#REF!</v>
      </c>
    </row>
    <row r="1339" spans="1:9">
      <c r="A1339" t="e">
        <f>IF('LISTA DE PRECIOS'!#REF!&gt;0,'LISTA DE PRECIOS'!#REF!,"")</f>
        <v>#REF!</v>
      </c>
      <c r="B1339" t="e">
        <f>IF('LISTA DE PRECIOS'!#REF!&gt;0,'LISTA DE PRECIOS'!#REF!,"")</f>
        <v>#REF!</v>
      </c>
      <c r="C1339" t="e">
        <f>IF('LISTA DE PRECIOS'!#REF!&gt;0,'LISTA DE PRECIOS'!#REF!,"")</f>
        <v>#REF!</v>
      </c>
      <c r="D1339" s="67" t="e">
        <f>IF('LISTA DE PRECIOS'!#REF!&gt;0,'LISTA DE PRECIOS'!#REF!,"")</f>
        <v>#REF!</v>
      </c>
      <c r="E1339" t="e">
        <f>IF('LISTA DE PRECIOS'!#REF!&gt;0,'LISTA DE PRECIOS'!#REF!,"")</f>
        <v>#REF!</v>
      </c>
      <c r="F1339" t="e">
        <f>IF('LISTA DE PRECIOS'!#REF!&gt;0,'LISTA DE PRECIOS'!#REF!,"")</f>
        <v>#REF!</v>
      </c>
      <c r="G1339" s="31" t="e">
        <f>IF('LISTA DE PRECIOS'!#REF!&gt;0,'LISTA DE PRECIOS'!#REF!,"")</f>
        <v>#REF!</v>
      </c>
      <c r="H1339" s="67" t="e">
        <f>IF('LISTA DE PRECIOS'!#REF!&gt;0,'LISTA DE PRECIOS'!#REF!,"")</f>
        <v>#REF!</v>
      </c>
      <c r="I1339" s="31" t="e">
        <f t="shared" si="19"/>
        <v>#REF!</v>
      </c>
    </row>
    <row r="1340" spans="1:9">
      <c r="A1340" t="e">
        <f>IF('LISTA DE PRECIOS'!#REF!&gt;0,'LISTA DE PRECIOS'!#REF!,"")</f>
        <v>#REF!</v>
      </c>
      <c r="B1340" t="e">
        <f>IF('LISTA DE PRECIOS'!#REF!&gt;0,'LISTA DE PRECIOS'!#REF!,"")</f>
        <v>#REF!</v>
      </c>
      <c r="C1340" t="e">
        <f>IF('LISTA DE PRECIOS'!#REF!&gt;0,'LISTA DE PRECIOS'!#REF!,"")</f>
        <v>#REF!</v>
      </c>
      <c r="D1340" s="67" t="e">
        <f>IF('LISTA DE PRECIOS'!#REF!&gt;0,'LISTA DE PRECIOS'!#REF!,"")</f>
        <v>#REF!</v>
      </c>
      <c r="E1340" t="e">
        <f>IF('LISTA DE PRECIOS'!#REF!&gt;0,'LISTA DE PRECIOS'!#REF!,"")</f>
        <v>#REF!</v>
      </c>
      <c r="F1340" t="e">
        <f>IF('LISTA DE PRECIOS'!#REF!&gt;0,'LISTA DE PRECIOS'!#REF!,"")</f>
        <v>#REF!</v>
      </c>
      <c r="G1340" s="31" t="e">
        <f>IF('LISTA DE PRECIOS'!#REF!&gt;0,'LISTA DE PRECIOS'!#REF!,"")</f>
        <v>#REF!</v>
      </c>
      <c r="H1340" s="67" t="e">
        <f>IF('LISTA DE PRECIOS'!#REF!&gt;0,'LISTA DE PRECIOS'!#REF!,"")</f>
        <v>#REF!</v>
      </c>
      <c r="I1340" s="31" t="e">
        <f t="shared" si="19"/>
        <v>#REF!</v>
      </c>
    </row>
    <row r="1341" spans="1:9">
      <c r="A1341" t="e">
        <f>IF('LISTA DE PRECIOS'!#REF!&gt;0,'LISTA DE PRECIOS'!#REF!,"")</f>
        <v>#REF!</v>
      </c>
      <c r="B1341" t="e">
        <f>IF('LISTA DE PRECIOS'!#REF!&gt;0,'LISTA DE PRECIOS'!#REF!,"")</f>
        <v>#REF!</v>
      </c>
      <c r="C1341" t="e">
        <f>IF('LISTA DE PRECIOS'!#REF!&gt;0,'LISTA DE PRECIOS'!#REF!,"")</f>
        <v>#REF!</v>
      </c>
      <c r="D1341" s="67" t="e">
        <f>IF('LISTA DE PRECIOS'!#REF!&gt;0,'LISTA DE PRECIOS'!#REF!,"")</f>
        <v>#REF!</v>
      </c>
      <c r="E1341" t="e">
        <f>IF('LISTA DE PRECIOS'!#REF!&gt;0,'LISTA DE PRECIOS'!#REF!,"")</f>
        <v>#REF!</v>
      </c>
      <c r="F1341" t="e">
        <f>IF('LISTA DE PRECIOS'!#REF!&gt;0,'LISTA DE PRECIOS'!#REF!,"")</f>
        <v>#REF!</v>
      </c>
      <c r="G1341" s="31" t="e">
        <f>IF('LISTA DE PRECIOS'!#REF!&gt;0,'LISTA DE PRECIOS'!#REF!,"")</f>
        <v>#REF!</v>
      </c>
      <c r="H1341" s="67" t="e">
        <f>IF('LISTA DE PRECIOS'!#REF!&gt;0,'LISTA DE PRECIOS'!#REF!,"")</f>
        <v>#REF!</v>
      </c>
      <c r="I1341" s="31" t="e">
        <f t="shared" si="19"/>
        <v>#REF!</v>
      </c>
    </row>
    <row r="1342" spans="1:9">
      <c r="A1342" t="e">
        <f>IF('LISTA DE PRECIOS'!#REF!&gt;0,'LISTA DE PRECIOS'!#REF!,"")</f>
        <v>#REF!</v>
      </c>
      <c r="B1342" t="e">
        <f>IF('LISTA DE PRECIOS'!#REF!&gt;0,'LISTA DE PRECIOS'!#REF!,"")</f>
        <v>#REF!</v>
      </c>
      <c r="C1342" t="e">
        <f>IF('LISTA DE PRECIOS'!#REF!&gt;0,'LISTA DE PRECIOS'!#REF!,"")</f>
        <v>#REF!</v>
      </c>
      <c r="D1342" s="67" t="e">
        <f>IF('LISTA DE PRECIOS'!#REF!&gt;0,'LISTA DE PRECIOS'!#REF!,"")</f>
        <v>#REF!</v>
      </c>
      <c r="E1342" t="e">
        <f>IF('LISTA DE PRECIOS'!#REF!&gt;0,'LISTA DE PRECIOS'!#REF!,"")</f>
        <v>#REF!</v>
      </c>
      <c r="F1342" t="e">
        <f>IF('LISTA DE PRECIOS'!#REF!&gt;0,'LISTA DE PRECIOS'!#REF!,"")</f>
        <v>#REF!</v>
      </c>
      <c r="G1342" s="31" t="e">
        <f>IF('LISTA DE PRECIOS'!#REF!&gt;0,'LISTA DE PRECIOS'!#REF!,"")</f>
        <v>#REF!</v>
      </c>
      <c r="H1342" s="67" t="e">
        <f>IF('LISTA DE PRECIOS'!#REF!&gt;0,'LISTA DE PRECIOS'!#REF!,"")</f>
        <v>#REF!</v>
      </c>
      <c r="I1342" s="31" t="e">
        <f t="shared" si="19"/>
        <v>#REF!</v>
      </c>
    </row>
    <row r="1343" spans="1:9">
      <c r="A1343" t="e">
        <f>IF('LISTA DE PRECIOS'!#REF!&gt;0,'LISTA DE PRECIOS'!#REF!,"")</f>
        <v>#REF!</v>
      </c>
      <c r="B1343" t="e">
        <f>IF('LISTA DE PRECIOS'!#REF!&gt;0,'LISTA DE PRECIOS'!#REF!,"")</f>
        <v>#REF!</v>
      </c>
      <c r="C1343" t="e">
        <f>IF('LISTA DE PRECIOS'!#REF!&gt;0,'LISTA DE PRECIOS'!#REF!,"")</f>
        <v>#REF!</v>
      </c>
      <c r="D1343" s="67" t="e">
        <f>IF('LISTA DE PRECIOS'!#REF!&gt;0,'LISTA DE PRECIOS'!#REF!,"")</f>
        <v>#REF!</v>
      </c>
      <c r="E1343" t="e">
        <f>IF('LISTA DE PRECIOS'!#REF!&gt;0,'LISTA DE PRECIOS'!#REF!,"")</f>
        <v>#REF!</v>
      </c>
      <c r="F1343" t="e">
        <f>IF('LISTA DE PRECIOS'!#REF!&gt;0,'LISTA DE PRECIOS'!#REF!,"")</f>
        <v>#REF!</v>
      </c>
      <c r="G1343" s="31" t="e">
        <f>IF('LISTA DE PRECIOS'!#REF!&gt;0,'LISTA DE PRECIOS'!#REF!,"")</f>
        <v>#REF!</v>
      </c>
      <c r="H1343" s="67" t="e">
        <f>IF('LISTA DE PRECIOS'!#REF!&gt;0,'LISTA DE PRECIOS'!#REF!,"")</f>
        <v>#REF!</v>
      </c>
      <c r="I1343" s="31" t="e">
        <f t="shared" si="19"/>
        <v>#REF!</v>
      </c>
    </row>
    <row r="1344" spans="1:9">
      <c r="A1344" t="e">
        <f>IF('LISTA DE PRECIOS'!#REF!&gt;0,'LISTA DE PRECIOS'!#REF!,"")</f>
        <v>#REF!</v>
      </c>
      <c r="B1344" t="e">
        <f>IF('LISTA DE PRECIOS'!#REF!&gt;0,'LISTA DE PRECIOS'!#REF!,"")</f>
        <v>#REF!</v>
      </c>
      <c r="C1344" t="e">
        <f>IF('LISTA DE PRECIOS'!#REF!&gt;0,'LISTA DE PRECIOS'!#REF!,"")</f>
        <v>#REF!</v>
      </c>
      <c r="D1344" s="67" t="e">
        <f>IF('LISTA DE PRECIOS'!#REF!&gt;0,'LISTA DE PRECIOS'!#REF!,"")</f>
        <v>#REF!</v>
      </c>
      <c r="E1344" t="e">
        <f>IF('LISTA DE PRECIOS'!#REF!&gt;0,'LISTA DE PRECIOS'!#REF!,"")</f>
        <v>#REF!</v>
      </c>
      <c r="F1344" t="e">
        <f>IF('LISTA DE PRECIOS'!#REF!&gt;0,'LISTA DE PRECIOS'!#REF!,"")</f>
        <v>#REF!</v>
      </c>
      <c r="G1344" s="31" t="e">
        <f>IF('LISTA DE PRECIOS'!#REF!&gt;0,'LISTA DE PRECIOS'!#REF!,"")</f>
        <v>#REF!</v>
      </c>
      <c r="H1344" s="67" t="e">
        <f>IF('LISTA DE PRECIOS'!#REF!&gt;0,'LISTA DE PRECIOS'!#REF!,"")</f>
        <v>#REF!</v>
      </c>
      <c r="I1344" s="31" t="e">
        <f t="shared" si="19"/>
        <v>#REF!</v>
      </c>
    </row>
    <row r="1345" spans="1:9">
      <c r="A1345" t="e">
        <f>IF('LISTA DE PRECIOS'!#REF!&gt;0,'LISTA DE PRECIOS'!#REF!,"")</f>
        <v>#REF!</v>
      </c>
      <c r="B1345" t="e">
        <f>IF('LISTA DE PRECIOS'!#REF!&gt;0,'LISTA DE PRECIOS'!#REF!,"")</f>
        <v>#REF!</v>
      </c>
      <c r="C1345" t="e">
        <f>IF('LISTA DE PRECIOS'!#REF!&gt;0,'LISTA DE PRECIOS'!#REF!,"")</f>
        <v>#REF!</v>
      </c>
      <c r="D1345" s="67" t="e">
        <f>IF('LISTA DE PRECIOS'!#REF!&gt;0,'LISTA DE PRECIOS'!#REF!,"")</f>
        <v>#REF!</v>
      </c>
      <c r="E1345" t="e">
        <f>IF('LISTA DE PRECIOS'!#REF!&gt;0,'LISTA DE PRECIOS'!#REF!,"")</f>
        <v>#REF!</v>
      </c>
      <c r="F1345" t="e">
        <f>IF('LISTA DE PRECIOS'!#REF!&gt;0,'LISTA DE PRECIOS'!#REF!,"")</f>
        <v>#REF!</v>
      </c>
      <c r="G1345" s="31" t="e">
        <f>IF('LISTA DE PRECIOS'!#REF!&gt;0,'LISTA DE PRECIOS'!#REF!,"")</f>
        <v>#REF!</v>
      </c>
      <c r="H1345" s="67" t="e">
        <f>IF('LISTA DE PRECIOS'!#REF!&gt;0,'LISTA DE PRECIOS'!#REF!,"")</f>
        <v>#REF!</v>
      </c>
      <c r="I1345" s="31" t="e">
        <f t="shared" si="19"/>
        <v>#REF!</v>
      </c>
    </row>
    <row r="1346" spans="1:9">
      <c r="A1346" t="e">
        <f>IF('LISTA DE PRECIOS'!#REF!&gt;0,'LISTA DE PRECIOS'!#REF!,"")</f>
        <v>#REF!</v>
      </c>
      <c r="B1346" t="e">
        <f>IF('LISTA DE PRECIOS'!#REF!&gt;0,'LISTA DE PRECIOS'!#REF!,"")</f>
        <v>#REF!</v>
      </c>
      <c r="C1346" t="e">
        <f>IF('LISTA DE PRECIOS'!#REF!&gt;0,'LISTA DE PRECIOS'!#REF!,"")</f>
        <v>#REF!</v>
      </c>
      <c r="D1346" s="67" t="e">
        <f>IF('LISTA DE PRECIOS'!#REF!&gt;0,'LISTA DE PRECIOS'!#REF!,"")</f>
        <v>#REF!</v>
      </c>
      <c r="E1346" t="e">
        <f>IF('LISTA DE PRECIOS'!#REF!&gt;0,'LISTA DE PRECIOS'!#REF!,"")</f>
        <v>#REF!</v>
      </c>
      <c r="F1346" t="e">
        <f>IF('LISTA DE PRECIOS'!#REF!&gt;0,'LISTA DE PRECIOS'!#REF!,"")</f>
        <v>#REF!</v>
      </c>
      <c r="G1346" s="31" t="e">
        <f>IF('LISTA DE PRECIOS'!#REF!&gt;0,'LISTA DE PRECIOS'!#REF!,"")</f>
        <v>#REF!</v>
      </c>
      <c r="H1346" s="67" t="e">
        <f>IF('LISTA DE PRECIOS'!#REF!&gt;0,'LISTA DE PRECIOS'!#REF!,"")</f>
        <v>#REF!</v>
      </c>
      <c r="I1346" s="31" t="e">
        <f t="shared" si="19"/>
        <v>#REF!</v>
      </c>
    </row>
    <row r="1347" spans="1:9">
      <c r="A1347" t="e">
        <f>IF('LISTA DE PRECIOS'!#REF!&gt;0,'LISTA DE PRECIOS'!#REF!,"")</f>
        <v>#REF!</v>
      </c>
      <c r="B1347" t="e">
        <f>IF('LISTA DE PRECIOS'!#REF!&gt;0,'LISTA DE PRECIOS'!#REF!,"")</f>
        <v>#REF!</v>
      </c>
      <c r="C1347" t="e">
        <f>IF('LISTA DE PRECIOS'!#REF!&gt;0,'LISTA DE PRECIOS'!#REF!,"")</f>
        <v>#REF!</v>
      </c>
      <c r="D1347" s="67" t="e">
        <f>IF('LISTA DE PRECIOS'!#REF!&gt;0,'LISTA DE PRECIOS'!#REF!,"")</f>
        <v>#REF!</v>
      </c>
      <c r="E1347" t="e">
        <f>IF('LISTA DE PRECIOS'!#REF!&gt;0,'LISTA DE PRECIOS'!#REF!,"")</f>
        <v>#REF!</v>
      </c>
      <c r="F1347" t="e">
        <f>IF('LISTA DE PRECIOS'!#REF!&gt;0,'LISTA DE PRECIOS'!#REF!,"")</f>
        <v>#REF!</v>
      </c>
      <c r="G1347" s="31" t="e">
        <f>IF('LISTA DE PRECIOS'!#REF!&gt;0,'LISTA DE PRECIOS'!#REF!,"")</f>
        <v>#REF!</v>
      </c>
      <c r="H1347" s="67" t="e">
        <f>IF('LISTA DE PRECIOS'!#REF!&gt;0,'LISTA DE PRECIOS'!#REF!,"")</f>
        <v>#REF!</v>
      </c>
      <c r="I1347" s="31" t="e">
        <f t="shared" si="19"/>
        <v>#REF!</v>
      </c>
    </row>
    <row r="1348" spans="1:9">
      <c r="A1348" t="e">
        <f>IF('LISTA DE PRECIOS'!#REF!&gt;0,'LISTA DE PRECIOS'!#REF!,"")</f>
        <v>#REF!</v>
      </c>
      <c r="B1348" t="e">
        <f>IF('LISTA DE PRECIOS'!#REF!&gt;0,'LISTA DE PRECIOS'!#REF!,"")</f>
        <v>#REF!</v>
      </c>
      <c r="C1348" t="e">
        <f>IF('LISTA DE PRECIOS'!#REF!&gt;0,'LISTA DE PRECIOS'!#REF!,"")</f>
        <v>#REF!</v>
      </c>
      <c r="D1348" s="67" t="e">
        <f>IF('LISTA DE PRECIOS'!#REF!&gt;0,'LISTA DE PRECIOS'!#REF!,"")</f>
        <v>#REF!</v>
      </c>
      <c r="E1348" t="e">
        <f>IF('LISTA DE PRECIOS'!#REF!&gt;0,'LISTA DE PRECIOS'!#REF!,"")</f>
        <v>#REF!</v>
      </c>
      <c r="F1348" t="e">
        <f>IF('LISTA DE PRECIOS'!#REF!&gt;0,'LISTA DE PRECIOS'!#REF!,"")</f>
        <v>#REF!</v>
      </c>
      <c r="G1348" s="31" t="e">
        <f>IF('LISTA DE PRECIOS'!#REF!&gt;0,'LISTA DE PRECIOS'!#REF!,"")</f>
        <v>#REF!</v>
      </c>
      <c r="H1348" s="67" t="e">
        <f>IF('LISTA DE PRECIOS'!#REF!&gt;0,'LISTA DE PRECIOS'!#REF!,"")</f>
        <v>#REF!</v>
      </c>
      <c r="I1348" s="31" t="e">
        <f t="shared" si="19"/>
        <v>#REF!</v>
      </c>
    </row>
    <row r="1349" spans="1:9">
      <c r="A1349" t="e">
        <f>IF('LISTA DE PRECIOS'!#REF!&gt;0,'LISTA DE PRECIOS'!#REF!,"")</f>
        <v>#REF!</v>
      </c>
      <c r="B1349" t="e">
        <f>IF('LISTA DE PRECIOS'!#REF!&gt;0,'LISTA DE PRECIOS'!#REF!,"")</f>
        <v>#REF!</v>
      </c>
      <c r="C1349" t="e">
        <f>IF('LISTA DE PRECIOS'!#REF!&gt;0,'LISTA DE PRECIOS'!#REF!,"")</f>
        <v>#REF!</v>
      </c>
      <c r="D1349" s="67" t="e">
        <f>IF('LISTA DE PRECIOS'!#REF!&gt;0,'LISTA DE PRECIOS'!#REF!,"")</f>
        <v>#REF!</v>
      </c>
      <c r="E1349" t="e">
        <f>IF('LISTA DE PRECIOS'!#REF!&gt;0,'LISTA DE PRECIOS'!#REF!,"")</f>
        <v>#REF!</v>
      </c>
      <c r="F1349" t="e">
        <f>IF('LISTA DE PRECIOS'!#REF!&gt;0,'LISTA DE PRECIOS'!#REF!,"")</f>
        <v>#REF!</v>
      </c>
      <c r="G1349" s="31" t="e">
        <f>IF('LISTA DE PRECIOS'!#REF!&gt;0,'LISTA DE PRECIOS'!#REF!,"")</f>
        <v>#REF!</v>
      </c>
      <c r="H1349" s="67" t="e">
        <f>IF('LISTA DE PRECIOS'!#REF!&gt;0,'LISTA DE PRECIOS'!#REF!,"")</f>
        <v>#REF!</v>
      </c>
      <c r="I1349" s="31" t="e">
        <f t="shared" si="19"/>
        <v>#REF!</v>
      </c>
    </row>
    <row r="1350" spans="1:9">
      <c r="A1350" t="e">
        <f>IF('LISTA DE PRECIOS'!#REF!&gt;0,'LISTA DE PRECIOS'!#REF!,"")</f>
        <v>#REF!</v>
      </c>
      <c r="B1350" t="e">
        <f>IF('LISTA DE PRECIOS'!#REF!&gt;0,'LISTA DE PRECIOS'!#REF!,"")</f>
        <v>#REF!</v>
      </c>
      <c r="C1350" t="e">
        <f>IF('LISTA DE PRECIOS'!#REF!&gt;0,'LISTA DE PRECIOS'!#REF!,"")</f>
        <v>#REF!</v>
      </c>
      <c r="D1350" s="67" t="e">
        <f>IF('LISTA DE PRECIOS'!#REF!&gt;0,'LISTA DE PRECIOS'!#REF!,"")</f>
        <v>#REF!</v>
      </c>
      <c r="E1350" t="e">
        <f>IF('LISTA DE PRECIOS'!#REF!&gt;0,'LISTA DE PRECIOS'!#REF!,"")</f>
        <v>#REF!</v>
      </c>
      <c r="F1350" t="e">
        <f>IF('LISTA DE PRECIOS'!#REF!&gt;0,'LISTA DE PRECIOS'!#REF!,"")</f>
        <v>#REF!</v>
      </c>
      <c r="G1350" s="31" t="e">
        <f>IF('LISTA DE PRECIOS'!#REF!&gt;0,'LISTA DE PRECIOS'!#REF!,"")</f>
        <v>#REF!</v>
      </c>
      <c r="H1350" s="67" t="e">
        <f>IF('LISTA DE PRECIOS'!#REF!&gt;0,'LISTA DE PRECIOS'!#REF!,"")</f>
        <v>#REF!</v>
      </c>
      <c r="I1350" s="31" t="e">
        <f t="shared" si="19"/>
        <v>#REF!</v>
      </c>
    </row>
    <row r="1351" spans="1:9">
      <c r="A1351" t="e">
        <f>IF('LISTA DE PRECIOS'!#REF!&gt;0,'LISTA DE PRECIOS'!#REF!,"")</f>
        <v>#REF!</v>
      </c>
      <c r="B1351" t="e">
        <f>IF('LISTA DE PRECIOS'!#REF!&gt;0,'LISTA DE PRECIOS'!#REF!,"")</f>
        <v>#REF!</v>
      </c>
      <c r="C1351" t="e">
        <f>IF('LISTA DE PRECIOS'!#REF!&gt;0,'LISTA DE PRECIOS'!#REF!,"")</f>
        <v>#REF!</v>
      </c>
      <c r="D1351" s="67" t="e">
        <f>IF('LISTA DE PRECIOS'!#REF!&gt;0,'LISTA DE PRECIOS'!#REF!,"")</f>
        <v>#REF!</v>
      </c>
      <c r="E1351" t="e">
        <f>IF('LISTA DE PRECIOS'!#REF!&gt;0,'LISTA DE PRECIOS'!#REF!,"")</f>
        <v>#REF!</v>
      </c>
      <c r="F1351" t="e">
        <f>IF('LISTA DE PRECIOS'!#REF!&gt;0,'LISTA DE PRECIOS'!#REF!,"")</f>
        <v>#REF!</v>
      </c>
      <c r="G1351" s="31" t="e">
        <f>IF('LISTA DE PRECIOS'!#REF!&gt;0,'LISTA DE PRECIOS'!#REF!,"")</f>
        <v>#REF!</v>
      </c>
      <c r="H1351" s="67" t="e">
        <f>IF('LISTA DE PRECIOS'!#REF!&gt;0,'LISTA DE PRECIOS'!#REF!,"")</f>
        <v>#REF!</v>
      </c>
      <c r="I1351" s="31" t="e">
        <f t="shared" si="19"/>
        <v>#REF!</v>
      </c>
    </row>
    <row r="1352" spans="1:9">
      <c r="A1352" t="e">
        <f>IF('LISTA DE PRECIOS'!#REF!&gt;0,'LISTA DE PRECIOS'!#REF!,"")</f>
        <v>#REF!</v>
      </c>
      <c r="B1352" t="e">
        <f>IF('LISTA DE PRECIOS'!#REF!&gt;0,'LISTA DE PRECIOS'!#REF!,"")</f>
        <v>#REF!</v>
      </c>
      <c r="C1352" t="e">
        <f>IF('LISTA DE PRECIOS'!#REF!&gt;0,'LISTA DE PRECIOS'!#REF!,"")</f>
        <v>#REF!</v>
      </c>
      <c r="D1352" s="67" t="e">
        <f>IF('LISTA DE PRECIOS'!#REF!&gt;0,'LISTA DE PRECIOS'!#REF!,"")</f>
        <v>#REF!</v>
      </c>
      <c r="E1352" t="e">
        <f>IF('LISTA DE PRECIOS'!#REF!&gt;0,'LISTA DE PRECIOS'!#REF!,"")</f>
        <v>#REF!</v>
      </c>
      <c r="F1352" t="e">
        <f>IF('LISTA DE PRECIOS'!#REF!&gt;0,'LISTA DE PRECIOS'!#REF!,"")</f>
        <v>#REF!</v>
      </c>
      <c r="G1352" s="31" t="e">
        <f>IF('LISTA DE PRECIOS'!#REF!&gt;0,'LISTA DE PRECIOS'!#REF!,"")</f>
        <v>#REF!</v>
      </c>
      <c r="H1352" s="67" t="e">
        <f>IF('LISTA DE PRECIOS'!#REF!&gt;0,'LISTA DE PRECIOS'!#REF!,"")</f>
        <v>#REF!</v>
      </c>
      <c r="I1352" s="31" t="e">
        <f t="shared" si="19"/>
        <v>#REF!</v>
      </c>
    </row>
    <row r="1353" spans="1:9">
      <c r="A1353" t="e">
        <f>IF('LISTA DE PRECIOS'!#REF!&gt;0,'LISTA DE PRECIOS'!#REF!,"")</f>
        <v>#REF!</v>
      </c>
      <c r="B1353" t="e">
        <f>IF('LISTA DE PRECIOS'!#REF!&gt;0,'LISTA DE PRECIOS'!#REF!,"")</f>
        <v>#REF!</v>
      </c>
      <c r="C1353" t="e">
        <f>IF('LISTA DE PRECIOS'!#REF!&gt;0,'LISTA DE PRECIOS'!#REF!,"")</f>
        <v>#REF!</v>
      </c>
      <c r="D1353" s="67" t="e">
        <f>IF('LISTA DE PRECIOS'!#REF!&gt;0,'LISTA DE PRECIOS'!#REF!,"")</f>
        <v>#REF!</v>
      </c>
      <c r="E1353" t="e">
        <f>IF('LISTA DE PRECIOS'!#REF!&gt;0,'LISTA DE PRECIOS'!#REF!,"")</f>
        <v>#REF!</v>
      </c>
      <c r="F1353" t="e">
        <f>IF('LISTA DE PRECIOS'!#REF!&gt;0,'LISTA DE PRECIOS'!#REF!,"")</f>
        <v>#REF!</v>
      </c>
      <c r="G1353" s="31" t="e">
        <f>IF('LISTA DE PRECIOS'!#REF!&gt;0,'LISTA DE PRECIOS'!#REF!,"")</f>
        <v>#REF!</v>
      </c>
      <c r="H1353" s="67" t="e">
        <f>IF('LISTA DE PRECIOS'!#REF!&gt;0,'LISTA DE PRECIOS'!#REF!,"")</f>
        <v>#REF!</v>
      </c>
      <c r="I1353" s="31" t="e">
        <f t="shared" si="19"/>
        <v>#REF!</v>
      </c>
    </row>
    <row r="1354" spans="1:9">
      <c r="A1354" t="e">
        <f>IF('LISTA DE PRECIOS'!#REF!&gt;0,'LISTA DE PRECIOS'!#REF!,"")</f>
        <v>#REF!</v>
      </c>
      <c r="B1354" t="e">
        <f>IF('LISTA DE PRECIOS'!#REF!&gt;0,'LISTA DE PRECIOS'!#REF!,"")</f>
        <v>#REF!</v>
      </c>
      <c r="C1354" t="e">
        <f>IF('LISTA DE PRECIOS'!#REF!&gt;0,'LISTA DE PRECIOS'!#REF!,"")</f>
        <v>#REF!</v>
      </c>
      <c r="D1354" s="67" t="e">
        <f>IF('LISTA DE PRECIOS'!#REF!&gt;0,'LISTA DE PRECIOS'!#REF!,"")</f>
        <v>#REF!</v>
      </c>
      <c r="E1354" t="e">
        <f>IF('LISTA DE PRECIOS'!#REF!&gt;0,'LISTA DE PRECIOS'!#REF!,"")</f>
        <v>#REF!</v>
      </c>
      <c r="F1354" t="e">
        <f>IF('LISTA DE PRECIOS'!#REF!&gt;0,'LISTA DE PRECIOS'!#REF!,"")</f>
        <v>#REF!</v>
      </c>
      <c r="G1354" s="31" t="e">
        <f>IF('LISTA DE PRECIOS'!#REF!&gt;0,'LISTA DE PRECIOS'!#REF!,"")</f>
        <v>#REF!</v>
      </c>
      <c r="H1354" s="67" t="e">
        <f>IF('LISTA DE PRECIOS'!#REF!&gt;0,'LISTA DE PRECIOS'!#REF!,"")</f>
        <v>#REF!</v>
      </c>
      <c r="I1354" s="31" t="e">
        <f t="shared" si="19"/>
        <v>#REF!</v>
      </c>
    </row>
    <row r="1355" spans="1:9">
      <c r="A1355" t="e">
        <f>IF('LISTA DE PRECIOS'!#REF!&gt;0,'LISTA DE PRECIOS'!#REF!,"")</f>
        <v>#REF!</v>
      </c>
      <c r="B1355" t="e">
        <f>IF('LISTA DE PRECIOS'!#REF!&gt;0,'LISTA DE PRECIOS'!#REF!,"")</f>
        <v>#REF!</v>
      </c>
      <c r="C1355" t="e">
        <f>IF('LISTA DE PRECIOS'!#REF!&gt;0,'LISTA DE PRECIOS'!#REF!,"")</f>
        <v>#REF!</v>
      </c>
      <c r="D1355" s="67" t="e">
        <f>IF('LISTA DE PRECIOS'!#REF!&gt;0,'LISTA DE PRECIOS'!#REF!,"")</f>
        <v>#REF!</v>
      </c>
      <c r="E1355" t="e">
        <f>IF('LISTA DE PRECIOS'!#REF!&gt;0,'LISTA DE PRECIOS'!#REF!,"")</f>
        <v>#REF!</v>
      </c>
      <c r="F1355" t="e">
        <f>IF('LISTA DE PRECIOS'!#REF!&gt;0,'LISTA DE PRECIOS'!#REF!,"")</f>
        <v>#REF!</v>
      </c>
      <c r="G1355" s="31" t="e">
        <f>IF('LISTA DE PRECIOS'!#REF!&gt;0,'LISTA DE PRECIOS'!#REF!,"")</f>
        <v>#REF!</v>
      </c>
      <c r="H1355" s="67" t="e">
        <f>IF('LISTA DE PRECIOS'!#REF!&gt;0,'LISTA DE PRECIOS'!#REF!,"")</f>
        <v>#REF!</v>
      </c>
      <c r="I1355" s="31" t="e">
        <f t="shared" si="19"/>
        <v>#REF!</v>
      </c>
    </row>
    <row r="1356" spans="1:9">
      <c r="A1356" t="e">
        <f>IF('LISTA DE PRECIOS'!#REF!&gt;0,'LISTA DE PRECIOS'!#REF!,"")</f>
        <v>#REF!</v>
      </c>
      <c r="B1356" t="e">
        <f>IF('LISTA DE PRECIOS'!#REF!&gt;0,'LISTA DE PRECIOS'!#REF!,"")</f>
        <v>#REF!</v>
      </c>
      <c r="C1356" t="e">
        <f>IF('LISTA DE PRECIOS'!#REF!&gt;0,'LISTA DE PRECIOS'!#REF!,"")</f>
        <v>#REF!</v>
      </c>
      <c r="D1356" s="67" t="e">
        <f>IF('LISTA DE PRECIOS'!#REF!&gt;0,'LISTA DE PRECIOS'!#REF!,"")</f>
        <v>#REF!</v>
      </c>
      <c r="E1356" t="e">
        <f>IF('LISTA DE PRECIOS'!#REF!&gt;0,'LISTA DE PRECIOS'!#REF!,"")</f>
        <v>#REF!</v>
      </c>
      <c r="F1356" t="e">
        <f>IF('LISTA DE PRECIOS'!#REF!&gt;0,'LISTA DE PRECIOS'!#REF!,"")</f>
        <v>#REF!</v>
      </c>
      <c r="G1356" s="31" t="e">
        <f>IF('LISTA DE PRECIOS'!#REF!&gt;0,'LISTA DE PRECIOS'!#REF!,"")</f>
        <v>#REF!</v>
      </c>
      <c r="H1356" s="67" t="e">
        <f>IF('LISTA DE PRECIOS'!#REF!&gt;0,'LISTA DE PRECIOS'!#REF!,"")</f>
        <v>#REF!</v>
      </c>
      <c r="I1356" s="31" t="e">
        <f t="shared" si="19"/>
        <v>#REF!</v>
      </c>
    </row>
    <row r="1357" spans="1:9">
      <c r="A1357" t="e">
        <f>IF('LISTA DE PRECIOS'!#REF!&gt;0,'LISTA DE PRECIOS'!#REF!,"")</f>
        <v>#REF!</v>
      </c>
      <c r="B1357" t="e">
        <f>IF('LISTA DE PRECIOS'!#REF!&gt;0,'LISTA DE PRECIOS'!#REF!,"")</f>
        <v>#REF!</v>
      </c>
      <c r="C1357" t="e">
        <f>IF('LISTA DE PRECIOS'!#REF!&gt;0,'LISTA DE PRECIOS'!#REF!,"")</f>
        <v>#REF!</v>
      </c>
      <c r="D1357" s="67" t="e">
        <f>IF('LISTA DE PRECIOS'!#REF!&gt;0,'LISTA DE PRECIOS'!#REF!,"")</f>
        <v>#REF!</v>
      </c>
      <c r="E1357" t="e">
        <f>IF('LISTA DE PRECIOS'!#REF!&gt;0,'LISTA DE PRECIOS'!#REF!,"")</f>
        <v>#REF!</v>
      </c>
      <c r="F1357" t="e">
        <f>IF('LISTA DE PRECIOS'!#REF!&gt;0,'LISTA DE PRECIOS'!#REF!,"")</f>
        <v>#REF!</v>
      </c>
      <c r="G1357" s="31" t="e">
        <f>IF('LISTA DE PRECIOS'!#REF!&gt;0,'LISTA DE PRECIOS'!#REF!,"")</f>
        <v>#REF!</v>
      </c>
      <c r="H1357" s="67" t="e">
        <f>IF('LISTA DE PRECIOS'!#REF!&gt;0,'LISTA DE PRECIOS'!#REF!,"")</f>
        <v>#REF!</v>
      </c>
      <c r="I1357" s="31" t="e">
        <f t="shared" si="19"/>
        <v>#REF!</v>
      </c>
    </row>
    <row r="1358" spans="1:9">
      <c r="A1358" t="e">
        <f>IF('LISTA DE PRECIOS'!#REF!&gt;0,'LISTA DE PRECIOS'!#REF!,"")</f>
        <v>#REF!</v>
      </c>
      <c r="B1358" t="e">
        <f>IF('LISTA DE PRECIOS'!#REF!&gt;0,'LISTA DE PRECIOS'!#REF!,"")</f>
        <v>#REF!</v>
      </c>
      <c r="C1358" t="e">
        <f>IF('LISTA DE PRECIOS'!#REF!&gt;0,'LISTA DE PRECIOS'!#REF!,"")</f>
        <v>#REF!</v>
      </c>
      <c r="D1358" s="67" t="e">
        <f>IF('LISTA DE PRECIOS'!#REF!&gt;0,'LISTA DE PRECIOS'!#REF!,"")</f>
        <v>#REF!</v>
      </c>
      <c r="E1358" t="e">
        <f>IF('LISTA DE PRECIOS'!#REF!&gt;0,'LISTA DE PRECIOS'!#REF!,"")</f>
        <v>#REF!</v>
      </c>
      <c r="F1358" t="e">
        <f>IF('LISTA DE PRECIOS'!#REF!&gt;0,'LISTA DE PRECIOS'!#REF!,"")</f>
        <v>#REF!</v>
      </c>
      <c r="G1358" s="31" t="e">
        <f>IF('LISTA DE PRECIOS'!#REF!&gt;0,'LISTA DE PRECIOS'!#REF!,"")</f>
        <v>#REF!</v>
      </c>
      <c r="H1358" s="67" t="e">
        <f>IF('LISTA DE PRECIOS'!#REF!&gt;0,'LISTA DE PRECIOS'!#REF!,"")</f>
        <v>#REF!</v>
      </c>
      <c r="I1358" s="31" t="e">
        <f t="shared" si="19"/>
        <v>#REF!</v>
      </c>
    </row>
    <row r="1359" spans="1:9">
      <c r="A1359" t="e">
        <f>IF('LISTA DE PRECIOS'!#REF!&gt;0,'LISTA DE PRECIOS'!#REF!,"")</f>
        <v>#REF!</v>
      </c>
      <c r="B1359" t="e">
        <f>IF('LISTA DE PRECIOS'!#REF!&gt;0,'LISTA DE PRECIOS'!#REF!,"")</f>
        <v>#REF!</v>
      </c>
      <c r="C1359" t="e">
        <f>IF('LISTA DE PRECIOS'!#REF!&gt;0,'LISTA DE PRECIOS'!#REF!,"")</f>
        <v>#REF!</v>
      </c>
      <c r="D1359" s="67" t="e">
        <f>IF('LISTA DE PRECIOS'!#REF!&gt;0,'LISTA DE PRECIOS'!#REF!,"")</f>
        <v>#REF!</v>
      </c>
      <c r="E1359" t="e">
        <f>IF('LISTA DE PRECIOS'!#REF!&gt;0,'LISTA DE PRECIOS'!#REF!,"")</f>
        <v>#REF!</v>
      </c>
      <c r="F1359" t="e">
        <f>IF('LISTA DE PRECIOS'!#REF!&gt;0,'LISTA DE PRECIOS'!#REF!,"")</f>
        <v>#REF!</v>
      </c>
      <c r="G1359" s="31" t="e">
        <f>IF('LISTA DE PRECIOS'!#REF!&gt;0,'LISTA DE PRECIOS'!#REF!,"")</f>
        <v>#REF!</v>
      </c>
      <c r="H1359" s="67" t="e">
        <f>IF('LISTA DE PRECIOS'!#REF!&gt;0,'LISTA DE PRECIOS'!#REF!,"")</f>
        <v>#REF!</v>
      </c>
      <c r="I1359" s="31" t="e">
        <f t="shared" si="19"/>
        <v>#REF!</v>
      </c>
    </row>
    <row r="1360" spans="1:9">
      <c r="A1360" t="e">
        <f>IF('LISTA DE PRECIOS'!#REF!&gt;0,'LISTA DE PRECIOS'!#REF!,"")</f>
        <v>#REF!</v>
      </c>
      <c r="B1360" t="e">
        <f>IF('LISTA DE PRECIOS'!#REF!&gt;0,'LISTA DE PRECIOS'!#REF!,"")</f>
        <v>#REF!</v>
      </c>
      <c r="C1360" t="e">
        <f>IF('LISTA DE PRECIOS'!#REF!&gt;0,'LISTA DE PRECIOS'!#REF!,"")</f>
        <v>#REF!</v>
      </c>
      <c r="D1360" s="67" t="e">
        <f>IF('LISTA DE PRECIOS'!#REF!&gt;0,'LISTA DE PRECIOS'!#REF!,"")</f>
        <v>#REF!</v>
      </c>
      <c r="E1360" t="e">
        <f>IF('LISTA DE PRECIOS'!#REF!&gt;0,'LISTA DE PRECIOS'!#REF!,"")</f>
        <v>#REF!</v>
      </c>
      <c r="F1360" t="e">
        <f>IF('LISTA DE PRECIOS'!#REF!&gt;0,'LISTA DE PRECIOS'!#REF!,"")</f>
        <v>#REF!</v>
      </c>
      <c r="G1360" s="31" t="e">
        <f>IF('LISTA DE PRECIOS'!#REF!&gt;0,'LISTA DE PRECIOS'!#REF!,"")</f>
        <v>#REF!</v>
      </c>
      <c r="H1360" s="67" t="e">
        <f>IF('LISTA DE PRECIOS'!#REF!&gt;0,'LISTA DE PRECIOS'!#REF!,"")</f>
        <v>#REF!</v>
      </c>
      <c r="I1360" s="31" t="e">
        <f t="shared" si="19"/>
        <v>#REF!</v>
      </c>
    </row>
    <row r="1361" spans="1:9">
      <c r="A1361" t="e">
        <f>IF('LISTA DE PRECIOS'!#REF!&gt;0,'LISTA DE PRECIOS'!#REF!,"")</f>
        <v>#REF!</v>
      </c>
      <c r="B1361" t="e">
        <f>IF('LISTA DE PRECIOS'!#REF!&gt;0,'LISTA DE PRECIOS'!#REF!,"")</f>
        <v>#REF!</v>
      </c>
      <c r="C1361" t="e">
        <f>IF('LISTA DE PRECIOS'!#REF!&gt;0,'LISTA DE PRECIOS'!#REF!,"")</f>
        <v>#REF!</v>
      </c>
      <c r="D1361" s="67" t="e">
        <f>IF('LISTA DE PRECIOS'!#REF!&gt;0,'LISTA DE PRECIOS'!#REF!,"")</f>
        <v>#REF!</v>
      </c>
      <c r="E1361" t="e">
        <f>IF('LISTA DE PRECIOS'!#REF!&gt;0,'LISTA DE PRECIOS'!#REF!,"")</f>
        <v>#REF!</v>
      </c>
      <c r="F1361" t="e">
        <f>IF('LISTA DE PRECIOS'!#REF!&gt;0,'LISTA DE PRECIOS'!#REF!,"")</f>
        <v>#REF!</v>
      </c>
      <c r="G1361" s="31" t="e">
        <f>IF('LISTA DE PRECIOS'!#REF!&gt;0,'LISTA DE PRECIOS'!#REF!,"")</f>
        <v>#REF!</v>
      </c>
      <c r="H1361" s="67" t="e">
        <f>IF('LISTA DE PRECIOS'!#REF!&gt;0,'LISTA DE PRECIOS'!#REF!,"")</f>
        <v>#REF!</v>
      </c>
      <c r="I1361" s="31" t="e">
        <f t="shared" ref="I1361:I1375" si="20">IF(OR(G1361="",H1361=""),"",G1361*H1361)</f>
        <v>#REF!</v>
      </c>
    </row>
    <row r="1362" spans="1:9">
      <c r="A1362" t="e">
        <f>IF('LISTA DE PRECIOS'!#REF!&gt;0,'LISTA DE PRECIOS'!#REF!,"")</f>
        <v>#REF!</v>
      </c>
      <c r="B1362" t="e">
        <f>IF('LISTA DE PRECIOS'!#REF!&gt;0,'LISTA DE PRECIOS'!#REF!,"")</f>
        <v>#REF!</v>
      </c>
      <c r="C1362" t="e">
        <f>IF('LISTA DE PRECIOS'!#REF!&gt;0,'LISTA DE PRECIOS'!#REF!,"")</f>
        <v>#REF!</v>
      </c>
      <c r="D1362" s="67" t="e">
        <f>IF('LISTA DE PRECIOS'!#REF!&gt;0,'LISTA DE PRECIOS'!#REF!,"")</f>
        <v>#REF!</v>
      </c>
      <c r="E1362" t="e">
        <f>IF('LISTA DE PRECIOS'!#REF!&gt;0,'LISTA DE PRECIOS'!#REF!,"")</f>
        <v>#REF!</v>
      </c>
      <c r="F1362" t="e">
        <f>IF('LISTA DE PRECIOS'!#REF!&gt;0,'LISTA DE PRECIOS'!#REF!,"")</f>
        <v>#REF!</v>
      </c>
      <c r="G1362" s="31" t="e">
        <f>IF('LISTA DE PRECIOS'!#REF!&gt;0,'LISTA DE PRECIOS'!#REF!,"")</f>
        <v>#REF!</v>
      </c>
      <c r="H1362" s="67" t="e">
        <f>IF('LISTA DE PRECIOS'!#REF!&gt;0,'LISTA DE PRECIOS'!#REF!,"")</f>
        <v>#REF!</v>
      </c>
      <c r="I1362" s="31" t="e">
        <f t="shared" si="20"/>
        <v>#REF!</v>
      </c>
    </row>
    <row r="1363" spans="1:9">
      <c r="A1363" t="e">
        <f>IF('LISTA DE PRECIOS'!#REF!&gt;0,'LISTA DE PRECIOS'!#REF!,"")</f>
        <v>#REF!</v>
      </c>
      <c r="B1363" t="e">
        <f>IF('LISTA DE PRECIOS'!#REF!&gt;0,'LISTA DE PRECIOS'!#REF!,"")</f>
        <v>#REF!</v>
      </c>
      <c r="C1363" t="e">
        <f>IF('LISTA DE PRECIOS'!#REF!&gt;0,'LISTA DE PRECIOS'!#REF!,"")</f>
        <v>#REF!</v>
      </c>
      <c r="D1363" s="67" t="e">
        <f>IF('LISTA DE PRECIOS'!#REF!&gt;0,'LISTA DE PRECIOS'!#REF!,"")</f>
        <v>#REF!</v>
      </c>
      <c r="E1363" t="e">
        <f>IF('LISTA DE PRECIOS'!#REF!&gt;0,'LISTA DE PRECIOS'!#REF!,"")</f>
        <v>#REF!</v>
      </c>
      <c r="F1363" t="e">
        <f>IF('LISTA DE PRECIOS'!#REF!&gt;0,'LISTA DE PRECIOS'!#REF!,"")</f>
        <v>#REF!</v>
      </c>
      <c r="G1363" s="31" t="e">
        <f>IF('LISTA DE PRECIOS'!#REF!&gt;0,'LISTA DE PRECIOS'!#REF!,"")</f>
        <v>#REF!</v>
      </c>
      <c r="H1363" s="67" t="e">
        <f>IF('LISTA DE PRECIOS'!#REF!&gt;0,'LISTA DE PRECIOS'!#REF!,"")</f>
        <v>#REF!</v>
      </c>
      <c r="I1363" s="31" t="e">
        <f t="shared" si="20"/>
        <v>#REF!</v>
      </c>
    </row>
    <row r="1364" spans="1:9">
      <c r="A1364" t="e">
        <f>IF('LISTA DE PRECIOS'!#REF!&gt;0,'LISTA DE PRECIOS'!#REF!,"")</f>
        <v>#REF!</v>
      </c>
      <c r="B1364" t="e">
        <f>IF('LISTA DE PRECIOS'!#REF!&gt;0,'LISTA DE PRECIOS'!#REF!,"")</f>
        <v>#REF!</v>
      </c>
      <c r="C1364" t="e">
        <f>IF('LISTA DE PRECIOS'!#REF!&gt;0,'LISTA DE PRECIOS'!#REF!,"")</f>
        <v>#REF!</v>
      </c>
      <c r="D1364" s="67" t="e">
        <f>IF('LISTA DE PRECIOS'!#REF!&gt;0,'LISTA DE PRECIOS'!#REF!,"")</f>
        <v>#REF!</v>
      </c>
      <c r="E1364" t="e">
        <f>IF('LISTA DE PRECIOS'!#REF!&gt;0,'LISTA DE PRECIOS'!#REF!,"")</f>
        <v>#REF!</v>
      </c>
      <c r="F1364" t="e">
        <f>IF('LISTA DE PRECIOS'!#REF!&gt;0,'LISTA DE PRECIOS'!#REF!,"")</f>
        <v>#REF!</v>
      </c>
      <c r="G1364" s="31" t="e">
        <f>IF('LISTA DE PRECIOS'!#REF!&gt;0,'LISTA DE PRECIOS'!#REF!,"")</f>
        <v>#REF!</v>
      </c>
      <c r="H1364" s="67" t="e">
        <f>IF('LISTA DE PRECIOS'!#REF!&gt;0,'LISTA DE PRECIOS'!#REF!,"")</f>
        <v>#REF!</v>
      </c>
      <c r="I1364" s="31" t="e">
        <f t="shared" si="20"/>
        <v>#REF!</v>
      </c>
    </row>
    <row r="1365" spans="1:9">
      <c r="A1365" t="e">
        <f>IF('LISTA DE PRECIOS'!#REF!&gt;0,'LISTA DE PRECIOS'!#REF!,"")</f>
        <v>#REF!</v>
      </c>
      <c r="B1365" t="e">
        <f>IF('LISTA DE PRECIOS'!#REF!&gt;0,'LISTA DE PRECIOS'!#REF!,"")</f>
        <v>#REF!</v>
      </c>
      <c r="C1365" t="e">
        <f>IF('LISTA DE PRECIOS'!#REF!&gt;0,'LISTA DE PRECIOS'!#REF!,"")</f>
        <v>#REF!</v>
      </c>
      <c r="D1365" s="67" t="e">
        <f>IF('LISTA DE PRECIOS'!#REF!&gt;0,'LISTA DE PRECIOS'!#REF!,"")</f>
        <v>#REF!</v>
      </c>
      <c r="E1365" t="e">
        <f>IF('LISTA DE PRECIOS'!#REF!&gt;0,'LISTA DE PRECIOS'!#REF!,"")</f>
        <v>#REF!</v>
      </c>
      <c r="F1365" t="e">
        <f>IF('LISTA DE PRECIOS'!#REF!&gt;0,'LISTA DE PRECIOS'!#REF!,"")</f>
        <v>#REF!</v>
      </c>
      <c r="G1365" s="31" t="e">
        <f>IF('LISTA DE PRECIOS'!#REF!&gt;0,'LISTA DE PRECIOS'!#REF!,"")</f>
        <v>#REF!</v>
      </c>
      <c r="H1365" s="67" t="e">
        <f>IF('LISTA DE PRECIOS'!#REF!&gt;0,'LISTA DE PRECIOS'!#REF!,"")</f>
        <v>#REF!</v>
      </c>
      <c r="I1365" s="31" t="e">
        <f t="shared" si="20"/>
        <v>#REF!</v>
      </c>
    </row>
    <row r="1366" spans="1:9">
      <c r="A1366" t="e">
        <f>IF('LISTA DE PRECIOS'!#REF!&gt;0,'LISTA DE PRECIOS'!#REF!,"")</f>
        <v>#REF!</v>
      </c>
      <c r="B1366" t="e">
        <f>IF('LISTA DE PRECIOS'!#REF!&gt;0,'LISTA DE PRECIOS'!#REF!,"")</f>
        <v>#REF!</v>
      </c>
      <c r="C1366" t="e">
        <f>IF('LISTA DE PRECIOS'!#REF!&gt;0,'LISTA DE PRECIOS'!#REF!,"")</f>
        <v>#REF!</v>
      </c>
      <c r="D1366" s="67" t="e">
        <f>IF('LISTA DE PRECIOS'!#REF!&gt;0,'LISTA DE PRECIOS'!#REF!,"")</f>
        <v>#REF!</v>
      </c>
      <c r="E1366" t="e">
        <f>IF('LISTA DE PRECIOS'!#REF!&gt;0,'LISTA DE PRECIOS'!#REF!,"")</f>
        <v>#REF!</v>
      </c>
      <c r="F1366" t="e">
        <f>IF('LISTA DE PRECIOS'!#REF!&gt;0,'LISTA DE PRECIOS'!#REF!,"")</f>
        <v>#REF!</v>
      </c>
      <c r="G1366" s="31" t="e">
        <f>IF('LISTA DE PRECIOS'!#REF!&gt;0,'LISTA DE PRECIOS'!#REF!,"")</f>
        <v>#REF!</v>
      </c>
      <c r="H1366" s="67" t="e">
        <f>IF('LISTA DE PRECIOS'!#REF!&gt;0,'LISTA DE PRECIOS'!#REF!,"")</f>
        <v>#REF!</v>
      </c>
      <c r="I1366" s="31" t="e">
        <f t="shared" si="20"/>
        <v>#REF!</v>
      </c>
    </row>
    <row r="1367" spans="1:9">
      <c r="A1367" t="e">
        <f>IF('LISTA DE PRECIOS'!#REF!&gt;0,'LISTA DE PRECIOS'!#REF!,"")</f>
        <v>#REF!</v>
      </c>
      <c r="B1367" t="e">
        <f>IF('LISTA DE PRECIOS'!#REF!&gt;0,'LISTA DE PRECIOS'!#REF!,"")</f>
        <v>#REF!</v>
      </c>
      <c r="C1367" t="e">
        <f>IF('LISTA DE PRECIOS'!#REF!&gt;0,'LISTA DE PRECIOS'!#REF!,"")</f>
        <v>#REF!</v>
      </c>
      <c r="D1367" s="67" t="e">
        <f>IF('LISTA DE PRECIOS'!#REF!&gt;0,'LISTA DE PRECIOS'!#REF!,"")</f>
        <v>#REF!</v>
      </c>
      <c r="E1367" t="e">
        <f>IF('LISTA DE PRECIOS'!#REF!&gt;0,'LISTA DE PRECIOS'!#REF!,"")</f>
        <v>#REF!</v>
      </c>
      <c r="F1367" t="e">
        <f>IF('LISTA DE PRECIOS'!#REF!&gt;0,'LISTA DE PRECIOS'!#REF!,"")</f>
        <v>#REF!</v>
      </c>
      <c r="G1367" s="31" t="e">
        <f>IF('LISTA DE PRECIOS'!#REF!&gt;0,'LISTA DE PRECIOS'!#REF!,"")</f>
        <v>#REF!</v>
      </c>
      <c r="H1367" s="67" t="e">
        <f>IF('LISTA DE PRECIOS'!#REF!&gt;0,'LISTA DE PRECIOS'!#REF!,"")</f>
        <v>#REF!</v>
      </c>
      <c r="I1367" s="31" t="e">
        <f t="shared" si="20"/>
        <v>#REF!</v>
      </c>
    </row>
    <row r="1368" spans="1:9">
      <c r="A1368" t="e">
        <f>IF('LISTA DE PRECIOS'!#REF!&gt;0,'LISTA DE PRECIOS'!#REF!,"")</f>
        <v>#REF!</v>
      </c>
      <c r="B1368" t="e">
        <f>IF('LISTA DE PRECIOS'!#REF!&gt;0,'LISTA DE PRECIOS'!#REF!,"")</f>
        <v>#REF!</v>
      </c>
      <c r="C1368" t="e">
        <f>IF('LISTA DE PRECIOS'!#REF!&gt;0,'LISTA DE PRECIOS'!#REF!,"")</f>
        <v>#REF!</v>
      </c>
      <c r="D1368" s="67" t="e">
        <f>IF('LISTA DE PRECIOS'!#REF!&gt;0,'LISTA DE PRECIOS'!#REF!,"")</f>
        <v>#REF!</v>
      </c>
      <c r="E1368" t="e">
        <f>IF('LISTA DE PRECIOS'!#REF!&gt;0,'LISTA DE PRECIOS'!#REF!,"")</f>
        <v>#REF!</v>
      </c>
      <c r="F1368" t="e">
        <f>IF('LISTA DE PRECIOS'!#REF!&gt;0,'LISTA DE PRECIOS'!#REF!,"")</f>
        <v>#REF!</v>
      </c>
      <c r="G1368" s="31" t="e">
        <f>IF('LISTA DE PRECIOS'!#REF!&gt;0,'LISTA DE PRECIOS'!#REF!,"")</f>
        <v>#REF!</v>
      </c>
      <c r="H1368" s="67" t="e">
        <f>IF('LISTA DE PRECIOS'!#REF!&gt;0,'LISTA DE PRECIOS'!#REF!,"")</f>
        <v>#REF!</v>
      </c>
      <c r="I1368" s="31" t="e">
        <f t="shared" si="20"/>
        <v>#REF!</v>
      </c>
    </row>
    <row r="1369" spans="1:9">
      <c r="A1369" t="e">
        <f>IF('LISTA DE PRECIOS'!#REF!&gt;0,'LISTA DE PRECIOS'!#REF!,"")</f>
        <v>#REF!</v>
      </c>
      <c r="B1369" t="e">
        <f>IF('LISTA DE PRECIOS'!#REF!&gt;0,'LISTA DE PRECIOS'!#REF!,"")</f>
        <v>#REF!</v>
      </c>
      <c r="C1369" t="e">
        <f>IF('LISTA DE PRECIOS'!#REF!&gt;0,'LISTA DE PRECIOS'!#REF!,"")</f>
        <v>#REF!</v>
      </c>
      <c r="D1369" s="67" t="e">
        <f>IF('LISTA DE PRECIOS'!#REF!&gt;0,'LISTA DE PRECIOS'!#REF!,"")</f>
        <v>#REF!</v>
      </c>
      <c r="E1369" t="e">
        <f>IF('LISTA DE PRECIOS'!#REF!&gt;0,'LISTA DE PRECIOS'!#REF!,"")</f>
        <v>#REF!</v>
      </c>
      <c r="F1369" t="e">
        <f>IF('LISTA DE PRECIOS'!#REF!&gt;0,'LISTA DE PRECIOS'!#REF!,"")</f>
        <v>#REF!</v>
      </c>
      <c r="G1369" s="31" t="e">
        <f>IF('LISTA DE PRECIOS'!#REF!&gt;0,'LISTA DE PRECIOS'!#REF!,"")</f>
        <v>#REF!</v>
      </c>
      <c r="H1369" s="67" t="e">
        <f>IF('LISTA DE PRECIOS'!#REF!&gt;0,'LISTA DE PRECIOS'!#REF!,"")</f>
        <v>#REF!</v>
      </c>
      <c r="I1369" s="31" t="e">
        <f t="shared" si="20"/>
        <v>#REF!</v>
      </c>
    </row>
    <row r="1370" spans="1:9">
      <c r="A1370" t="e">
        <f>IF('LISTA DE PRECIOS'!#REF!&gt;0,'LISTA DE PRECIOS'!#REF!,"")</f>
        <v>#REF!</v>
      </c>
      <c r="B1370" t="e">
        <f>IF('LISTA DE PRECIOS'!#REF!&gt;0,'LISTA DE PRECIOS'!#REF!,"")</f>
        <v>#REF!</v>
      </c>
      <c r="C1370" t="e">
        <f>IF('LISTA DE PRECIOS'!#REF!&gt;0,'LISTA DE PRECIOS'!#REF!,"")</f>
        <v>#REF!</v>
      </c>
      <c r="D1370" s="67" t="e">
        <f>IF('LISTA DE PRECIOS'!#REF!&gt;0,'LISTA DE PRECIOS'!#REF!,"")</f>
        <v>#REF!</v>
      </c>
      <c r="E1370" t="e">
        <f>IF('LISTA DE PRECIOS'!#REF!&gt;0,'LISTA DE PRECIOS'!#REF!,"")</f>
        <v>#REF!</v>
      </c>
      <c r="F1370" t="e">
        <f>IF('LISTA DE PRECIOS'!#REF!&gt;0,'LISTA DE PRECIOS'!#REF!,"")</f>
        <v>#REF!</v>
      </c>
      <c r="G1370" s="31" t="e">
        <f>IF('LISTA DE PRECIOS'!#REF!&gt;0,'LISTA DE PRECIOS'!#REF!,"")</f>
        <v>#REF!</v>
      </c>
      <c r="H1370" s="67" t="e">
        <f>IF('LISTA DE PRECIOS'!#REF!&gt;0,'LISTA DE PRECIOS'!#REF!,"")</f>
        <v>#REF!</v>
      </c>
      <c r="I1370" s="31" t="e">
        <f t="shared" si="20"/>
        <v>#REF!</v>
      </c>
    </row>
    <row r="1371" spans="1:9">
      <c r="A1371" t="e">
        <f>IF('LISTA DE PRECIOS'!#REF!&gt;0,'LISTA DE PRECIOS'!#REF!,"")</f>
        <v>#REF!</v>
      </c>
      <c r="B1371" t="e">
        <f>IF('LISTA DE PRECIOS'!#REF!&gt;0,'LISTA DE PRECIOS'!#REF!,"")</f>
        <v>#REF!</v>
      </c>
      <c r="C1371" t="e">
        <f>IF('LISTA DE PRECIOS'!#REF!&gt;0,'LISTA DE PRECIOS'!#REF!,"")</f>
        <v>#REF!</v>
      </c>
      <c r="D1371" s="67" t="e">
        <f>IF('LISTA DE PRECIOS'!#REF!&gt;0,'LISTA DE PRECIOS'!#REF!,"")</f>
        <v>#REF!</v>
      </c>
      <c r="E1371" t="e">
        <f>IF('LISTA DE PRECIOS'!#REF!&gt;0,'LISTA DE PRECIOS'!#REF!,"")</f>
        <v>#REF!</v>
      </c>
      <c r="F1371" t="e">
        <f>IF('LISTA DE PRECIOS'!#REF!&gt;0,'LISTA DE PRECIOS'!#REF!,"")</f>
        <v>#REF!</v>
      </c>
      <c r="G1371" s="31" t="e">
        <f>IF('LISTA DE PRECIOS'!#REF!&gt;0,'LISTA DE PRECIOS'!#REF!,"")</f>
        <v>#REF!</v>
      </c>
      <c r="H1371" s="67" t="e">
        <f>IF('LISTA DE PRECIOS'!#REF!&gt;0,'LISTA DE PRECIOS'!#REF!,"")</f>
        <v>#REF!</v>
      </c>
      <c r="I1371" s="31" t="e">
        <f t="shared" si="20"/>
        <v>#REF!</v>
      </c>
    </row>
    <row r="1372" spans="1:9">
      <c r="A1372" t="e">
        <f>IF('LISTA DE PRECIOS'!#REF!&gt;0,'LISTA DE PRECIOS'!#REF!,"")</f>
        <v>#REF!</v>
      </c>
      <c r="B1372" t="e">
        <f>IF('LISTA DE PRECIOS'!#REF!&gt;0,'LISTA DE PRECIOS'!#REF!,"")</f>
        <v>#REF!</v>
      </c>
      <c r="C1372" t="e">
        <f>IF('LISTA DE PRECIOS'!#REF!&gt;0,'LISTA DE PRECIOS'!#REF!,"")</f>
        <v>#REF!</v>
      </c>
      <c r="D1372" s="67" t="e">
        <f>IF('LISTA DE PRECIOS'!#REF!&gt;0,'LISTA DE PRECIOS'!#REF!,"")</f>
        <v>#REF!</v>
      </c>
      <c r="E1372" t="e">
        <f>IF('LISTA DE PRECIOS'!#REF!&gt;0,'LISTA DE PRECIOS'!#REF!,"")</f>
        <v>#REF!</v>
      </c>
      <c r="F1372" t="e">
        <f>IF('LISTA DE PRECIOS'!#REF!&gt;0,'LISTA DE PRECIOS'!#REF!,"")</f>
        <v>#REF!</v>
      </c>
      <c r="G1372" s="31" t="e">
        <f>IF('LISTA DE PRECIOS'!#REF!&gt;0,'LISTA DE PRECIOS'!#REF!,"")</f>
        <v>#REF!</v>
      </c>
      <c r="H1372" s="67" t="e">
        <f>IF('LISTA DE PRECIOS'!#REF!&gt;0,'LISTA DE PRECIOS'!#REF!,"")</f>
        <v>#REF!</v>
      </c>
      <c r="I1372" s="31" t="e">
        <f t="shared" si="20"/>
        <v>#REF!</v>
      </c>
    </row>
    <row r="1373" spans="1:9">
      <c r="A1373" t="e">
        <f>IF('LISTA DE PRECIOS'!#REF!&gt;0,'LISTA DE PRECIOS'!#REF!,"")</f>
        <v>#REF!</v>
      </c>
      <c r="B1373" t="e">
        <f>IF('LISTA DE PRECIOS'!#REF!&gt;0,'LISTA DE PRECIOS'!#REF!,"")</f>
        <v>#REF!</v>
      </c>
      <c r="C1373" t="e">
        <f>IF('LISTA DE PRECIOS'!#REF!&gt;0,'LISTA DE PRECIOS'!#REF!,"")</f>
        <v>#REF!</v>
      </c>
      <c r="D1373" s="67" t="e">
        <f>IF('LISTA DE PRECIOS'!#REF!&gt;0,'LISTA DE PRECIOS'!#REF!,"")</f>
        <v>#REF!</v>
      </c>
      <c r="E1373" t="e">
        <f>IF('LISTA DE PRECIOS'!#REF!&gt;0,'LISTA DE PRECIOS'!#REF!,"")</f>
        <v>#REF!</v>
      </c>
      <c r="F1373" t="e">
        <f>IF('LISTA DE PRECIOS'!#REF!&gt;0,'LISTA DE PRECIOS'!#REF!,"")</f>
        <v>#REF!</v>
      </c>
      <c r="G1373" s="31" t="e">
        <f>IF('LISTA DE PRECIOS'!#REF!&gt;0,'LISTA DE PRECIOS'!#REF!,"")</f>
        <v>#REF!</v>
      </c>
      <c r="H1373" s="67" t="e">
        <f>IF('LISTA DE PRECIOS'!#REF!&gt;0,'LISTA DE PRECIOS'!#REF!,"")</f>
        <v>#REF!</v>
      </c>
      <c r="I1373" s="31" t="e">
        <f t="shared" si="20"/>
        <v>#REF!</v>
      </c>
    </row>
    <row r="1374" spans="1:9">
      <c r="A1374" t="e">
        <f>IF('LISTA DE PRECIOS'!#REF!&gt;0,'LISTA DE PRECIOS'!#REF!,"")</f>
        <v>#REF!</v>
      </c>
      <c r="B1374" t="e">
        <f>IF('LISTA DE PRECIOS'!#REF!&gt;0,'LISTA DE PRECIOS'!#REF!,"")</f>
        <v>#REF!</v>
      </c>
      <c r="C1374" t="e">
        <f>IF('LISTA DE PRECIOS'!#REF!&gt;0,'LISTA DE PRECIOS'!#REF!,"")</f>
        <v>#REF!</v>
      </c>
      <c r="D1374" s="67" t="e">
        <f>IF('LISTA DE PRECIOS'!#REF!&gt;0,'LISTA DE PRECIOS'!#REF!,"")</f>
        <v>#REF!</v>
      </c>
      <c r="E1374" t="e">
        <f>IF('LISTA DE PRECIOS'!#REF!&gt;0,'LISTA DE PRECIOS'!#REF!,"")</f>
        <v>#REF!</v>
      </c>
      <c r="F1374" t="e">
        <f>IF('LISTA DE PRECIOS'!#REF!&gt;0,'LISTA DE PRECIOS'!#REF!,"")</f>
        <v>#REF!</v>
      </c>
      <c r="G1374" s="31" t="e">
        <f>IF('LISTA DE PRECIOS'!#REF!&gt;0,'LISTA DE PRECIOS'!#REF!,"")</f>
        <v>#REF!</v>
      </c>
      <c r="H1374" s="67" t="e">
        <f>IF('LISTA DE PRECIOS'!#REF!&gt;0,'LISTA DE PRECIOS'!#REF!,"")</f>
        <v>#REF!</v>
      </c>
      <c r="I1374" s="31" t="e">
        <f t="shared" si="20"/>
        <v>#REF!</v>
      </c>
    </row>
    <row r="1375" spans="1:9">
      <c r="A1375" t="e">
        <f>IF('LISTA DE PRECIOS'!#REF!&gt;0,'LISTA DE PRECIOS'!#REF!,"")</f>
        <v>#REF!</v>
      </c>
      <c r="B1375" t="e">
        <f>IF('LISTA DE PRECIOS'!#REF!&gt;0,'LISTA DE PRECIOS'!#REF!,"")</f>
        <v>#REF!</v>
      </c>
      <c r="C1375" t="e">
        <f>IF('LISTA DE PRECIOS'!#REF!&gt;0,'LISTA DE PRECIOS'!#REF!,"")</f>
        <v>#REF!</v>
      </c>
      <c r="D1375" s="67" t="e">
        <f>IF('LISTA DE PRECIOS'!#REF!&gt;0,'LISTA DE PRECIOS'!#REF!,"")</f>
        <v>#REF!</v>
      </c>
      <c r="E1375" t="e">
        <f>IF('LISTA DE PRECIOS'!#REF!&gt;0,'LISTA DE PRECIOS'!#REF!,"")</f>
        <v>#REF!</v>
      </c>
      <c r="F1375" t="e">
        <f>IF('LISTA DE PRECIOS'!#REF!&gt;0,'LISTA DE PRECIOS'!#REF!,"")</f>
        <v>#REF!</v>
      </c>
      <c r="G1375" s="31" t="e">
        <f>IF('LISTA DE PRECIOS'!#REF!&gt;0,'LISTA DE PRECIOS'!#REF!,"")</f>
        <v>#REF!</v>
      </c>
      <c r="H1375" s="67" t="e">
        <f>IF('LISTA DE PRECIOS'!#REF!&gt;0,'LISTA DE PRECIOS'!#REF!,"")</f>
        <v>#REF!</v>
      </c>
      <c r="I1375" s="31" t="e">
        <f t="shared" si="20"/>
        <v>#REF!</v>
      </c>
    </row>
    <row r="1376" spans="1:9">
      <c r="I1376" s="31"/>
    </row>
    <row r="1377" spans="8:9">
      <c r="H1377" s="32" t="s">
        <v>2729</v>
      </c>
      <c r="I1377" s="33" t="e">
        <f>SUM(I16:I1375)</f>
        <v>#REF!</v>
      </c>
    </row>
  </sheetData>
  <mergeCells count="3">
    <mergeCell ref="B3:H8"/>
    <mergeCell ref="G166:H166"/>
    <mergeCell ref="D11:E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PRECIOS</vt:lpstr>
      <vt:lpstr>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thyare riquelme</cp:lastModifiedBy>
  <dcterms:created xsi:type="dcterms:W3CDTF">2026-07-24T15:50:50Z</dcterms:created>
  <dcterms:modified xsi:type="dcterms:W3CDTF">2026-08-21T03:27:12Z</dcterms:modified>
</cp:coreProperties>
</file>